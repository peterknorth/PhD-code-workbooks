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3 Excel Analysis Files/"/>
    </mc:Choice>
  </mc:AlternateContent>
  <xr:revisionPtr revIDLastSave="0" documentId="13_ncr:1_{7E3B74DB-49B4-7B43-A717-6B0FC6AAA38E}" xr6:coauthVersionLast="47" xr6:coauthVersionMax="47" xr10:uidLastSave="{00000000-0000-0000-0000-000000000000}"/>
  <bookViews>
    <workbookView xWindow="0" yWindow="500" windowWidth="40960" windowHeight="20860" xr2:uid="{CF8FC07B-699B-9049-9621-30AAD7BBD687}"/>
  </bookViews>
  <sheets>
    <sheet name="Winter" sheetId="1" r:id="rId1"/>
    <sheet name="Spring_Autumn" sheetId="5" r:id="rId2"/>
    <sheet name="Summer" sheetId="6" r:id="rId3"/>
  </sheets>
  <definedNames>
    <definedName name="_xlnm.Print_Area" localSheetId="1">Spring_Autumn!$D$14:$O$18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O5" i="1"/>
  <c r="O2" i="1"/>
  <c r="N7" i="1"/>
  <c r="N5" i="1"/>
  <c r="N4" i="1"/>
  <c r="O3" i="1"/>
  <c r="O4" i="1" s="1"/>
  <c r="N3" i="1"/>
  <c r="N2" i="1"/>
  <c r="C8" i="1"/>
  <c r="O6" i="1" l="1"/>
  <c r="O7" i="1" s="1"/>
  <c r="F8" i="5"/>
  <c r="C3" i="5"/>
  <c r="C4" i="5"/>
  <c r="C5" i="5"/>
  <c r="C6" i="5"/>
  <c r="C7" i="5"/>
  <c r="C9" i="5"/>
  <c r="D9" i="5" s="1"/>
  <c r="C2" i="5"/>
  <c r="D7" i="5" s="1"/>
  <c r="F9" i="6"/>
  <c r="F10" i="6"/>
  <c r="F11" i="6"/>
  <c r="F8" i="6"/>
  <c r="C3" i="6"/>
  <c r="C4" i="6"/>
  <c r="C5" i="6"/>
  <c r="C6" i="6"/>
  <c r="C7" i="6"/>
  <c r="D7" i="6" s="1"/>
  <c r="C11" i="6"/>
  <c r="D11" i="6" s="1"/>
  <c r="C2" i="6"/>
  <c r="D6" i="6" s="1"/>
  <c r="M692" i="6"/>
  <c r="M18" i="6" s="1"/>
  <c r="J692" i="6"/>
  <c r="J18" i="6" s="1"/>
  <c r="G692" i="6"/>
  <c r="G18" i="6" s="1"/>
  <c r="D692" i="6"/>
  <c r="D18" i="6" s="1"/>
  <c r="M692" i="5"/>
  <c r="M18" i="5" s="1"/>
  <c r="J692" i="5"/>
  <c r="J18" i="5" s="1"/>
  <c r="G692" i="5"/>
  <c r="G18" i="5" s="1"/>
  <c r="D692" i="5"/>
  <c r="D18" i="5" s="1"/>
  <c r="D6" i="5"/>
  <c r="G692" i="1"/>
  <c r="G18" i="1" s="1"/>
  <c r="J692" i="1"/>
  <c r="J18" i="1" s="1"/>
  <c r="M692" i="1"/>
  <c r="M18" i="1" s="1"/>
  <c r="D692" i="1"/>
  <c r="D18" i="1" s="1"/>
  <c r="C11" i="1"/>
  <c r="D11" i="1" s="1"/>
  <c r="C10" i="1"/>
  <c r="D10" i="1" s="1"/>
  <c r="K463" i="1" s="1"/>
  <c r="L463" i="1" s="1"/>
  <c r="C9" i="1"/>
  <c r="C9" i="6" s="1"/>
  <c r="D9" i="6" s="1"/>
  <c r="D8" i="1"/>
  <c r="D7" i="1"/>
  <c r="N452" i="1" s="1"/>
  <c r="O452" i="1" s="1"/>
  <c r="D6" i="1"/>
  <c r="N432" i="6" l="1"/>
  <c r="O432" i="6" s="1"/>
  <c r="D9" i="1"/>
  <c r="C10" i="6"/>
  <c r="D10" i="6" s="1"/>
  <c r="C11" i="5"/>
  <c r="D11" i="5" s="1"/>
  <c r="C8" i="6"/>
  <c r="D8" i="6" s="1"/>
  <c r="E684" i="6" s="1"/>
  <c r="F684" i="6" s="1"/>
  <c r="H456" i="1"/>
  <c r="I456" i="1" s="1"/>
  <c r="C8" i="5"/>
  <c r="D8" i="5" s="1"/>
  <c r="C10" i="5"/>
  <c r="D10" i="5" s="1"/>
  <c r="H20" i="5"/>
  <c r="I20" i="5" s="1"/>
  <c r="H190" i="6"/>
  <c r="I190" i="6" s="1"/>
  <c r="K20" i="6"/>
  <c r="L20" i="6" s="1"/>
  <c r="K24" i="6"/>
  <c r="L24" i="6" s="1"/>
  <c r="K28" i="6"/>
  <c r="L28" i="6" s="1"/>
  <c r="K32" i="6"/>
  <c r="L32" i="6" s="1"/>
  <c r="K36" i="6"/>
  <c r="L36" i="6" s="1"/>
  <c r="K40" i="6"/>
  <c r="L40" i="6" s="1"/>
  <c r="K44" i="6"/>
  <c r="L44" i="6" s="1"/>
  <c r="K51" i="6"/>
  <c r="L51" i="6" s="1"/>
  <c r="K59" i="6"/>
  <c r="L59" i="6" s="1"/>
  <c r="K67" i="6"/>
  <c r="L67" i="6" s="1"/>
  <c r="K75" i="6"/>
  <c r="L75" i="6" s="1"/>
  <c r="K83" i="6"/>
  <c r="L83" i="6" s="1"/>
  <c r="K91" i="6"/>
  <c r="L91" i="6" s="1"/>
  <c r="K99" i="6"/>
  <c r="L99" i="6" s="1"/>
  <c r="K107" i="6"/>
  <c r="L107" i="6" s="1"/>
  <c r="K115" i="6"/>
  <c r="L115" i="6" s="1"/>
  <c r="K123" i="6"/>
  <c r="L123" i="6" s="1"/>
  <c r="K138" i="6"/>
  <c r="L138" i="6" s="1"/>
  <c r="K154" i="6"/>
  <c r="L154" i="6" s="1"/>
  <c r="K170" i="6"/>
  <c r="L170" i="6" s="1"/>
  <c r="K21" i="6"/>
  <c r="L21" i="6" s="1"/>
  <c r="K25" i="6"/>
  <c r="L25" i="6" s="1"/>
  <c r="K29" i="6"/>
  <c r="L29" i="6" s="1"/>
  <c r="K33" i="6"/>
  <c r="L33" i="6" s="1"/>
  <c r="K37" i="6"/>
  <c r="L37" i="6" s="1"/>
  <c r="K41" i="6"/>
  <c r="L41" i="6" s="1"/>
  <c r="K45" i="6"/>
  <c r="L45" i="6" s="1"/>
  <c r="K53" i="6"/>
  <c r="L53" i="6" s="1"/>
  <c r="K61" i="6"/>
  <c r="L61" i="6" s="1"/>
  <c r="K69" i="6"/>
  <c r="L69" i="6" s="1"/>
  <c r="K77" i="6"/>
  <c r="L77" i="6" s="1"/>
  <c r="K85" i="6"/>
  <c r="L85" i="6" s="1"/>
  <c r="K93" i="6"/>
  <c r="L93" i="6" s="1"/>
  <c r="K101" i="6"/>
  <c r="L101" i="6" s="1"/>
  <c r="K109" i="6"/>
  <c r="L109" i="6" s="1"/>
  <c r="K117" i="6"/>
  <c r="L117" i="6" s="1"/>
  <c r="K126" i="6"/>
  <c r="L126" i="6" s="1"/>
  <c r="K142" i="6"/>
  <c r="L142" i="6" s="1"/>
  <c r="K158" i="6"/>
  <c r="L158" i="6" s="1"/>
  <c r="K174" i="6"/>
  <c r="L174" i="6" s="1"/>
  <c r="K176" i="6"/>
  <c r="L176" i="6" s="1"/>
  <c r="K22" i="6"/>
  <c r="L22" i="6" s="1"/>
  <c r="K26" i="6"/>
  <c r="L26" i="6" s="1"/>
  <c r="K30" i="6"/>
  <c r="L30" i="6" s="1"/>
  <c r="K34" i="6"/>
  <c r="L34" i="6" s="1"/>
  <c r="K38" i="6"/>
  <c r="L38" i="6" s="1"/>
  <c r="K42" i="6"/>
  <c r="L42" i="6" s="1"/>
  <c r="K47" i="6"/>
  <c r="L47" i="6" s="1"/>
  <c r="K55" i="6"/>
  <c r="L55" i="6" s="1"/>
  <c r="K63" i="6"/>
  <c r="L63" i="6" s="1"/>
  <c r="K71" i="6"/>
  <c r="L71" i="6" s="1"/>
  <c r="K79" i="6"/>
  <c r="L79" i="6" s="1"/>
  <c r="K87" i="6"/>
  <c r="L87" i="6" s="1"/>
  <c r="K95" i="6"/>
  <c r="L95" i="6" s="1"/>
  <c r="K103" i="6"/>
  <c r="L103" i="6" s="1"/>
  <c r="K111" i="6"/>
  <c r="L111" i="6" s="1"/>
  <c r="K119" i="6"/>
  <c r="L119" i="6" s="1"/>
  <c r="K130" i="6"/>
  <c r="L130" i="6" s="1"/>
  <c r="K146" i="6"/>
  <c r="L146" i="6" s="1"/>
  <c r="K162" i="6"/>
  <c r="L162" i="6" s="1"/>
  <c r="K178" i="6"/>
  <c r="L178" i="6" s="1"/>
  <c r="K23" i="6"/>
  <c r="L23" i="6" s="1"/>
  <c r="K27" i="6"/>
  <c r="L27" i="6" s="1"/>
  <c r="K31" i="6"/>
  <c r="L31" i="6" s="1"/>
  <c r="K35" i="6"/>
  <c r="L35" i="6" s="1"/>
  <c r="K39" i="6"/>
  <c r="L39" i="6" s="1"/>
  <c r="K43" i="6"/>
  <c r="L43" i="6" s="1"/>
  <c r="K49" i="6"/>
  <c r="L49" i="6" s="1"/>
  <c r="K57" i="6"/>
  <c r="L57" i="6" s="1"/>
  <c r="K65" i="6"/>
  <c r="L65" i="6" s="1"/>
  <c r="K73" i="6"/>
  <c r="L73" i="6" s="1"/>
  <c r="K81" i="6"/>
  <c r="L81" i="6" s="1"/>
  <c r="K89" i="6"/>
  <c r="L89" i="6" s="1"/>
  <c r="K97" i="6"/>
  <c r="L97" i="6" s="1"/>
  <c r="K105" i="6"/>
  <c r="L105" i="6" s="1"/>
  <c r="K113" i="6"/>
  <c r="L113" i="6" s="1"/>
  <c r="K121" i="6"/>
  <c r="L121" i="6" s="1"/>
  <c r="K134" i="6"/>
  <c r="L134" i="6" s="1"/>
  <c r="K150" i="6"/>
  <c r="L150" i="6" s="1"/>
  <c r="K166" i="6"/>
  <c r="L166" i="6" s="1"/>
  <c r="N416" i="6"/>
  <c r="O416" i="6" s="1"/>
  <c r="N448" i="6"/>
  <c r="O448" i="6" s="1"/>
  <c r="N249" i="6"/>
  <c r="O249" i="6" s="1"/>
  <c r="H186" i="6"/>
  <c r="I186" i="6" s="1"/>
  <c r="E690" i="6"/>
  <c r="F690" i="6" s="1"/>
  <c r="E688" i="6"/>
  <c r="F688" i="6" s="1"/>
  <c r="E686" i="6"/>
  <c r="F686" i="6" s="1"/>
  <c r="E682" i="6"/>
  <c r="F682" i="6" s="1"/>
  <c r="E680" i="6"/>
  <c r="F680" i="6" s="1"/>
  <c r="E678" i="6"/>
  <c r="F678" i="6" s="1"/>
  <c r="E676" i="6"/>
  <c r="F676" i="6" s="1"/>
  <c r="E674" i="6"/>
  <c r="F674" i="6" s="1"/>
  <c r="E672" i="6"/>
  <c r="F672" i="6" s="1"/>
  <c r="E670" i="6"/>
  <c r="F670" i="6" s="1"/>
  <c r="E668" i="6"/>
  <c r="F668" i="6" s="1"/>
  <c r="E666" i="6"/>
  <c r="F666" i="6" s="1"/>
  <c r="E664" i="6"/>
  <c r="F664" i="6" s="1"/>
  <c r="E662" i="6"/>
  <c r="F662" i="6" s="1"/>
  <c r="E660" i="6"/>
  <c r="F660" i="6" s="1"/>
  <c r="E658" i="6"/>
  <c r="F658" i="6" s="1"/>
  <c r="E656" i="6"/>
  <c r="F656" i="6" s="1"/>
  <c r="E654" i="6"/>
  <c r="F654" i="6" s="1"/>
  <c r="E652" i="6"/>
  <c r="F652" i="6" s="1"/>
  <c r="E650" i="6"/>
  <c r="F650" i="6" s="1"/>
  <c r="E649" i="6"/>
  <c r="F649" i="6" s="1"/>
  <c r="E648" i="6"/>
  <c r="F648" i="6" s="1"/>
  <c r="E689" i="6"/>
  <c r="F689" i="6" s="1"/>
  <c r="E681" i="6"/>
  <c r="F681" i="6" s="1"/>
  <c r="E673" i="6"/>
  <c r="F673" i="6" s="1"/>
  <c r="E665" i="6"/>
  <c r="F665" i="6" s="1"/>
  <c r="E657" i="6"/>
  <c r="F657" i="6" s="1"/>
  <c r="E638" i="6"/>
  <c r="F638" i="6" s="1"/>
  <c r="E636" i="6"/>
  <c r="F636" i="6" s="1"/>
  <c r="E634" i="6"/>
  <c r="F634" i="6" s="1"/>
  <c r="E632" i="6"/>
  <c r="F632" i="6" s="1"/>
  <c r="E630" i="6"/>
  <c r="F630" i="6" s="1"/>
  <c r="E628" i="6"/>
  <c r="F628" i="6" s="1"/>
  <c r="E626" i="6"/>
  <c r="F626" i="6" s="1"/>
  <c r="E624" i="6"/>
  <c r="F624" i="6" s="1"/>
  <c r="E622" i="6"/>
  <c r="F622" i="6" s="1"/>
  <c r="E620" i="6"/>
  <c r="F620" i="6" s="1"/>
  <c r="E618" i="6"/>
  <c r="F618" i="6" s="1"/>
  <c r="E616" i="6"/>
  <c r="F616" i="6" s="1"/>
  <c r="E614" i="6"/>
  <c r="F614" i="6" s="1"/>
  <c r="E612" i="6"/>
  <c r="F612" i="6" s="1"/>
  <c r="E610" i="6"/>
  <c r="F610" i="6" s="1"/>
  <c r="E608" i="6"/>
  <c r="F608" i="6" s="1"/>
  <c r="E606" i="6"/>
  <c r="F606" i="6" s="1"/>
  <c r="E604" i="6"/>
  <c r="F604" i="6" s="1"/>
  <c r="E602" i="6"/>
  <c r="F602" i="6" s="1"/>
  <c r="E600" i="6"/>
  <c r="F600" i="6" s="1"/>
  <c r="E598" i="6"/>
  <c r="F598" i="6" s="1"/>
  <c r="E691" i="6"/>
  <c r="F691" i="6" s="1"/>
  <c r="E683" i="6"/>
  <c r="F683" i="6" s="1"/>
  <c r="E675" i="6"/>
  <c r="F675" i="6" s="1"/>
  <c r="E667" i="6"/>
  <c r="F667" i="6" s="1"/>
  <c r="E659" i="6"/>
  <c r="F659" i="6" s="1"/>
  <c r="E651" i="6"/>
  <c r="F651" i="6" s="1"/>
  <c r="E647" i="6"/>
  <c r="F647" i="6" s="1"/>
  <c r="E646" i="6"/>
  <c r="F646" i="6" s="1"/>
  <c r="E645" i="6"/>
  <c r="F645" i="6" s="1"/>
  <c r="E644" i="6"/>
  <c r="F644" i="6" s="1"/>
  <c r="E643" i="6"/>
  <c r="F643" i="6" s="1"/>
  <c r="E642" i="6"/>
  <c r="F642" i="6" s="1"/>
  <c r="E641" i="6"/>
  <c r="F641" i="6" s="1"/>
  <c r="E640" i="6"/>
  <c r="F640" i="6" s="1"/>
  <c r="E685" i="6"/>
  <c r="F685" i="6" s="1"/>
  <c r="E677" i="6"/>
  <c r="F677" i="6" s="1"/>
  <c r="E669" i="6"/>
  <c r="F669" i="6" s="1"/>
  <c r="E661" i="6"/>
  <c r="F661" i="6" s="1"/>
  <c r="E653" i="6"/>
  <c r="F653" i="6" s="1"/>
  <c r="E639" i="6"/>
  <c r="F639" i="6" s="1"/>
  <c r="E637" i="6"/>
  <c r="F637" i="6" s="1"/>
  <c r="E635" i="6"/>
  <c r="F635" i="6" s="1"/>
  <c r="E633" i="6"/>
  <c r="F633" i="6" s="1"/>
  <c r="E631" i="6"/>
  <c r="F631" i="6" s="1"/>
  <c r="E629" i="6"/>
  <c r="F629" i="6" s="1"/>
  <c r="E627" i="6"/>
  <c r="F627" i="6" s="1"/>
  <c r="E625" i="6"/>
  <c r="F625" i="6" s="1"/>
  <c r="E623" i="6"/>
  <c r="F623" i="6" s="1"/>
  <c r="E621" i="6"/>
  <c r="F621" i="6" s="1"/>
  <c r="E619" i="6"/>
  <c r="F619" i="6" s="1"/>
  <c r="E617" i="6"/>
  <c r="F617" i="6" s="1"/>
  <c r="E615" i="6"/>
  <c r="F615" i="6" s="1"/>
  <c r="E613" i="6"/>
  <c r="F613" i="6" s="1"/>
  <c r="E611" i="6"/>
  <c r="F611" i="6" s="1"/>
  <c r="E609" i="6"/>
  <c r="F609" i="6" s="1"/>
  <c r="E607" i="6"/>
  <c r="F607" i="6" s="1"/>
  <c r="E605" i="6"/>
  <c r="F605" i="6" s="1"/>
  <c r="E603" i="6"/>
  <c r="F603" i="6" s="1"/>
  <c r="E601" i="6"/>
  <c r="F601" i="6" s="1"/>
  <c r="E679" i="6"/>
  <c r="F679" i="6" s="1"/>
  <c r="E597" i="6"/>
  <c r="F597" i="6" s="1"/>
  <c r="E596" i="6"/>
  <c r="F596" i="6" s="1"/>
  <c r="E595" i="6"/>
  <c r="F595" i="6" s="1"/>
  <c r="E594" i="6"/>
  <c r="F594" i="6" s="1"/>
  <c r="E593" i="6"/>
  <c r="F593" i="6" s="1"/>
  <c r="E592" i="6"/>
  <c r="F592" i="6" s="1"/>
  <c r="E591" i="6"/>
  <c r="F591" i="6" s="1"/>
  <c r="E590" i="6"/>
  <c r="F590" i="6" s="1"/>
  <c r="E589" i="6"/>
  <c r="F589" i="6" s="1"/>
  <c r="E588" i="6"/>
  <c r="F588" i="6" s="1"/>
  <c r="E587" i="6"/>
  <c r="F587" i="6" s="1"/>
  <c r="E586" i="6"/>
  <c r="F586" i="6" s="1"/>
  <c r="E585" i="6"/>
  <c r="F585" i="6" s="1"/>
  <c r="E584" i="6"/>
  <c r="F584" i="6" s="1"/>
  <c r="E583" i="6"/>
  <c r="F583" i="6" s="1"/>
  <c r="E582" i="6"/>
  <c r="F582" i="6" s="1"/>
  <c r="E581" i="6"/>
  <c r="F581" i="6" s="1"/>
  <c r="E580" i="6"/>
  <c r="F580" i="6" s="1"/>
  <c r="E579" i="6"/>
  <c r="F579" i="6" s="1"/>
  <c r="E578" i="6"/>
  <c r="F578" i="6" s="1"/>
  <c r="E577" i="6"/>
  <c r="F577" i="6" s="1"/>
  <c r="E687" i="6"/>
  <c r="F687" i="6" s="1"/>
  <c r="E655" i="6"/>
  <c r="F655" i="6" s="1"/>
  <c r="E599" i="6"/>
  <c r="F599" i="6" s="1"/>
  <c r="E576" i="6"/>
  <c r="F576" i="6" s="1"/>
  <c r="E574" i="6"/>
  <c r="F574" i="6" s="1"/>
  <c r="E572" i="6"/>
  <c r="F572" i="6" s="1"/>
  <c r="E570" i="6"/>
  <c r="F570" i="6" s="1"/>
  <c r="E568" i="6"/>
  <c r="F568" i="6" s="1"/>
  <c r="E663" i="6"/>
  <c r="F663" i="6" s="1"/>
  <c r="E566" i="6"/>
  <c r="F566" i="6" s="1"/>
  <c r="E565" i="6"/>
  <c r="F565" i="6" s="1"/>
  <c r="E564" i="6"/>
  <c r="F564" i="6" s="1"/>
  <c r="E563" i="6"/>
  <c r="F563" i="6" s="1"/>
  <c r="E562" i="6"/>
  <c r="F562" i="6" s="1"/>
  <c r="E561" i="6"/>
  <c r="F561" i="6" s="1"/>
  <c r="E560" i="6"/>
  <c r="F560" i="6" s="1"/>
  <c r="E559" i="6"/>
  <c r="F559" i="6" s="1"/>
  <c r="E558" i="6"/>
  <c r="F558" i="6" s="1"/>
  <c r="E557" i="6"/>
  <c r="F557" i="6" s="1"/>
  <c r="E556" i="6"/>
  <c r="F556" i="6" s="1"/>
  <c r="E555" i="6"/>
  <c r="F555" i="6" s="1"/>
  <c r="E554" i="6"/>
  <c r="F554" i="6" s="1"/>
  <c r="E553" i="6"/>
  <c r="F553" i="6" s="1"/>
  <c r="E552" i="6"/>
  <c r="F552" i="6" s="1"/>
  <c r="E551" i="6"/>
  <c r="F551" i="6" s="1"/>
  <c r="E550" i="6"/>
  <c r="F550" i="6" s="1"/>
  <c r="E549" i="6"/>
  <c r="F549" i="6" s="1"/>
  <c r="E548" i="6"/>
  <c r="F548" i="6" s="1"/>
  <c r="E547" i="6"/>
  <c r="F547" i="6" s="1"/>
  <c r="E546" i="6"/>
  <c r="F546" i="6" s="1"/>
  <c r="E545" i="6"/>
  <c r="F545" i="6" s="1"/>
  <c r="E544" i="6"/>
  <c r="F544" i="6" s="1"/>
  <c r="E543" i="6"/>
  <c r="F543" i="6" s="1"/>
  <c r="E542" i="6"/>
  <c r="F542" i="6" s="1"/>
  <c r="E541" i="6"/>
  <c r="F541" i="6" s="1"/>
  <c r="E540" i="6"/>
  <c r="F540" i="6" s="1"/>
  <c r="E539" i="6"/>
  <c r="F539" i="6" s="1"/>
  <c r="E538" i="6"/>
  <c r="F538" i="6" s="1"/>
  <c r="E537" i="6"/>
  <c r="F537" i="6" s="1"/>
  <c r="E536" i="6"/>
  <c r="F536" i="6" s="1"/>
  <c r="E535" i="6"/>
  <c r="F535" i="6" s="1"/>
  <c r="E534" i="6"/>
  <c r="F534" i="6" s="1"/>
  <c r="E533" i="6"/>
  <c r="F533" i="6" s="1"/>
  <c r="E532" i="6"/>
  <c r="F532" i="6" s="1"/>
  <c r="E531" i="6"/>
  <c r="F531" i="6" s="1"/>
  <c r="E530" i="6"/>
  <c r="F530" i="6" s="1"/>
  <c r="E529" i="6"/>
  <c r="F529" i="6" s="1"/>
  <c r="E528" i="6"/>
  <c r="F528" i="6" s="1"/>
  <c r="E527" i="6"/>
  <c r="F527" i="6" s="1"/>
  <c r="E526" i="6"/>
  <c r="F526" i="6" s="1"/>
  <c r="E573" i="6"/>
  <c r="F573" i="6" s="1"/>
  <c r="E671" i="6"/>
  <c r="F671" i="6" s="1"/>
  <c r="E575" i="6"/>
  <c r="F575" i="6" s="1"/>
  <c r="E567" i="6"/>
  <c r="F567" i="6" s="1"/>
  <c r="E525" i="6"/>
  <c r="F525" i="6" s="1"/>
  <c r="E524" i="6"/>
  <c r="F524" i="6" s="1"/>
  <c r="E523" i="6"/>
  <c r="F523" i="6" s="1"/>
  <c r="E522" i="6"/>
  <c r="F522" i="6" s="1"/>
  <c r="E521" i="6"/>
  <c r="F521" i="6" s="1"/>
  <c r="E520" i="6"/>
  <c r="F520" i="6" s="1"/>
  <c r="E519" i="6"/>
  <c r="F519" i="6" s="1"/>
  <c r="E518" i="6"/>
  <c r="F518" i="6" s="1"/>
  <c r="E517" i="6"/>
  <c r="F517" i="6" s="1"/>
  <c r="E516" i="6"/>
  <c r="F516" i="6" s="1"/>
  <c r="E514" i="6"/>
  <c r="F514" i="6" s="1"/>
  <c r="E512" i="6"/>
  <c r="F512" i="6" s="1"/>
  <c r="E569" i="6"/>
  <c r="F569" i="6" s="1"/>
  <c r="E571" i="6"/>
  <c r="F571" i="6" s="1"/>
  <c r="E513" i="6"/>
  <c r="F513" i="6" s="1"/>
  <c r="E515" i="6"/>
  <c r="F515" i="6" s="1"/>
  <c r="E510" i="6"/>
  <c r="F510" i="6" s="1"/>
  <c r="E508" i="6"/>
  <c r="F508" i="6" s="1"/>
  <c r="E506" i="6"/>
  <c r="F506" i="6" s="1"/>
  <c r="E504" i="6"/>
  <c r="F504" i="6" s="1"/>
  <c r="E502" i="6"/>
  <c r="F502" i="6" s="1"/>
  <c r="E500" i="6"/>
  <c r="F500" i="6" s="1"/>
  <c r="E498" i="6"/>
  <c r="F498" i="6" s="1"/>
  <c r="E496" i="6"/>
  <c r="F496" i="6" s="1"/>
  <c r="E494" i="6"/>
  <c r="F494" i="6" s="1"/>
  <c r="E492" i="6"/>
  <c r="F492" i="6" s="1"/>
  <c r="E490" i="6"/>
  <c r="F490" i="6" s="1"/>
  <c r="E488" i="6"/>
  <c r="F488" i="6" s="1"/>
  <c r="E486" i="6"/>
  <c r="F486" i="6" s="1"/>
  <c r="E484" i="6"/>
  <c r="F484" i="6" s="1"/>
  <c r="E482" i="6"/>
  <c r="F482" i="6" s="1"/>
  <c r="E480" i="6"/>
  <c r="F480" i="6" s="1"/>
  <c r="E478" i="6"/>
  <c r="F478" i="6" s="1"/>
  <c r="E476" i="6"/>
  <c r="F476" i="6" s="1"/>
  <c r="E474" i="6"/>
  <c r="F474" i="6" s="1"/>
  <c r="E472" i="6"/>
  <c r="F472" i="6" s="1"/>
  <c r="E470" i="6"/>
  <c r="F470" i="6" s="1"/>
  <c r="E469" i="6"/>
  <c r="F469" i="6" s="1"/>
  <c r="E468" i="6"/>
  <c r="F468" i="6" s="1"/>
  <c r="E467" i="6"/>
  <c r="F467" i="6" s="1"/>
  <c r="E466" i="6"/>
  <c r="F466" i="6" s="1"/>
  <c r="E465" i="6"/>
  <c r="F465" i="6" s="1"/>
  <c r="E464" i="6"/>
  <c r="F464" i="6" s="1"/>
  <c r="E462" i="6"/>
  <c r="F462" i="6" s="1"/>
  <c r="E460" i="6"/>
  <c r="F460" i="6" s="1"/>
  <c r="E458" i="6"/>
  <c r="F458" i="6" s="1"/>
  <c r="E456" i="6"/>
  <c r="F456" i="6" s="1"/>
  <c r="E454" i="6"/>
  <c r="F454" i="6" s="1"/>
  <c r="E452" i="6"/>
  <c r="F452" i="6" s="1"/>
  <c r="E451" i="6"/>
  <c r="F451" i="6" s="1"/>
  <c r="E450" i="6"/>
  <c r="F450" i="6" s="1"/>
  <c r="E449" i="6"/>
  <c r="F449" i="6" s="1"/>
  <c r="E448" i="6"/>
  <c r="F448" i="6" s="1"/>
  <c r="E447" i="6"/>
  <c r="F447" i="6" s="1"/>
  <c r="E446" i="6"/>
  <c r="F446" i="6" s="1"/>
  <c r="E445" i="6"/>
  <c r="F445" i="6" s="1"/>
  <c r="E444" i="6"/>
  <c r="F444" i="6" s="1"/>
  <c r="E443" i="6"/>
  <c r="F443" i="6" s="1"/>
  <c r="E442" i="6"/>
  <c r="F442" i="6" s="1"/>
  <c r="E441" i="6"/>
  <c r="F441" i="6" s="1"/>
  <c r="E440" i="6"/>
  <c r="F440" i="6" s="1"/>
  <c r="E439" i="6"/>
  <c r="F439" i="6" s="1"/>
  <c r="E438" i="6"/>
  <c r="F438" i="6" s="1"/>
  <c r="E437" i="6"/>
  <c r="F437" i="6" s="1"/>
  <c r="E436" i="6"/>
  <c r="F436" i="6" s="1"/>
  <c r="E435" i="6"/>
  <c r="F435" i="6" s="1"/>
  <c r="E434" i="6"/>
  <c r="F434" i="6" s="1"/>
  <c r="E433" i="6"/>
  <c r="F433" i="6" s="1"/>
  <c r="E432" i="6"/>
  <c r="F432" i="6" s="1"/>
  <c r="E431" i="6"/>
  <c r="F431" i="6" s="1"/>
  <c r="E430" i="6"/>
  <c r="F430" i="6" s="1"/>
  <c r="E429" i="6"/>
  <c r="F429" i="6" s="1"/>
  <c r="E428" i="6"/>
  <c r="F428" i="6" s="1"/>
  <c r="E427" i="6"/>
  <c r="F427" i="6" s="1"/>
  <c r="E426" i="6"/>
  <c r="F426" i="6" s="1"/>
  <c r="E425" i="6"/>
  <c r="F425" i="6" s="1"/>
  <c r="E424" i="6"/>
  <c r="F424" i="6" s="1"/>
  <c r="E423" i="6"/>
  <c r="F423" i="6" s="1"/>
  <c r="E422" i="6"/>
  <c r="F422" i="6" s="1"/>
  <c r="E421" i="6"/>
  <c r="F421" i="6" s="1"/>
  <c r="E420" i="6"/>
  <c r="F420" i="6" s="1"/>
  <c r="E419" i="6"/>
  <c r="F419" i="6" s="1"/>
  <c r="E418" i="6"/>
  <c r="F418" i="6" s="1"/>
  <c r="E417" i="6"/>
  <c r="F417" i="6" s="1"/>
  <c r="E416" i="6"/>
  <c r="F416" i="6" s="1"/>
  <c r="E415" i="6"/>
  <c r="F415" i="6" s="1"/>
  <c r="E414" i="6"/>
  <c r="F414" i="6" s="1"/>
  <c r="E413" i="6"/>
  <c r="F413" i="6" s="1"/>
  <c r="E412" i="6"/>
  <c r="F412" i="6" s="1"/>
  <c r="E411" i="6"/>
  <c r="F411" i="6" s="1"/>
  <c r="E410" i="6"/>
  <c r="F410" i="6" s="1"/>
  <c r="E409" i="6"/>
  <c r="F409" i="6" s="1"/>
  <c r="E408" i="6"/>
  <c r="F408" i="6" s="1"/>
  <c r="E407" i="6"/>
  <c r="F407" i="6" s="1"/>
  <c r="E406" i="6"/>
  <c r="F406" i="6" s="1"/>
  <c r="E405" i="6"/>
  <c r="F405" i="6" s="1"/>
  <c r="E404" i="6"/>
  <c r="F404" i="6" s="1"/>
  <c r="E403" i="6"/>
  <c r="F403" i="6" s="1"/>
  <c r="E402" i="6"/>
  <c r="F402" i="6" s="1"/>
  <c r="E401" i="6"/>
  <c r="F401" i="6" s="1"/>
  <c r="E400" i="6"/>
  <c r="F400" i="6" s="1"/>
  <c r="E399" i="6"/>
  <c r="F399" i="6" s="1"/>
  <c r="E398" i="6"/>
  <c r="F398" i="6" s="1"/>
  <c r="E511" i="6"/>
  <c r="F511" i="6" s="1"/>
  <c r="E503" i="6"/>
  <c r="F503" i="6" s="1"/>
  <c r="E495" i="6"/>
  <c r="F495" i="6" s="1"/>
  <c r="E487" i="6"/>
  <c r="F487" i="6" s="1"/>
  <c r="E479" i="6"/>
  <c r="F479" i="6" s="1"/>
  <c r="E471" i="6"/>
  <c r="F471" i="6" s="1"/>
  <c r="E463" i="6"/>
  <c r="F463" i="6" s="1"/>
  <c r="E455" i="6"/>
  <c r="F455" i="6" s="1"/>
  <c r="E395" i="6"/>
  <c r="F395" i="6" s="1"/>
  <c r="E393" i="6"/>
  <c r="F393" i="6" s="1"/>
  <c r="E391" i="6"/>
  <c r="F391" i="6" s="1"/>
  <c r="E389" i="6"/>
  <c r="F389" i="6" s="1"/>
  <c r="E387" i="6"/>
  <c r="F387" i="6" s="1"/>
  <c r="E385" i="6"/>
  <c r="F385" i="6" s="1"/>
  <c r="E509" i="6"/>
  <c r="F509" i="6" s="1"/>
  <c r="E501" i="6"/>
  <c r="F501" i="6" s="1"/>
  <c r="E493" i="6"/>
  <c r="F493" i="6" s="1"/>
  <c r="E485" i="6"/>
  <c r="F485" i="6" s="1"/>
  <c r="E477" i="6"/>
  <c r="F477" i="6" s="1"/>
  <c r="E457" i="6"/>
  <c r="F457" i="6" s="1"/>
  <c r="E507" i="6"/>
  <c r="F507" i="6" s="1"/>
  <c r="E499" i="6"/>
  <c r="F499" i="6" s="1"/>
  <c r="E491" i="6"/>
  <c r="F491" i="6" s="1"/>
  <c r="E483" i="6"/>
  <c r="F483" i="6" s="1"/>
  <c r="E475" i="6"/>
  <c r="F475" i="6" s="1"/>
  <c r="E459" i="6"/>
  <c r="F459" i="6" s="1"/>
  <c r="E394" i="6"/>
  <c r="F394" i="6" s="1"/>
  <c r="E392" i="6"/>
  <c r="F392" i="6" s="1"/>
  <c r="E390" i="6"/>
  <c r="F390" i="6" s="1"/>
  <c r="E388" i="6"/>
  <c r="F388" i="6" s="1"/>
  <c r="E386" i="6"/>
  <c r="F386" i="6" s="1"/>
  <c r="E384" i="6"/>
  <c r="F384" i="6" s="1"/>
  <c r="E383" i="6"/>
  <c r="F383" i="6" s="1"/>
  <c r="E382" i="6"/>
  <c r="F382" i="6" s="1"/>
  <c r="E381" i="6"/>
  <c r="F381" i="6" s="1"/>
  <c r="E380" i="6"/>
  <c r="F380" i="6" s="1"/>
  <c r="E379" i="6"/>
  <c r="F379" i="6" s="1"/>
  <c r="E378" i="6"/>
  <c r="F378" i="6" s="1"/>
  <c r="E377" i="6"/>
  <c r="F377" i="6" s="1"/>
  <c r="E376" i="6"/>
  <c r="F376" i="6" s="1"/>
  <c r="E375" i="6"/>
  <c r="F375" i="6" s="1"/>
  <c r="E374" i="6"/>
  <c r="F374" i="6" s="1"/>
  <c r="E373" i="6"/>
  <c r="F373" i="6" s="1"/>
  <c r="E372" i="6"/>
  <c r="F372" i="6" s="1"/>
  <c r="E371" i="6"/>
  <c r="F371" i="6" s="1"/>
  <c r="E370" i="6"/>
  <c r="F370" i="6" s="1"/>
  <c r="E369" i="6"/>
  <c r="F369" i="6" s="1"/>
  <c r="E368" i="6"/>
  <c r="F368" i="6" s="1"/>
  <c r="E367" i="6"/>
  <c r="F367" i="6" s="1"/>
  <c r="E366" i="6"/>
  <c r="F366" i="6" s="1"/>
  <c r="E365" i="6"/>
  <c r="F365" i="6" s="1"/>
  <c r="E364" i="6"/>
  <c r="F364" i="6" s="1"/>
  <c r="E363" i="6"/>
  <c r="F363" i="6" s="1"/>
  <c r="E362" i="6"/>
  <c r="F362" i="6" s="1"/>
  <c r="E361" i="6"/>
  <c r="F361" i="6" s="1"/>
  <c r="E360" i="6"/>
  <c r="F360" i="6" s="1"/>
  <c r="E359" i="6"/>
  <c r="F359" i="6" s="1"/>
  <c r="E358" i="6"/>
  <c r="F358" i="6" s="1"/>
  <c r="E357" i="6"/>
  <c r="F357" i="6" s="1"/>
  <c r="E356" i="6"/>
  <c r="F356" i="6" s="1"/>
  <c r="E355" i="6"/>
  <c r="F355" i="6" s="1"/>
  <c r="E354" i="6"/>
  <c r="F354" i="6" s="1"/>
  <c r="E353" i="6"/>
  <c r="F353" i="6" s="1"/>
  <c r="E352" i="6"/>
  <c r="F352" i="6" s="1"/>
  <c r="E351" i="6"/>
  <c r="F351" i="6" s="1"/>
  <c r="E350" i="6"/>
  <c r="F350" i="6" s="1"/>
  <c r="E349" i="6"/>
  <c r="F349" i="6" s="1"/>
  <c r="E348" i="6"/>
  <c r="F348" i="6" s="1"/>
  <c r="E347" i="6"/>
  <c r="F347" i="6" s="1"/>
  <c r="E346" i="6"/>
  <c r="F346" i="6" s="1"/>
  <c r="E345" i="6"/>
  <c r="F345" i="6" s="1"/>
  <c r="E344" i="6"/>
  <c r="F344" i="6" s="1"/>
  <c r="E343" i="6"/>
  <c r="F343" i="6" s="1"/>
  <c r="E342" i="6"/>
  <c r="F342" i="6" s="1"/>
  <c r="E341" i="6"/>
  <c r="F341" i="6" s="1"/>
  <c r="E340" i="6"/>
  <c r="F340" i="6" s="1"/>
  <c r="E339" i="6"/>
  <c r="F339" i="6" s="1"/>
  <c r="E338" i="6"/>
  <c r="F338" i="6" s="1"/>
  <c r="E337" i="6"/>
  <c r="F337" i="6" s="1"/>
  <c r="E336" i="6"/>
  <c r="F336" i="6" s="1"/>
  <c r="E335" i="6"/>
  <c r="F335" i="6" s="1"/>
  <c r="E334" i="6"/>
  <c r="F334" i="6" s="1"/>
  <c r="E333" i="6"/>
  <c r="F333" i="6" s="1"/>
  <c r="E332" i="6"/>
  <c r="F332" i="6" s="1"/>
  <c r="E331" i="6"/>
  <c r="F331" i="6" s="1"/>
  <c r="E330" i="6"/>
  <c r="F330" i="6" s="1"/>
  <c r="E329" i="6"/>
  <c r="F329" i="6" s="1"/>
  <c r="E328" i="6"/>
  <c r="F328" i="6" s="1"/>
  <c r="E327" i="6"/>
  <c r="F327" i="6" s="1"/>
  <c r="E326" i="6"/>
  <c r="F326" i="6" s="1"/>
  <c r="E325" i="6"/>
  <c r="F325" i="6" s="1"/>
  <c r="E324" i="6"/>
  <c r="F324" i="6" s="1"/>
  <c r="E323" i="6"/>
  <c r="F323" i="6" s="1"/>
  <c r="E322" i="6"/>
  <c r="F322" i="6" s="1"/>
  <c r="E321" i="6"/>
  <c r="F321" i="6" s="1"/>
  <c r="E320" i="6"/>
  <c r="F320" i="6" s="1"/>
  <c r="E319" i="6"/>
  <c r="F319" i="6" s="1"/>
  <c r="E318" i="6"/>
  <c r="F318" i="6" s="1"/>
  <c r="E317" i="6"/>
  <c r="F317" i="6" s="1"/>
  <c r="E316" i="6"/>
  <c r="F316" i="6" s="1"/>
  <c r="E315" i="6"/>
  <c r="F315" i="6" s="1"/>
  <c r="E314" i="6"/>
  <c r="F314" i="6" s="1"/>
  <c r="E313" i="6"/>
  <c r="F313" i="6" s="1"/>
  <c r="E312" i="6"/>
  <c r="F312" i="6" s="1"/>
  <c r="E311" i="6"/>
  <c r="F311" i="6" s="1"/>
  <c r="E310" i="6"/>
  <c r="F310" i="6" s="1"/>
  <c r="E309" i="6"/>
  <c r="F309" i="6" s="1"/>
  <c r="E308" i="6"/>
  <c r="F308" i="6" s="1"/>
  <c r="E307" i="6"/>
  <c r="F307" i="6" s="1"/>
  <c r="E306" i="6"/>
  <c r="F306" i="6" s="1"/>
  <c r="E305" i="6"/>
  <c r="F305" i="6" s="1"/>
  <c r="E304" i="6"/>
  <c r="F304" i="6" s="1"/>
  <c r="E303" i="6"/>
  <c r="F303" i="6" s="1"/>
  <c r="E302" i="6"/>
  <c r="F302" i="6" s="1"/>
  <c r="E301" i="6"/>
  <c r="F301" i="6" s="1"/>
  <c r="E300" i="6"/>
  <c r="F300" i="6" s="1"/>
  <c r="E299" i="6"/>
  <c r="F299" i="6" s="1"/>
  <c r="E298" i="6"/>
  <c r="F298" i="6" s="1"/>
  <c r="E297" i="6"/>
  <c r="F297" i="6" s="1"/>
  <c r="E296" i="6"/>
  <c r="F296" i="6" s="1"/>
  <c r="E295" i="6"/>
  <c r="F295" i="6" s="1"/>
  <c r="E294" i="6"/>
  <c r="F294" i="6" s="1"/>
  <c r="E293" i="6"/>
  <c r="F293" i="6" s="1"/>
  <c r="E292" i="6"/>
  <c r="F292" i="6" s="1"/>
  <c r="E291" i="6"/>
  <c r="F291" i="6" s="1"/>
  <c r="E290" i="6"/>
  <c r="F290" i="6" s="1"/>
  <c r="E289" i="6"/>
  <c r="F289" i="6" s="1"/>
  <c r="E288" i="6"/>
  <c r="F288" i="6" s="1"/>
  <c r="E287" i="6"/>
  <c r="F287" i="6" s="1"/>
  <c r="E286" i="6"/>
  <c r="F286" i="6" s="1"/>
  <c r="E285" i="6"/>
  <c r="F285" i="6" s="1"/>
  <c r="E284" i="6"/>
  <c r="F284" i="6" s="1"/>
  <c r="E283" i="6"/>
  <c r="F283" i="6" s="1"/>
  <c r="E282" i="6"/>
  <c r="F282" i="6" s="1"/>
  <c r="E281" i="6"/>
  <c r="F281" i="6" s="1"/>
  <c r="E280" i="6"/>
  <c r="F280" i="6" s="1"/>
  <c r="E279" i="6"/>
  <c r="F279" i="6" s="1"/>
  <c r="E278" i="6"/>
  <c r="F278" i="6" s="1"/>
  <c r="E277" i="6"/>
  <c r="F277" i="6" s="1"/>
  <c r="E276" i="6"/>
  <c r="F276" i="6" s="1"/>
  <c r="E275" i="6"/>
  <c r="F275" i="6" s="1"/>
  <c r="E274" i="6"/>
  <c r="F274" i="6" s="1"/>
  <c r="E273" i="6"/>
  <c r="F273" i="6" s="1"/>
  <c r="E272" i="6"/>
  <c r="F272" i="6" s="1"/>
  <c r="E271" i="6"/>
  <c r="F271" i="6" s="1"/>
  <c r="E270" i="6"/>
  <c r="F270" i="6" s="1"/>
  <c r="E269" i="6"/>
  <c r="F269" i="6" s="1"/>
  <c r="E268" i="6"/>
  <c r="F268" i="6" s="1"/>
  <c r="E267" i="6"/>
  <c r="F267" i="6" s="1"/>
  <c r="E266" i="6"/>
  <c r="F266" i="6" s="1"/>
  <c r="E497" i="6"/>
  <c r="F497" i="6" s="1"/>
  <c r="E489" i="6"/>
  <c r="F489" i="6" s="1"/>
  <c r="E453" i="6"/>
  <c r="F453" i="6" s="1"/>
  <c r="E397" i="6"/>
  <c r="F397" i="6" s="1"/>
  <c r="E252" i="6"/>
  <c r="F252" i="6" s="1"/>
  <c r="E250" i="6"/>
  <c r="F250" i="6" s="1"/>
  <c r="E248" i="6"/>
  <c r="F248" i="6" s="1"/>
  <c r="E246" i="6"/>
  <c r="F246" i="6" s="1"/>
  <c r="E244" i="6"/>
  <c r="F244" i="6" s="1"/>
  <c r="E243" i="6"/>
  <c r="F243" i="6" s="1"/>
  <c r="E242" i="6"/>
  <c r="F242" i="6" s="1"/>
  <c r="E241" i="6"/>
  <c r="F241" i="6" s="1"/>
  <c r="E240" i="6"/>
  <c r="F240" i="6" s="1"/>
  <c r="E239" i="6"/>
  <c r="F239" i="6" s="1"/>
  <c r="E238" i="6"/>
  <c r="F238" i="6" s="1"/>
  <c r="E237" i="6"/>
  <c r="F237" i="6" s="1"/>
  <c r="E236" i="6"/>
  <c r="F236" i="6" s="1"/>
  <c r="E235" i="6"/>
  <c r="F235" i="6" s="1"/>
  <c r="E234" i="6"/>
  <c r="F234" i="6" s="1"/>
  <c r="E233" i="6"/>
  <c r="F233" i="6" s="1"/>
  <c r="E232" i="6"/>
  <c r="F232" i="6" s="1"/>
  <c r="E231" i="6"/>
  <c r="F231" i="6" s="1"/>
  <c r="E230" i="6"/>
  <c r="F230" i="6" s="1"/>
  <c r="E229" i="6"/>
  <c r="F229" i="6" s="1"/>
  <c r="E228" i="6"/>
  <c r="F228" i="6" s="1"/>
  <c r="E227" i="6"/>
  <c r="F227" i="6" s="1"/>
  <c r="E226" i="6"/>
  <c r="F226" i="6" s="1"/>
  <c r="E225" i="6"/>
  <c r="F225" i="6" s="1"/>
  <c r="E224" i="6"/>
  <c r="F224" i="6" s="1"/>
  <c r="E223" i="6"/>
  <c r="F223" i="6" s="1"/>
  <c r="E222" i="6"/>
  <c r="F222" i="6" s="1"/>
  <c r="E221" i="6"/>
  <c r="F221" i="6" s="1"/>
  <c r="E220" i="6"/>
  <c r="F220" i="6" s="1"/>
  <c r="E219" i="6"/>
  <c r="F219" i="6" s="1"/>
  <c r="E218" i="6"/>
  <c r="F218" i="6" s="1"/>
  <c r="E217" i="6"/>
  <c r="F217" i="6" s="1"/>
  <c r="E216" i="6"/>
  <c r="F216" i="6" s="1"/>
  <c r="E215" i="6"/>
  <c r="F215" i="6" s="1"/>
  <c r="E214" i="6"/>
  <c r="F214" i="6" s="1"/>
  <c r="E213" i="6"/>
  <c r="F213" i="6" s="1"/>
  <c r="E212" i="6"/>
  <c r="F212" i="6" s="1"/>
  <c r="E211" i="6"/>
  <c r="F211" i="6" s="1"/>
  <c r="E210" i="6"/>
  <c r="F210" i="6" s="1"/>
  <c r="E209" i="6"/>
  <c r="F209" i="6" s="1"/>
  <c r="E208" i="6"/>
  <c r="F208" i="6" s="1"/>
  <c r="E207" i="6"/>
  <c r="F207" i="6" s="1"/>
  <c r="E206" i="6"/>
  <c r="F206" i="6" s="1"/>
  <c r="E205" i="6"/>
  <c r="F205" i="6" s="1"/>
  <c r="E204" i="6"/>
  <c r="F204" i="6" s="1"/>
  <c r="E203" i="6"/>
  <c r="F203" i="6" s="1"/>
  <c r="E202" i="6"/>
  <c r="F202" i="6" s="1"/>
  <c r="E201" i="6"/>
  <c r="F201" i="6" s="1"/>
  <c r="E200" i="6"/>
  <c r="F200" i="6" s="1"/>
  <c r="E199" i="6"/>
  <c r="F199" i="6" s="1"/>
  <c r="E198" i="6"/>
  <c r="F198" i="6" s="1"/>
  <c r="E197" i="6"/>
  <c r="F197" i="6" s="1"/>
  <c r="E196" i="6"/>
  <c r="F196" i="6" s="1"/>
  <c r="E195" i="6"/>
  <c r="F195" i="6" s="1"/>
  <c r="E194" i="6"/>
  <c r="F194" i="6" s="1"/>
  <c r="E193" i="6"/>
  <c r="F193" i="6" s="1"/>
  <c r="E192" i="6"/>
  <c r="F192" i="6" s="1"/>
  <c r="E191" i="6"/>
  <c r="F191" i="6" s="1"/>
  <c r="E190" i="6"/>
  <c r="F190" i="6" s="1"/>
  <c r="E189" i="6"/>
  <c r="F189" i="6" s="1"/>
  <c r="E188" i="6"/>
  <c r="F188" i="6" s="1"/>
  <c r="E187" i="6"/>
  <c r="F187" i="6" s="1"/>
  <c r="E186" i="6"/>
  <c r="F186" i="6" s="1"/>
  <c r="E185" i="6"/>
  <c r="F185" i="6" s="1"/>
  <c r="E184" i="6"/>
  <c r="F184" i="6" s="1"/>
  <c r="E183" i="6"/>
  <c r="F183" i="6" s="1"/>
  <c r="E182" i="6"/>
  <c r="F182" i="6" s="1"/>
  <c r="E181" i="6"/>
  <c r="F181" i="6" s="1"/>
  <c r="E180" i="6"/>
  <c r="F180" i="6" s="1"/>
  <c r="E179" i="6"/>
  <c r="F179" i="6" s="1"/>
  <c r="E481" i="6"/>
  <c r="F481" i="6" s="1"/>
  <c r="E461" i="6"/>
  <c r="F461" i="6" s="1"/>
  <c r="E396" i="6"/>
  <c r="F396" i="6" s="1"/>
  <c r="E505" i="6"/>
  <c r="F505" i="6" s="1"/>
  <c r="E263" i="6"/>
  <c r="F263" i="6" s="1"/>
  <c r="E259" i="6"/>
  <c r="F259" i="6" s="1"/>
  <c r="E255" i="6"/>
  <c r="F255" i="6" s="1"/>
  <c r="E249" i="6"/>
  <c r="F249" i="6" s="1"/>
  <c r="E264" i="6"/>
  <c r="F264" i="6" s="1"/>
  <c r="E256" i="6"/>
  <c r="F256" i="6" s="1"/>
  <c r="E473" i="6"/>
  <c r="F473" i="6" s="1"/>
  <c r="E262" i="6"/>
  <c r="F262" i="6" s="1"/>
  <c r="E258" i="6"/>
  <c r="F258" i="6" s="1"/>
  <c r="E254" i="6"/>
  <c r="F254" i="6" s="1"/>
  <c r="E251" i="6"/>
  <c r="F251" i="6" s="1"/>
  <c r="E178" i="6"/>
  <c r="F178" i="6" s="1"/>
  <c r="E177" i="6"/>
  <c r="F177" i="6" s="1"/>
  <c r="E176" i="6"/>
  <c r="F176" i="6" s="1"/>
  <c r="E175" i="6"/>
  <c r="F175" i="6" s="1"/>
  <c r="E174" i="6"/>
  <c r="F174" i="6" s="1"/>
  <c r="E173" i="6"/>
  <c r="F173" i="6" s="1"/>
  <c r="E172" i="6"/>
  <c r="F172" i="6" s="1"/>
  <c r="E171" i="6"/>
  <c r="F171" i="6" s="1"/>
  <c r="E170" i="6"/>
  <c r="F170" i="6" s="1"/>
  <c r="E169" i="6"/>
  <c r="F169" i="6" s="1"/>
  <c r="E168" i="6"/>
  <c r="F168" i="6" s="1"/>
  <c r="E167" i="6"/>
  <c r="F167" i="6" s="1"/>
  <c r="E166" i="6"/>
  <c r="F166" i="6" s="1"/>
  <c r="E165" i="6"/>
  <c r="F165" i="6" s="1"/>
  <c r="E164" i="6"/>
  <c r="F164" i="6" s="1"/>
  <c r="E163" i="6"/>
  <c r="F163" i="6" s="1"/>
  <c r="E162" i="6"/>
  <c r="F162" i="6" s="1"/>
  <c r="E161" i="6"/>
  <c r="F161" i="6" s="1"/>
  <c r="E160" i="6"/>
  <c r="F160" i="6" s="1"/>
  <c r="E159" i="6"/>
  <c r="F159" i="6" s="1"/>
  <c r="E158" i="6"/>
  <c r="F158" i="6" s="1"/>
  <c r="E157" i="6"/>
  <c r="F157" i="6" s="1"/>
  <c r="E156" i="6"/>
  <c r="F156" i="6" s="1"/>
  <c r="E155" i="6"/>
  <c r="F155" i="6" s="1"/>
  <c r="E154" i="6"/>
  <c r="F154" i="6" s="1"/>
  <c r="E153" i="6"/>
  <c r="F153" i="6" s="1"/>
  <c r="E152" i="6"/>
  <c r="F152" i="6" s="1"/>
  <c r="E151" i="6"/>
  <c r="F151" i="6" s="1"/>
  <c r="E150" i="6"/>
  <c r="F150" i="6" s="1"/>
  <c r="E149" i="6"/>
  <c r="F149" i="6" s="1"/>
  <c r="E148" i="6"/>
  <c r="F148" i="6" s="1"/>
  <c r="E147" i="6"/>
  <c r="F147" i="6" s="1"/>
  <c r="E146" i="6"/>
  <c r="F146" i="6" s="1"/>
  <c r="E145" i="6"/>
  <c r="F145" i="6" s="1"/>
  <c r="E144" i="6"/>
  <c r="F144" i="6" s="1"/>
  <c r="E143" i="6"/>
  <c r="F143" i="6" s="1"/>
  <c r="E142" i="6"/>
  <c r="F142" i="6" s="1"/>
  <c r="E141" i="6"/>
  <c r="F141" i="6" s="1"/>
  <c r="E140" i="6"/>
  <c r="F140" i="6" s="1"/>
  <c r="E139" i="6"/>
  <c r="F139" i="6" s="1"/>
  <c r="E138" i="6"/>
  <c r="F138" i="6" s="1"/>
  <c r="E137" i="6"/>
  <c r="F137" i="6" s="1"/>
  <c r="E136" i="6"/>
  <c r="F136" i="6" s="1"/>
  <c r="E135" i="6"/>
  <c r="F135" i="6" s="1"/>
  <c r="E134" i="6"/>
  <c r="F134" i="6" s="1"/>
  <c r="E133" i="6"/>
  <c r="F133" i="6" s="1"/>
  <c r="E132" i="6"/>
  <c r="F132" i="6" s="1"/>
  <c r="E131" i="6"/>
  <c r="F131" i="6" s="1"/>
  <c r="E130" i="6"/>
  <c r="F130" i="6" s="1"/>
  <c r="E129" i="6"/>
  <c r="F129" i="6" s="1"/>
  <c r="E128" i="6"/>
  <c r="F128" i="6" s="1"/>
  <c r="E127" i="6"/>
  <c r="F127" i="6" s="1"/>
  <c r="E126" i="6"/>
  <c r="F126" i="6" s="1"/>
  <c r="E125" i="6"/>
  <c r="F125" i="6" s="1"/>
  <c r="E247" i="6"/>
  <c r="F247" i="6" s="1"/>
  <c r="E265" i="6"/>
  <c r="F265" i="6" s="1"/>
  <c r="E261" i="6"/>
  <c r="F261" i="6" s="1"/>
  <c r="E257" i="6"/>
  <c r="F257" i="6" s="1"/>
  <c r="E253" i="6"/>
  <c r="F253" i="6" s="1"/>
  <c r="E245" i="6"/>
  <c r="F245" i="6" s="1"/>
  <c r="E260" i="6"/>
  <c r="F260" i="6" s="1"/>
  <c r="E20" i="6"/>
  <c r="F20" i="6" s="1"/>
  <c r="E22" i="6"/>
  <c r="F22" i="6" s="1"/>
  <c r="E24" i="6"/>
  <c r="F24" i="6" s="1"/>
  <c r="E26" i="6"/>
  <c r="F26" i="6" s="1"/>
  <c r="E28" i="6"/>
  <c r="F28" i="6" s="1"/>
  <c r="E30" i="6"/>
  <c r="F30" i="6" s="1"/>
  <c r="E32" i="6"/>
  <c r="F32" i="6" s="1"/>
  <c r="E34" i="6"/>
  <c r="F34" i="6" s="1"/>
  <c r="E36" i="6"/>
  <c r="F36" i="6" s="1"/>
  <c r="E38" i="6"/>
  <c r="F38" i="6" s="1"/>
  <c r="E40" i="6"/>
  <c r="F40" i="6" s="1"/>
  <c r="E42" i="6"/>
  <c r="F42" i="6" s="1"/>
  <c r="E44" i="6"/>
  <c r="F44" i="6" s="1"/>
  <c r="E46" i="6"/>
  <c r="F46" i="6" s="1"/>
  <c r="E48" i="6"/>
  <c r="F48" i="6" s="1"/>
  <c r="E50" i="6"/>
  <c r="F50" i="6" s="1"/>
  <c r="E52" i="6"/>
  <c r="F52" i="6" s="1"/>
  <c r="E54" i="6"/>
  <c r="F54" i="6" s="1"/>
  <c r="E56" i="6"/>
  <c r="F56" i="6" s="1"/>
  <c r="E58" i="6"/>
  <c r="F58" i="6" s="1"/>
  <c r="E60" i="6"/>
  <c r="F60" i="6" s="1"/>
  <c r="E62" i="6"/>
  <c r="F62" i="6" s="1"/>
  <c r="E64" i="6"/>
  <c r="F64" i="6" s="1"/>
  <c r="E66" i="6"/>
  <c r="F66" i="6" s="1"/>
  <c r="E68" i="6"/>
  <c r="F68" i="6" s="1"/>
  <c r="E70" i="6"/>
  <c r="F70" i="6" s="1"/>
  <c r="E72" i="6"/>
  <c r="F72" i="6" s="1"/>
  <c r="E74" i="6"/>
  <c r="F74" i="6" s="1"/>
  <c r="E76" i="6"/>
  <c r="F76" i="6" s="1"/>
  <c r="E78" i="6"/>
  <c r="F78" i="6" s="1"/>
  <c r="E80" i="6"/>
  <c r="F80" i="6" s="1"/>
  <c r="E82" i="6"/>
  <c r="F82" i="6" s="1"/>
  <c r="E84" i="6"/>
  <c r="F84" i="6" s="1"/>
  <c r="E86" i="6"/>
  <c r="F86" i="6" s="1"/>
  <c r="E88" i="6"/>
  <c r="F88" i="6" s="1"/>
  <c r="E90" i="6"/>
  <c r="F90" i="6" s="1"/>
  <c r="E92" i="6"/>
  <c r="F92" i="6" s="1"/>
  <c r="E94" i="6"/>
  <c r="F94" i="6" s="1"/>
  <c r="E96" i="6"/>
  <c r="F96" i="6" s="1"/>
  <c r="E98" i="6"/>
  <c r="F98" i="6" s="1"/>
  <c r="E100" i="6"/>
  <c r="F100" i="6" s="1"/>
  <c r="E102" i="6"/>
  <c r="F102" i="6" s="1"/>
  <c r="E104" i="6"/>
  <c r="F104" i="6" s="1"/>
  <c r="E106" i="6"/>
  <c r="F106" i="6" s="1"/>
  <c r="E108" i="6"/>
  <c r="F108" i="6" s="1"/>
  <c r="E110" i="6"/>
  <c r="F110" i="6" s="1"/>
  <c r="E112" i="6"/>
  <c r="F112" i="6" s="1"/>
  <c r="E114" i="6"/>
  <c r="F114" i="6" s="1"/>
  <c r="E116" i="6"/>
  <c r="F116" i="6" s="1"/>
  <c r="E118" i="6"/>
  <c r="F118" i="6" s="1"/>
  <c r="E120" i="6"/>
  <c r="F120" i="6" s="1"/>
  <c r="E122" i="6"/>
  <c r="F122" i="6" s="1"/>
  <c r="E124" i="6"/>
  <c r="F124" i="6" s="1"/>
  <c r="K127" i="6"/>
  <c r="L127" i="6" s="1"/>
  <c r="K131" i="6"/>
  <c r="L131" i="6" s="1"/>
  <c r="K135" i="6"/>
  <c r="L135" i="6" s="1"/>
  <c r="K139" i="6"/>
  <c r="L139" i="6" s="1"/>
  <c r="K143" i="6"/>
  <c r="L143" i="6" s="1"/>
  <c r="K147" i="6"/>
  <c r="L147" i="6" s="1"/>
  <c r="K151" i="6"/>
  <c r="L151" i="6" s="1"/>
  <c r="K155" i="6"/>
  <c r="L155" i="6" s="1"/>
  <c r="K159" i="6"/>
  <c r="L159" i="6" s="1"/>
  <c r="K163" i="6"/>
  <c r="L163" i="6" s="1"/>
  <c r="K167" i="6"/>
  <c r="L167" i="6" s="1"/>
  <c r="K171" i="6"/>
  <c r="L171" i="6" s="1"/>
  <c r="K175" i="6"/>
  <c r="L175" i="6" s="1"/>
  <c r="H180" i="6"/>
  <c r="I180" i="6" s="1"/>
  <c r="H188" i="6"/>
  <c r="I188" i="6" s="1"/>
  <c r="K46" i="6"/>
  <c r="L46" i="6" s="1"/>
  <c r="K48" i="6"/>
  <c r="L48" i="6" s="1"/>
  <c r="K50" i="6"/>
  <c r="L50" i="6" s="1"/>
  <c r="K52" i="6"/>
  <c r="L52" i="6" s="1"/>
  <c r="K54" i="6"/>
  <c r="L54" i="6" s="1"/>
  <c r="K56" i="6"/>
  <c r="L56" i="6" s="1"/>
  <c r="K58" i="6"/>
  <c r="L58" i="6" s="1"/>
  <c r="K60" i="6"/>
  <c r="L60" i="6" s="1"/>
  <c r="K62" i="6"/>
  <c r="L62" i="6" s="1"/>
  <c r="K64" i="6"/>
  <c r="L64" i="6" s="1"/>
  <c r="K66" i="6"/>
  <c r="L66" i="6" s="1"/>
  <c r="K68" i="6"/>
  <c r="L68" i="6" s="1"/>
  <c r="K70" i="6"/>
  <c r="L70" i="6" s="1"/>
  <c r="K72" i="6"/>
  <c r="L72" i="6" s="1"/>
  <c r="K74" i="6"/>
  <c r="L74" i="6" s="1"/>
  <c r="K76" i="6"/>
  <c r="L76" i="6" s="1"/>
  <c r="K78" i="6"/>
  <c r="L78" i="6" s="1"/>
  <c r="K80" i="6"/>
  <c r="L80" i="6" s="1"/>
  <c r="K82" i="6"/>
  <c r="L82" i="6" s="1"/>
  <c r="K84" i="6"/>
  <c r="L84" i="6" s="1"/>
  <c r="K86" i="6"/>
  <c r="L86" i="6" s="1"/>
  <c r="K88" i="6"/>
  <c r="L88" i="6" s="1"/>
  <c r="K90" i="6"/>
  <c r="L90" i="6" s="1"/>
  <c r="K92" i="6"/>
  <c r="L92" i="6" s="1"/>
  <c r="K94" i="6"/>
  <c r="L94" i="6" s="1"/>
  <c r="K96" i="6"/>
  <c r="L96" i="6" s="1"/>
  <c r="K98" i="6"/>
  <c r="L98" i="6" s="1"/>
  <c r="K100" i="6"/>
  <c r="L100" i="6" s="1"/>
  <c r="K102" i="6"/>
  <c r="L102" i="6" s="1"/>
  <c r="K104" i="6"/>
  <c r="L104" i="6" s="1"/>
  <c r="K106" i="6"/>
  <c r="L106" i="6" s="1"/>
  <c r="K108" i="6"/>
  <c r="L108" i="6" s="1"/>
  <c r="K110" i="6"/>
  <c r="L110" i="6" s="1"/>
  <c r="K112" i="6"/>
  <c r="L112" i="6" s="1"/>
  <c r="K114" i="6"/>
  <c r="L114" i="6" s="1"/>
  <c r="K116" i="6"/>
  <c r="L116" i="6" s="1"/>
  <c r="K118" i="6"/>
  <c r="L118" i="6" s="1"/>
  <c r="K120" i="6"/>
  <c r="L120" i="6" s="1"/>
  <c r="K122" i="6"/>
  <c r="L122" i="6" s="1"/>
  <c r="N124" i="6"/>
  <c r="O124" i="6" s="1"/>
  <c r="K128" i="6"/>
  <c r="L128" i="6" s="1"/>
  <c r="K132" i="6"/>
  <c r="L132" i="6" s="1"/>
  <c r="K136" i="6"/>
  <c r="L136" i="6" s="1"/>
  <c r="K140" i="6"/>
  <c r="L140" i="6" s="1"/>
  <c r="K144" i="6"/>
  <c r="L144" i="6" s="1"/>
  <c r="K148" i="6"/>
  <c r="L148" i="6" s="1"/>
  <c r="K152" i="6"/>
  <c r="L152" i="6" s="1"/>
  <c r="K156" i="6"/>
  <c r="L156" i="6" s="1"/>
  <c r="K160" i="6"/>
  <c r="L160" i="6" s="1"/>
  <c r="K164" i="6"/>
  <c r="L164" i="6" s="1"/>
  <c r="K168" i="6"/>
  <c r="L168" i="6" s="1"/>
  <c r="K172" i="6"/>
  <c r="L172" i="6" s="1"/>
  <c r="H182" i="6"/>
  <c r="I182" i="6" s="1"/>
  <c r="H242" i="6"/>
  <c r="I242" i="6" s="1"/>
  <c r="H238" i="6"/>
  <c r="I238" i="6" s="1"/>
  <c r="H234" i="6"/>
  <c r="I234" i="6" s="1"/>
  <c r="H230" i="6"/>
  <c r="I230" i="6" s="1"/>
  <c r="H226" i="6"/>
  <c r="I226" i="6" s="1"/>
  <c r="H222" i="6"/>
  <c r="I222" i="6" s="1"/>
  <c r="H218" i="6"/>
  <c r="I218" i="6" s="1"/>
  <c r="H214" i="6"/>
  <c r="I214" i="6" s="1"/>
  <c r="H210" i="6"/>
  <c r="I210" i="6" s="1"/>
  <c r="H206" i="6"/>
  <c r="I206" i="6" s="1"/>
  <c r="H202" i="6"/>
  <c r="I202" i="6" s="1"/>
  <c r="H198" i="6"/>
  <c r="I198" i="6" s="1"/>
  <c r="H192" i="6"/>
  <c r="I192" i="6" s="1"/>
  <c r="H240" i="6"/>
  <c r="I240" i="6" s="1"/>
  <c r="H236" i="6"/>
  <c r="I236" i="6" s="1"/>
  <c r="H232" i="6"/>
  <c r="I232" i="6" s="1"/>
  <c r="H228" i="6"/>
  <c r="I228" i="6" s="1"/>
  <c r="H224" i="6"/>
  <c r="I224" i="6" s="1"/>
  <c r="H220" i="6"/>
  <c r="I220" i="6" s="1"/>
  <c r="H216" i="6"/>
  <c r="I216" i="6" s="1"/>
  <c r="H212" i="6"/>
  <c r="I212" i="6" s="1"/>
  <c r="H208" i="6"/>
  <c r="I208" i="6" s="1"/>
  <c r="H204" i="6"/>
  <c r="I204" i="6" s="1"/>
  <c r="H200" i="6"/>
  <c r="I200" i="6" s="1"/>
  <c r="H194" i="6"/>
  <c r="I194" i="6" s="1"/>
  <c r="H458" i="6"/>
  <c r="I458" i="6" s="1"/>
  <c r="K691" i="6"/>
  <c r="L691" i="6" s="1"/>
  <c r="K689" i="6"/>
  <c r="L689" i="6" s="1"/>
  <c r="K687" i="6"/>
  <c r="L687" i="6" s="1"/>
  <c r="K685" i="6"/>
  <c r="L685" i="6" s="1"/>
  <c r="K683" i="6"/>
  <c r="L683" i="6" s="1"/>
  <c r="K681" i="6"/>
  <c r="L681" i="6" s="1"/>
  <c r="K679" i="6"/>
  <c r="L679" i="6" s="1"/>
  <c r="K677" i="6"/>
  <c r="L677" i="6" s="1"/>
  <c r="K675" i="6"/>
  <c r="L675" i="6" s="1"/>
  <c r="K673" i="6"/>
  <c r="L673" i="6" s="1"/>
  <c r="K671" i="6"/>
  <c r="L671" i="6" s="1"/>
  <c r="K669" i="6"/>
  <c r="L669" i="6" s="1"/>
  <c r="K667" i="6"/>
  <c r="L667" i="6" s="1"/>
  <c r="K665" i="6"/>
  <c r="L665" i="6" s="1"/>
  <c r="K663" i="6"/>
  <c r="L663" i="6" s="1"/>
  <c r="K661" i="6"/>
  <c r="L661" i="6" s="1"/>
  <c r="K659" i="6"/>
  <c r="L659" i="6" s="1"/>
  <c r="K657" i="6"/>
  <c r="L657" i="6" s="1"/>
  <c r="K655" i="6"/>
  <c r="L655" i="6" s="1"/>
  <c r="K653" i="6"/>
  <c r="L653" i="6" s="1"/>
  <c r="K651" i="6"/>
  <c r="L651" i="6" s="1"/>
  <c r="K690" i="6"/>
  <c r="L690" i="6" s="1"/>
  <c r="K688" i="6"/>
  <c r="L688" i="6" s="1"/>
  <c r="K686" i="6"/>
  <c r="L686" i="6" s="1"/>
  <c r="K684" i="6"/>
  <c r="L684" i="6" s="1"/>
  <c r="K682" i="6"/>
  <c r="L682" i="6" s="1"/>
  <c r="K680" i="6"/>
  <c r="L680" i="6" s="1"/>
  <c r="K678" i="6"/>
  <c r="L678" i="6" s="1"/>
  <c r="K676" i="6"/>
  <c r="L676" i="6" s="1"/>
  <c r="K674" i="6"/>
  <c r="L674" i="6" s="1"/>
  <c r="K672" i="6"/>
  <c r="L672" i="6" s="1"/>
  <c r="K670" i="6"/>
  <c r="L670" i="6" s="1"/>
  <c r="K668" i="6"/>
  <c r="L668" i="6" s="1"/>
  <c r="K666" i="6"/>
  <c r="L666" i="6" s="1"/>
  <c r="K664" i="6"/>
  <c r="L664" i="6" s="1"/>
  <c r="K662" i="6"/>
  <c r="L662" i="6" s="1"/>
  <c r="K660" i="6"/>
  <c r="L660" i="6" s="1"/>
  <c r="K658" i="6"/>
  <c r="L658" i="6" s="1"/>
  <c r="K656" i="6"/>
  <c r="L656" i="6" s="1"/>
  <c r="K654" i="6"/>
  <c r="L654" i="6" s="1"/>
  <c r="K652" i="6"/>
  <c r="L652" i="6" s="1"/>
  <c r="K650" i="6"/>
  <c r="L650" i="6" s="1"/>
  <c r="K649" i="6"/>
  <c r="L649" i="6" s="1"/>
  <c r="K648" i="6"/>
  <c r="L648" i="6" s="1"/>
  <c r="K647" i="6"/>
  <c r="L647" i="6" s="1"/>
  <c r="K638" i="6"/>
  <c r="L638" i="6" s="1"/>
  <c r="K636" i="6"/>
  <c r="L636" i="6" s="1"/>
  <c r="K634" i="6"/>
  <c r="L634" i="6" s="1"/>
  <c r="K632" i="6"/>
  <c r="L632" i="6" s="1"/>
  <c r="K630" i="6"/>
  <c r="L630" i="6" s="1"/>
  <c r="K628" i="6"/>
  <c r="L628" i="6" s="1"/>
  <c r="K626" i="6"/>
  <c r="L626" i="6" s="1"/>
  <c r="K624" i="6"/>
  <c r="L624" i="6" s="1"/>
  <c r="K622" i="6"/>
  <c r="L622" i="6" s="1"/>
  <c r="K620" i="6"/>
  <c r="L620" i="6" s="1"/>
  <c r="K618" i="6"/>
  <c r="L618" i="6" s="1"/>
  <c r="K616" i="6"/>
  <c r="L616" i="6" s="1"/>
  <c r="K614" i="6"/>
  <c r="L614" i="6" s="1"/>
  <c r="K612" i="6"/>
  <c r="L612" i="6" s="1"/>
  <c r="K610" i="6"/>
  <c r="L610" i="6" s="1"/>
  <c r="K608" i="6"/>
  <c r="L608" i="6" s="1"/>
  <c r="K606" i="6"/>
  <c r="L606" i="6" s="1"/>
  <c r="K604" i="6"/>
  <c r="L604" i="6" s="1"/>
  <c r="K602" i="6"/>
  <c r="L602" i="6" s="1"/>
  <c r="K600" i="6"/>
  <c r="L600" i="6" s="1"/>
  <c r="K598" i="6"/>
  <c r="L598" i="6" s="1"/>
  <c r="K643" i="6"/>
  <c r="L643" i="6" s="1"/>
  <c r="K639" i="6"/>
  <c r="L639" i="6" s="1"/>
  <c r="K631" i="6"/>
  <c r="L631" i="6" s="1"/>
  <c r="K623" i="6"/>
  <c r="L623" i="6" s="1"/>
  <c r="K615" i="6"/>
  <c r="L615" i="6" s="1"/>
  <c r="K607" i="6"/>
  <c r="L607" i="6" s="1"/>
  <c r="K599" i="6"/>
  <c r="L599" i="6" s="1"/>
  <c r="K575" i="6"/>
  <c r="L575" i="6" s="1"/>
  <c r="K573" i="6"/>
  <c r="L573" i="6" s="1"/>
  <c r="K571" i="6"/>
  <c r="L571" i="6" s="1"/>
  <c r="K569" i="6"/>
  <c r="L569" i="6" s="1"/>
  <c r="K567" i="6"/>
  <c r="L567" i="6" s="1"/>
  <c r="K646" i="6"/>
  <c r="L646" i="6" s="1"/>
  <c r="K642" i="6"/>
  <c r="L642" i="6" s="1"/>
  <c r="K633" i="6"/>
  <c r="L633" i="6" s="1"/>
  <c r="K625" i="6"/>
  <c r="L625" i="6" s="1"/>
  <c r="K617" i="6"/>
  <c r="L617" i="6" s="1"/>
  <c r="K609" i="6"/>
  <c r="L609" i="6" s="1"/>
  <c r="K601" i="6"/>
  <c r="L601" i="6" s="1"/>
  <c r="K645" i="6"/>
  <c r="L645" i="6" s="1"/>
  <c r="K641" i="6"/>
  <c r="L641" i="6" s="1"/>
  <c r="K635" i="6"/>
  <c r="L635" i="6" s="1"/>
  <c r="K627" i="6"/>
  <c r="L627" i="6" s="1"/>
  <c r="K619" i="6"/>
  <c r="L619" i="6" s="1"/>
  <c r="K611" i="6"/>
  <c r="L611" i="6" s="1"/>
  <c r="K603" i="6"/>
  <c r="L603" i="6" s="1"/>
  <c r="K597" i="6"/>
  <c r="L597" i="6" s="1"/>
  <c r="K596" i="6"/>
  <c r="L596" i="6" s="1"/>
  <c r="K595" i="6"/>
  <c r="L595" i="6" s="1"/>
  <c r="K594" i="6"/>
  <c r="L594" i="6" s="1"/>
  <c r="K593" i="6"/>
  <c r="L593" i="6" s="1"/>
  <c r="K592" i="6"/>
  <c r="L592" i="6" s="1"/>
  <c r="K591" i="6"/>
  <c r="L591" i="6" s="1"/>
  <c r="K590" i="6"/>
  <c r="L590" i="6" s="1"/>
  <c r="K589" i="6"/>
  <c r="L589" i="6" s="1"/>
  <c r="K588" i="6"/>
  <c r="L588" i="6" s="1"/>
  <c r="K587" i="6"/>
  <c r="L587" i="6" s="1"/>
  <c r="K586" i="6"/>
  <c r="L586" i="6" s="1"/>
  <c r="K585" i="6"/>
  <c r="L585" i="6" s="1"/>
  <c r="K584" i="6"/>
  <c r="L584" i="6" s="1"/>
  <c r="K583" i="6"/>
  <c r="L583" i="6" s="1"/>
  <c r="K582" i="6"/>
  <c r="L582" i="6" s="1"/>
  <c r="K581" i="6"/>
  <c r="L581" i="6" s="1"/>
  <c r="K580" i="6"/>
  <c r="L580" i="6" s="1"/>
  <c r="K579" i="6"/>
  <c r="L579" i="6" s="1"/>
  <c r="K578" i="6"/>
  <c r="L578" i="6" s="1"/>
  <c r="K577" i="6"/>
  <c r="L577" i="6" s="1"/>
  <c r="K576" i="6"/>
  <c r="L576" i="6" s="1"/>
  <c r="K574" i="6"/>
  <c r="L574" i="6" s="1"/>
  <c r="K572" i="6"/>
  <c r="L572" i="6" s="1"/>
  <c r="K570" i="6"/>
  <c r="L570" i="6" s="1"/>
  <c r="K568" i="6"/>
  <c r="L568" i="6" s="1"/>
  <c r="K566" i="6"/>
  <c r="L566" i="6" s="1"/>
  <c r="K565" i="6"/>
  <c r="L565" i="6" s="1"/>
  <c r="K564" i="6"/>
  <c r="L564" i="6" s="1"/>
  <c r="K563" i="6"/>
  <c r="L563" i="6" s="1"/>
  <c r="K562" i="6"/>
  <c r="L562" i="6" s="1"/>
  <c r="K561" i="6"/>
  <c r="L561" i="6" s="1"/>
  <c r="K560" i="6"/>
  <c r="L560" i="6" s="1"/>
  <c r="K559" i="6"/>
  <c r="L559" i="6" s="1"/>
  <c r="K558" i="6"/>
  <c r="L558" i="6" s="1"/>
  <c r="K557" i="6"/>
  <c r="L557" i="6" s="1"/>
  <c r="K556" i="6"/>
  <c r="L556" i="6" s="1"/>
  <c r="K555" i="6"/>
  <c r="L555" i="6" s="1"/>
  <c r="K554" i="6"/>
  <c r="L554" i="6" s="1"/>
  <c r="K553" i="6"/>
  <c r="L553" i="6" s="1"/>
  <c r="K552" i="6"/>
  <c r="L552" i="6" s="1"/>
  <c r="K551" i="6"/>
  <c r="L551" i="6" s="1"/>
  <c r="K550" i="6"/>
  <c r="L550" i="6" s="1"/>
  <c r="K549" i="6"/>
  <c r="L549" i="6" s="1"/>
  <c r="K548" i="6"/>
  <c r="L548" i="6" s="1"/>
  <c r="K547" i="6"/>
  <c r="L547" i="6" s="1"/>
  <c r="K546" i="6"/>
  <c r="L546" i="6" s="1"/>
  <c r="K545" i="6"/>
  <c r="L545" i="6" s="1"/>
  <c r="K544" i="6"/>
  <c r="L544" i="6" s="1"/>
  <c r="K543" i="6"/>
  <c r="L543" i="6" s="1"/>
  <c r="K542" i="6"/>
  <c r="L542" i="6" s="1"/>
  <c r="K541" i="6"/>
  <c r="L541" i="6" s="1"/>
  <c r="K540" i="6"/>
  <c r="L540" i="6" s="1"/>
  <c r="K539" i="6"/>
  <c r="L539" i="6" s="1"/>
  <c r="K538" i="6"/>
  <c r="L538" i="6" s="1"/>
  <c r="K537" i="6"/>
  <c r="L537" i="6" s="1"/>
  <c r="K536" i="6"/>
  <c r="L536" i="6" s="1"/>
  <c r="K535" i="6"/>
  <c r="L535" i="6" s="1"/>
  <c r="K534" i="6"/>
  <c r="L534" i="6" s="1"/>
  <c r="K533" i="6"/>
  <c r="L533" i="6" s="1"/>
  <c r="K532" i="6"/>
  <c r="L532" i="6" s="1"/>
  <c r="K531" i="6"/>
  <c r="L531" i="6" s="1"/>
  <c r="K530" i="6"/>
  <c r="L530" i="6" s="1"/>
  <c r="K529" i="6"/>
  <c r="L529" i="6" s="1"/>
  <c r="K528" i="6"/>
  <c r="L528" i="6" s="1"/>
  <c r="K527" i="6"/>
  <c r="L527" i="6" s="1"/>
  <c r="K526" i="6"/>
  <c r="L526" i="6" s="1"/>
  <c r="K525" i="6"/>
  <c r="L525" i="6" s="1"/>
  <c r="K644" i="6"/>
  <c r="L644" i="6" s="1"/>
  <c r="K621" i="6"/>
  <c r="L621" i="6" s="1"/>
  <c r="K515" i="6"/>
  <c r="L515" i="6" s="1"/>
  <c r="K513" i="6"/>
  <c r="L513" i="6" s="1"/>
  <c r="K511" i="6"/>
  <c r="L511" i="6" s="1"/>
  <c r="K640" i="6"/>
  <c r="L640" i="6" s="1"/>
  <c r="K629" i="6"/>
  <c r="L629" i="6" s="1"/>
  <c r="K637" i="6"/>
  <c r="L637" i="6" s="1"/>
  <c r="K605" i="6"/>
  <c r="L605" i="6" s="1"/>
  <c r="K514" i="6"/>
  <c r="L514" i="6" s="1"/>
  <c r="K512" i="6"/>
  <c r="L512" i="6" s="1"/>
  <c r="K523" i="6"/>
  <c r="L523" i="6" s="1"/>
  <c r="K519" i="6"/>
  <c r="L519" i="6" s="1"/>
  <c r="K510" i="6"/>
  <c r="L510" i="6" s="1"/>
  <c r="K508" i="6"/>
  <c r="L508" i="6" s="1"/>
  <c r="K506" i="6"/>
  <c r="L506" i="6" s="1"/>
  <c r="K504" i="6"/>
  <c r="L504" i="6" s="1"/>
  <c r="K502" i="6"/>
  <c r="L502" i="6" s="1"/>
  <c r="K500" i="6"/>
  <c r="L500" i="6" s="1"/>
  <c r="K498" i="6"/>
  <c r="L498" i="6" s="1"/>
  <c r="K496" i="6"/>
  <c r="L496" i="6" s="1"/>
  <c r="K494" i="6"/>
  <c r="L494" i="6" s="1"/>
  <c r="K492" i="6"/>
  <c r="L492" i="6" s="1"/>
  <c r="K490" i="6"/>
  <c r="L490" i="6" s="1"/>
  <c r="K488" i="6"/>
  <c r="L488" i="6" s="1"/>
  <c r="K486" i="6"/>
  <c r="L486" i="6" s="1"/>
  <c r="K484" i="6"/>
  <c r="L484" i="6" s="1"/>
  <c r="K482" i="6"/>
  <c r="L482" i="6" s="1"/>
  <c r="K480" i="6"/>
  <c r="L480" i="6" s="1"/>
  <c r="K478" i="6"/>
  <c r="L478" i="6" s="1"/>
  <c r="K476" i="6"/>
  <c r="L476" i="6" s="1"/>
  <c r="K474" i="6"/>
  <c r="L474" i="6" s="1"/>
  <c r="K472" i="6"/>
  <c r="L472" i="6" s="1"/>
  <c r="K470" i="6"/>
  <c r="L470" i="6" s="1"/>
  <c r="K463" i="6"/>
  <c r="L463" i="6" s="1"/>
  <c r="K461" i="6"/>
  <c r="L461" i="6" s="1"/>
  <c r="K459" i="6"/>
  <c r="L459" i="6" s="1"/>
  <c r="K457" i="6"/>
  <c r="L457" i="6" s="1"/>
  <c r="K455" i="6"/>
  <c r="L455" i="6" s="1"/>
  <c r="K453" i="6"/>
  <c r="L453" i="6" s="1"/>
  <c r="K522" i="6"/>
  <c r="L522" i="6" s="1"/>
  <c r="K518" i="6"/>
  <c r="L518" i="6" s="1"/>
  <c r="K451" i="6"/>
  <c r="L451" i="6" s="1"/>
  <c r="K450" i="6"/>
  <c r="L450" i="6" s="1"/>
  <c r="K449" i="6"/>
  <c r="L449" i="6" s="1"/>
  <c r="K448" i="6"/>
  <c r="L448" i="6" s="1"/>
  <c r="K447" i="6"/>
  <c r="L447" i="6" s="1"/>
  <c r="K446" i="6"/>
  <c r="L446" i="6" s="1"/>
  <c r="K445" i="6"/>
  <c r="L445" i="6" s="1"/>
  <c r="K444" i="6"/>
  <c r="L444" i="6" s="1"/>
  <c r="K443" i="6"/>
  <c r="L443" i="6" s="1"/>
  <c r="K442" i="6"/>
  <c r="L442" i="6" s="1"/>
  <c r="K441" i="6"/>
  <c r="L441" i="6" s="1"/>
  <c r="K440" i="6"/>
  <c r="L440" i="6" s="1"/>
  <c r="K439" i="6"/>
  <c r="L439" i="6" s="1"/>
  <c r="K438" i="6"/>
  <c r="L438" i="6" s="1"/>
  <c r="K437" i="6"/>
  <c r="L437" i="6" s="1"/>
  <c r="K436" i="6"/>
  <c r="L436" i="6" s="1"/>
  <c r="K435" i="6"/>
  <c r="L435" i="6" s="1"/>
  <c r="K434" i="6"/>
  <c r="L434" i="6" s="1"/>
  <c r="K433" i="6"/>
  <c r="L433" i="6" s="1"/>
  <c r="K432" i="6"/>
  <c r="L432" i="6" s="1"/>
  <c r="K431" i="6"/>
  <c r="L431" i="6" s="1"/>
  <c r="K430" i="6"/>
  <c r="L430" i="6" s="1"/>
  <c r="K429" i="6"/>
  <c r="L429" i="6" s="1"/>
  <c r="K428" i="6"/>
  <c r="L428" i="6" s="1"/>
  <c r="K427" i="6"/>
  <c r="L427" i="6" s="1"/>
  <c r="K426" i="6"/>
  <c r="L426" i="6" s="1"/>
  <c r="K425" i="6"/>
  <c r="L425" i="6" s="1"/>
  <c r="K424" i="6"/>
  <c r="L424" i="6" s="1"/>
  <c r="K423" i="6"/>
  <c r="L423" i="6" s="1"/>
  <c r="K422" i="6"/>
  <c r="L422" i="6" s="1"/>
  <c r="K421" i="6"/>
  <c r="L421" i="6" s="1"/>
  <c r="K420" i="6"/>
  <c r="L420" i="6" s="1"/>
  <c r="K419" i="6"/>
  <c r="L419" i="6" s="1"/>
  <c r="K418" i="6"/>
  <c r="L418" i="6" s="1"/>
  <c r="K417" i="6"/>
  <c r="L417" i="6" s="1"/>
  <c r="K416" i="6"/>
  <c r="L416" i="6" s="1"/>
  <c r="K415" i="6"/>
  <c r="L415" i="6" s="1"/>
  <c r="K414" i="6"/>
  <c r="L414" i="6" s="1"/>
  <c r="K413" i="6"/>
  <c r="L413" i="6" s="1"/>
  <c r="K412" i="6"/>
  <c r="L412" i="6" s="1"/>
  <c r="K411" i="6"/>
  <c r="L411" i="6" s="1"/>
  <c r="K410" i="6"/>
  <c r="L410" i="6" s="1"/>
  <c r="K409" i="6"/>
  <c r="L409" i="6" s="1"/>
  <c r="K408" i="6"/>
  <c r="L408" i="6" s="1"/>
  <c r="K407" i="6"/>
  <c r="L407" i="6" s="1"/>
  <c r="K406" i="6"/>
  <c r="L406" i="6" s="1"/>
  <c r="K405" i="6"/>
  <c r="L405" i="6" s="1"/>
  <c r="K404" i="6"/>
  <c r="L404" i="6" s="1"/>
  <c r="K403" i="6"/>
  <c r="L403" i="6" s="1"/>
  <c r="K402" i="6"/>
  <c r="L402" i="6" s="1"/>
  <c r="K401" i="6"/>
  <c r="L401" i="6" s="1"/>
  <c r="K400" i="6"/>
  <c r="L400" i="6" s="1"/>
  <c r="K399" i="6"/>
  <c r="L399" i="6" s="1"/>
  <c r="K398" i="6"/>
  <c r="L398" i="6" s="1"/>
  <c r="K397" i="6"/>
  <c r="L397" i="6" s="1"/>
  <c r="K521" i="6"/>
  <c r="L521" i="6" s="1"/>
  <c r="K517" i="6"/>
  <c r="L517" i="6" s="1"/>
  <c r="K509" i="6"/>
  <c r="L509" i="6" s="1"/>
  <c r="K507" i="6"/>
  <c r="L507" i="6" s="1"/>
  <c r="K505" i="6"/>
  <c r="L505" i="6" s="1"/>
  <c r="K503" i="6"/>
  <c r="L503" i="6" s="1"/>
  <c r="K501" i="6"/>
  <c r="L501" i="6" s="1"/>
  <c r="K499" i="6"/>
  <c r="L499" i="6" s="1"/>
  <c r="K497" i="6"/>
  <c r="L497" i="6" s="1"/>
  <c r="K495" i="6"/>
  <c r="L495" i="6" s="1"/>
  <c r="K493" i="6"/>
  <c r="L493" i="6" s="1"/>
  <c r="K491" i="6"/>
  <c r="L491" i="6" s="1"/>
  <c r="K489" i="6"/>
  <c r="L489" i="6" s="1"/>
  <c r="K487" i="6"/>
  <c r="L487" i="6" s="1"/>
  <c r="K485" i="6"/>
  <c r="L485" i="6" s="1"/>
  <c r="K483" i="6"/>
  <c r="L483" i="6" s="1"/>
  <c r="K481" i="6"/>
  <c r="L481" i="6" s="1"/>
  <c r="K479" i="6"/>
  <c r="L479" i="6" s="1"/>
  <c r="K477" i="6"/>
  <c r="L477" i="6" s="1"/>
  <c r="K475" i="6"/>
  <c r="L475" i="6" s="1"/>
  <c r="K473" i="6"/>
  <c r="L473" i="6" s="1"/>
  <c r="K471" i="6"/>
  <c r="L471" i="6" s="1"/>
  <c r="K462" i="6"/>
  <c r="L462" i="6" s="1"/>
  <c r="K460" i="6"/>
  <c r="L460" i="6" s="1"/>
  <c r="K458" i="6"/>
  <c r="L458" i="6" s="1"/>
  <c r="K456" i="6"/>
  <c r="L456" i="6" s="1"/>
  <c r="K454" i="6"/>
  <c r="L454" i="6" s="1"/>
  <c r="K452" i="6"/>
  <c r="L452" i="6" s="1"/>
  <c r="K613" i="6"/>
  <c r="L613" i="6" s="1"/>
  <c r="K524" i="6"/>
  <c r="L524" i="6" s="1"/>
  <c r="K466" i="6"/>
  <c r="L466" i="6" s="1"/>
  <c r="K520" i="6"/>
  <c r="L520" i="6" s="1"/>
  <c r="K469" i="6"/>
  <c r="L469" i="6" s="1"/>
  <c r="K465" i="6"/>
  <c r="L465" i="6" s="1"/>
  <c r="K396" i="6"/>
  <c r="L396" i="6" s="1"/>
  <c r="K395" i="6"/>
  <c r="L395" i="6" s="1"/>
  <c r="K393" i="6"/>
  <c r="L393" i="6" s="1"/>
  <c r="K391" i="6"/>
  <c r="L391" i="6" s="1"/>
  <c r="K389" i="6"/>
  <c r="L389" i="6" s="1"/>
  <c r="K387" i="6"/>
  <c r="L387" i="6" s="1"/>
  <c r="K385" i="6"/>
  <c r="L385" i="6" s="1"/>
  <c r="K516" i="6"/>
  <c r="L516" i="6" s="1"/>
  <c r="K468" i="6"/>
  <c r="L468" i="6" s="1"/>
  <c r="K464" i="6"/>
  <c r="L464" i="6" s="1"/>
  <c r="K383" i="6"/>
  <c r="L383" i="6" s="1"/>
  <c r="K382" i="6"/>
  <c r="L382" i="6" s="1"/>
  <c r="K381" i="6"/>
  <c r="L381" i="6" s="1"/>
  <c r="K380" i="6"/>
  <c r="L380" i="6" s="1"/>
  <c r="K379" i="6"/>
  <c r="L379" i="6" s="1"/>
  <c r="K378" i="6"/>
  <c r="L378" i="6" s="1"/>
  <c r="K377" i="6"/>
  <c r="L377" i="6" s="1"/>
  <c r="K376" i="6"/>
  <c r="L376" i="6" s="1"/>
  <c r="K375" i="6"/>
  <c r="L375" i="6" s="1"/>
  <c r="K374" i="6"/>
  <c r="L374" i="6" s="1"/>
  <c r="K373" i="6"/>
  <c r="L373" i="6" s="1"/>
  <c r="K372" i="6"/>
  <c r="L372" i="6" s="1"/>
  <c r="K371" i="6"/>
  <c r="L371" i="6" s="1"/>
  <c r="K370" i="6"/>
  <c r="L370" i="6" s="1"/>
  <c r="K369" i="6"/>
  <c r="L369" i="6" s="1"/>
  <c r="K368" i="6"/>
  <c r="L368" i="6" s="1"/>
  <c r="K367" i="6"/>
  <c r="L367" i="6" s="1"/>
  <c r="K366" i="6"/>
  <c r="L366" i="6" s="1"/>
  <c r="K365" i="6"/>
  <c r="L365" i="6" s="1"/>
  <c r="K364" i="6"/>
  <c r="L364" i="6" s="1"/>
  <c r="K363" i="6"/>
  <c r="L363" i="6" s="1"/>
  <c r="K362" i="6"/>
  <c r="L362" i="6" s="1"/>
  <c r="K361" i="6"/>
  <c r="L361" i="6" s="1"/>
  <c r="K360" i="6"/>
  <c r="L360" i="6" s="1"/>
  <c r="K359" i="6"/>
  <c r="L359" i="6" s="1"/>
  <c r="K358" i="6"/>
  <c r="L358" i="6" s="1"/>
  <c r="K357" i="6"/>
  <c r="L357" i="6" s="1"/>
  <c r="K356" i="6"/>
  <c r="L356" i="6" s="1"/>
  <c r="K355" i="6"/>
  <c r="L355" i="6" s="1"/>
  <c r="K354" i="6"/>
  <c r="L354" i="6" s="1"/>
  <c r="K353" i="6"/>
  <c r="L353" i="6" s="1"/>
  <c r="K352" i="6"/>
  <c r="L352" i="6" s="1"/>
  <c r="K351" i="6"/>
  <c r="L351" i="6" s="1"/>
  <c r="K350" i="6"/>
  <c r="L350" i="6" s="1"/>
  <c r="K349" i="6"/>
  <c r="L349" i="6" s="1"/>
  <c r="K348" i="6"/>
  <c r="L348" i="6" s="1"/>
  <c r="K347" i="6"/>
  <c r="L347" i="6" s="1"/>
  <c r="K346" i="6"/>
  <c r="L346" i="6" s="1"/>
  <c r="K345" i="6"/>
  <c r="L345" i="6" s="1"/>
  <c r="K344" i="6"/>
  <c r="L344" i="6" s="1"/>
  <c r="K343" i="6"/>
  <c r="L343" i="6" s="1"/>
  <c r="K342" i="6"/>
  <c r="L342" i="6" s="1"/>
  <c r="K341" i="6"/>
  <c r="L341" i="6" s="1"/>
  <c r="K340" i="6"/>
  <c r="L340" i="6" s="1"/>
  <c r="K339" i="6"/>
  <c r="L339" i="6" s="1"/>
  <c r="K338" i="6"/>
  <c r="L338" i="6" s="1"/>
  <c r="K337" i="6"/>
  <c r="L337" i="6" s="1"/>
  <c r="K336" i="6"/>
  <c r="L336" i="6" s="1"/>
  <c r="K335" i="6"/>
  <c r="L335" i="6" s="1"/>
  <c r="K334" i="6"/>
  <c r="L334" i="6" s="1"/>
  <c r="K333" i="6"/>
  <c r="L333" i="6" s="1"/>
  <c r="K332" i="6"/>
  <c r="L332" i="6" s="1"/>
  <c r="K331" i="6"/>
  <c r="L331" i="6" s="1"/>
  <c r="K330" i="6"/>
  <c r="L330" i="6" s="1"/>
  <c r="K329" i="6"/>
  <c r="L329" i="6" s="1"/>
  <c r="K328" i="6"/>
  <c r="L328" i="6" s="1"/>
  <c r="K327" i="6"/>
  <c r="L327" i="6" s="1"/>
  <c r="K326" i="6"/>
  <c r="L326" i="6" s="1"/>
  <c r="K325" i="6"/>
  <c r="L325" i="6" s="1"/>
  <c r="K324" i="6"/>
  <c r="L324" i="6" s="1"/>
  <c r="K323" i="6"/>
  <c r="L323" i="6" s="1"/>
  <c r="K322" i="6"/>
  <c r="L322" i="6" s="1"/>
  <c r="K321" i="6"/>
  <c r="L321" i="6" s="1"/>
  <c r="K320" i="6"/>
  <c r="L320" i="6" s="1"/>
  <c r="K319" i="6"/>
  <c r="L319" i="6" s="1"/>
  <c r="K318" i="6"/>
  <c r="L318" i="6" s="1"/>
  <c r="K317" i="6"/>
  <c r="L317" i="6" s="1"/>
  <c r="K316" i="6"/>
  <c r="L316" i="6" s="1"/>
  <c r="K315" i="6"/>
  <c r="L315" i="6" s="1"/>
  <c r="K314" i="6"/>
  <c r="L314" i="6" s="1"/>
  <c r="K313" i="6"/>
  <c r="L313" i="6" s="1"/>
  <c r="K312" i="6"/>
  <c r="L312" i="6" s="1"/>
  <c r="K311" i="6"/>
  <c r="L311" i="6" s="1"/>
  <c r="K310" i="6"/>
  <c r="L310" i="6" s="1"/>
  <c r="K309" i="6"/>
  <c r="L309" i="6" s="1"/>
  <c r="K308" i="6"/>
  <c r="L308" i="6" s="1"/>
  <c r="K307" i="6"/>
  <c r="L307" i="6" s="1"/>
  <c r="K306" i="6"/>
  <c r="L306" i="6" s="1"/>
  <c r="K305" i="6"/>
  <c r="L305" i="6" s="1"/>
  <c r="K304" i="6"/>
  <c r="L304" i="6" s="1"/>
  <c r="K303" i="6"/>
  <c r="L303" i="6" s="1"/>
  <c r="K302" i="6"/>
  <c r="L302" i="6" s="1"/>
  <c r="K301" i="6"/>
  <c r="L301" i="6" s="1"/>
  <c r="K300" i="6"/>
  <c r="L300" i="6" s="1"/>
  <c r="K299" i="6"/>
  <c r="L299" i="6" s="1"/>
  <c r="K298" i="6"/>
  <c r="L298" i="6" s="1"/>
  <c r="K297" i="6"/>
  <c r="L297" i="6" s="1"/>
  <c r="K296" i="6"/>
  <c r="L296" i="6" s="1"/>
  <c r="K295" i="6"/>
  <c r="L295" i="6" s="1"/>
  <c r="K294" i="6"/>
  <c r="L294" i="6" s="1"/>
  <c r="K293" i="6"/>
  <c r="L293" i="6" s="1"/>
  <c r="K292" i="6"/>
  <c r="L292" i="6" s="1"/>
  <c r="K291" i="6"/>
  <c r="L291" i="6" s="1"/>
  <c r="K290" i="6"/>
  <c r="L290" i="6" s="1"/>
  <c r="K289" i="6"/>
  <c r="L289" i="6" s="1"/>
  <c r="K288" i="6"/>
  <c r="L288" i="6" s="1"/>
  <c r="K287" i="6"/>
  <c r="L287" i="6" s="1"/>
  <c r="K286" i="6"/>
  <c r="L286" i="6" s="1"/>
  <c r="K285" i="6"/>
  <c r="L285" i="6" s="1"/>
  <c r="K284" i="6"/>
  <c r="L284" i="6" s="1"/>
  <c r="K283" i="6"/>
  <c r="L283" i="6" s="1"/>
  <c r="K282" i="6"/>
  <c r="L282" i="6" s="1"/>
  <c r="K281" i="6"/>
  <c r="L281" i="6" s="1"/>
  <c r="K280" i="6"/>
  <c r="L280" i="6" s="1"/>
  <c r="K279" i="6"/>
  <c r="L279" i="6" s="1"/>
  <c r="K278" i="6"/>
  <c r="L278" i="6" s="1"/>
  <c r="K277" i="6"/>
  <c r="L277" i="6" s="1"/>
  <c r="K276" i="6"/>
  <c r="L276" i="6" s="1"/>
  <c r="K275" i="6"/>
  <c r="L275" i="6" s="1"/>
  <c r="K274" i="6"/>
  <c r="L274" i="6" s="1"/>
  <c r="K273" i="6"/>
  <c r="L273" i="6" s="1"/>
  <c r="K272" i="6"/>
  <c r="L272" i="6" s="1"/>
  <c r="K271" i="6"/>
  <c r="L271" i="6" s="1"/>
  <c r="K270" i="6"/>
  <c r="L270" i="6" s="1"/>
  <c r="K269" i="6"/>
  <c r="L269" i="6" s="1"/>
  <c r="K268" i="6"/>
  <c r="L268" i="6" s="1"/>
  <c r="K267" i="6"/>
  <c r="L267" i="6" s="1"/>
  <c r="K266" i="6"/>
  <c r="L266" i="6" s="1"/>
  <c r="K467" i="6"/>
  <c r="L467" i="6" s="1"/>
  <c r="K394" i="6"/>
  <c r="L394" i="6" s="1"/>
  <c r="K386" i="6"/>
  <c r="L386" i="6" s="1"/>
  <c r="K251" i="6"/>
  <c r="L251" i="6" s="1"/>
  <c r="K249" i="6"/>
  <c r="L249" i="6" s="1"/>
  <c r="K247" i="6"/>
  <c r="L247" i="6" s="1"/>
  <c r="K245" i="6"/>
  <c r="L245" i="6" s="1"/>
  <c r="K388" i="6"/>
  <c r="L388" i="6" s="1"/>
  <c r="K265" i="6"/>
  <c r="L265" i="6" s="1"/>
  <c r="K264" i="6"/>
  <c r="L264" i="6" s="1"/>
  <c r="K263" i="6"/>
  <c r="L263" i="6" s="1"/>
  <c r="K262" i="6"/>
  <c r="L262" i="6" s="1"/>
  <c r="K261" i="6"/>
  <c r="L261" i="6" s="1"/>
  <c r="K260" i="6"/>
  <c r="L260" i="6" s="1"/>
  <c r="K259" i="6"/>
  <c r="L259" i="6" s="1"/>
  <c r="K258" i="6"/>
  <c r="L258" i="6" s="1"/>
  <c r="K257" i="6"/>
  <c r="L257" i="6" s="1"/>
  <c r="K256" i="6"/>
  <c r="L256" i="6" s="1"/>
  <c r="K255" i="6"/>
  <c r="L255" i="6" s="1"/>
  <c r="K254" i="6"/>
  <c r="L254" i="6" s="1"/>
  <c r="K253" i="6"/>
  <c r="L253" i="6" s="1"/>
  <c r="K243" i="6"/>
  <c r="L243" i="6" s="1"/>
  <c r="K242" i="6"/>
  <c r="L242" i="6" s="1"/>
  <c r="K241" i="6"/>
  <c r="L241" i="6" s="1"/>
  <c r="K240" i="6"/>
  <c r="L240" i="6" s="1"/>
  <c r="K239" i="6"/>
  <c r="L239" i="6" s="1"/>
  <c r="K238" i="6"/>
  <c r="L238" i="6" s="1"/>
  <c r="K237" i="6"/>
  <c r="L237" i="6" s="1"/>
  <c r="K236" i="6"/>
  <c r="L236" i="6" s="1"/>
  <c r="K235" i="6"/>
  <c r="L235" i="6" s="1"/>
  <c r="K234" i="6"/>
  <c r="L234" i="6" s="1"/>
  <c r="K233" i="6"/>
  <c r="L233" i="6" s="1"/>
  <c r="K232" i="6"/>
  <c r="L232" i="6" s="1"/>
  <c r="K231" i="6"/>
  <c r="L231" i="6" s="1"/>
  <c r="K230" i="6"/>
  <c r="L230" i="6" s="1"/>
  <c r="K229" i="6"/>
  <c r="L229" i="6" s="1"/>
  <c r="K228" i="6"/>
  <c r="L228" i="6" s="1"/>
  <c r="K227" i="6"/>
  <c r="L227" i="6" s="1"/>
  <c r="K226" i="6"/>
  <c r="L226" i="6" s="1"/>
  <c r="K225" i="6"/>
  <c r="L225" i="6" s="1"/>
  <c r="K224" i="6"/>
  <c r="L224" i="6" s="1"/>
  <c r="K223" i="6"/>
  <c r="L223" i="6" s="1"/>
  <c r="K222" i="6"/>
  <c r="L222" i="6" s="1"/>
  <c r="K221" i="6"/>
  <c r="L221" i="6" s="1"/>
  <c r="K220" i="6"/>
  <c r="L220" i="6" s="1"/>
  <c r="K219" i="6"/>
  <c r="L219" i="6" s="1"/>
  <c r="K218" i="6"/>
  <c r="L218" i="6" s="1"/>
  <c r="K217" i="6"/>
  <c r="L217" i="6" s="1"/>
  <c r="K216" i="6"/>
  <c r="L216" i="6" s="1"/>
  <c r="K215" i="6"/>
  <c r="L215" i="6" s="1"/>
  <c r="K214" i="6"/>
  <c r="L214" i="6" s="1"/>
  <c r="K213" i="6"/>
  <c r="L213" i="6" s="1"/>
  <c r="K212" i="6"/>
  <c r="L212" i="6" s="1"/>
  <c r="K211" i="6"/>
  <c r="L211" i="6" s="1"/>
  <c r="K210" i="6"/>
  <c r="L210" i="6" s="1"/>
  <c r="K209" i="6"/>
  <c r="L209" i="6" s="1"/>
  <c r="K208" i="6"/>
  <c r="L208" i="6" s="1"/>
  <c r="K207" i="6"/>
  <c r="L207" i="6" s="1"/>
  <c r="K206" i="6"/>
  <c r="L206" i="6" s="1"/>
  <c r="K205" i="6"/>
  <c r="L205" i="6" s="1"/>
  <c r="K204" i="6"/>
  <c r="L204" i="6" s="1"/>
  <c r="K203" i="6"/>
  <c r="L203" i="6" s="1"/>
  <c r="K202" i="6"/>
  <c r="L202" i="6" s="1"/>
  <c r="K201" i="6"/>
  <c r="L201" i="6" s="1"/>
  <c r="K200" i="6"/>
  <c r="L200" i="6" s="1"/>
  <c r="K199" i="6"/>
  <c r="L199" i="6" s="1"/>
  <c r="K198" i="6"/>
  <c r="L198" i="6" s="1"/>
  <c r="K197" i="6"/>
  <c r="L197" i="6" s="1"/>
  <c r="K196" i="6"/>
  <c r="L196" i="6" s="1"/>
  <c r="K195" i="6"/>
  <c r="L195" i="6" s="1"/>
  <c r="K194" i="6"/>
  <c r="L194" i="6" s="1"/>
  <c r="K193" i="6"/>
  <c r="L193" i="6" s="1"/>
  <c r="K192" i="6"/>
  <c r="L192" i="6" s="1"/>
  <c r="K191" i="6"/>
  <c r="L191" i="6" s="1"/>
  <c r="K190" i="6"/>
  <c r="L190" i="6" s="1"/>
  <c r="K189" i="6"/>
  <c r="L189" i="6" s="1"/>
  <c r="K188" i="6"/>
  <c r="L188" i="6" s="1"/>
  <c r="K187" i="6"/>
  <c r="L187" i="6" s="1"/>
  <c r="K186" i="6"/>
  <c r="L186" i="6" s="1"/>
  <c r="K185" i="6"/>
  <c r="L185" i="6" s="1"/>
  <c r="K184" i="6"/>
  <c r="L184" i="6" s="1"/>
  <c r="K183" i="6"/>
  <c r="L183" i="6" s="1"/>
  <c r="K182" i="6"/>
  <c r="L182" i="6" s="1"/>
  <c r="K181" i="6"/>
  <c r="L181" i="6" s="1"/>
  <c r="K180" i="6"/>
  <c r="L180" i="6" s="1"/>
  <c r="K179" i="6"/>
  <c r="L179" i="6" s="1"/>
  <c r="K390" i="6"/>
  <c r="L390" i="6" s="1"/>
  <c r="K252" i="6"/>
  <c r="L252" i="6" s="1"/>
  <c r="K250" i="6"/>
  <c r="L250" i="6" s="1"/>
  <c r="K248" i="6"/>
  <c r="L248" i="6" s="1"/>
  <c r="K246" i="6"/>
  <c r="L246" i="6" s="1"/>
  <c r="K244" i="6"/>
  <c r="L244" i="6" s="1"/>
  <c r="K124" i="6"/>
  <c r="L124" i="6" s="1"/>
  <c r="K392" i="6"/>
  <c r="L392" i="6" s="1"/>
  <c r="K384" i="6"/>
  <c r="L384" i="6" s="1"/>
  <c r="E21" i="6"/>
  <c r="F21" i="6" s="1"/>
  <c r="E23" i="6"/>
  <c r="F23" i="6" s="1"/>
  <c r="E25" i="6"/>
  <c r="F25" i="6" s="1"/>
  <c r="E27" i="6"/>
  <c r="F27" i="6" s="1"/>
  <c r="E29" i="6"/>
  <c r="F29" i="6" s="1"/>
  <c r="E31" i="6"/>
  <c r="F31" i="6" s="1"/>
  <c r="E33" i="6"/>
  <c r="F33" i="6" s="1"/>
  <c r="E35" i="6"/>
  <c r="F35" i="6" s="1"/>
  <c r="E37" i="6"/>
  <c r="F37" i="6" s="1"/>
  <c r="E39" i="6"/>
  <c r="F39" i="6" s="1"/>
  <c r="E41" i="6"/>
  <c r="F41" i="6" s="1"/>
  <c r="E43" i="6"/>
  <c r="F43" i="6" s="1"/>
  <c r="E45" i="6"/>
  <c r="F45" i="6" s="1"/>
  <c r="E47" i="6"/>
  <c r="F47" i="6" s="1"/>
  <c r="E49" i="6"/>
  <c r="F49" i="6" s="1"/>
  <c r="E51" i="6"/>
  <c r="F51" i="6" s="1"/>
  <c r="E53" i="6"/>
  <c r="F53" i="6" s="1"/>
  <c r="E55" i="6"/>
  <c r="F55" i="6" s="1"/>
  <c r="E57" i="6"/>
  <c r="F57" i="6" s="1"/>
  <c r="E59" i="6"/>
  <c r="F59" i="6" s="1"/>
  <c r="E61" i="6"/>
  <c r="F61" i="6" s="1"/>
  <c r="E63" i="6"/>
  <c r="F63" i="6" s="1"/>
  <c r="E65" i="6"/>
  <c r="F65" i="6" s="1"/>
  <c r="E67" i="6"/>
  <c r="F67" i="6" s="1"/>
  <c r="E69" i="6"/>
  <c r="F69" i="6" s="1"/>
  <c r="E71" i="6"/>
  <c r="F71" i="6" s="1"/>
  <c r="E73" i="6"/>
  <c r="F73" i="6" s="1"/>
  <c r="E75" i="6"/>
  <c r="F75" i="6" s="1"/>
  <c r="E77" i="6"/>
  <c r="F77" i="6" s="1"/>
  <c r="E79" i="6"/>
  <c r="F79" i="6" s="1"/>
  <c r="E81" i="6"/>
  <c r="F81" i="6" s="1"/>
  <c r="E83" i="6"/>
  <c r="F83" i="6" s="1"/>
  <c r="E85" i="6"/>
  <c r="F85" i="6" s="1"/>
  <c r="E87" i="6"/>
  <c r="F87" i="6" s="1"/>
  <c r="E89" i="6"/>
  <c r="F89" i="6" s="1"/>
  <c r="E91" i="6"/>
  <c r="F91" i="6" s="1"/>
  <c r="E93" i="6"/>
  <c r="F93" i="6" s="1"/>
  <c r="E95" i="6"/>
  <c r="F95" i="6" s="1"/>
  <c r="E97" i="6"/>
  <c r="F97" i="6" s="1"/>
  <c r="E99" i="6"/>
  <c r="F99" i="6" s="1"/>
  <c r="E101" i="6"/>
  <c r="F101" i="6" s="1"/>
  <c r="E103" i="6"/>
  <c r="F103" i="6" s="1"/>
  <c r="E105" i="6"/>
  <c r="F105" i="6" s="1"/>
  <c r="E107" i="6"/>
  <c r="F107" i="6" s="1"/>
  <c r="E109" i="6"/>
  <c r="F109" i="6" s="1"/>
  <c r="E111" i="6"/>
  <c r="F111" i="6" s="1"/>
  <c r="E113" i="6"/>
  <c r="F113" i="6" s="1"/>
  <c r="E115" i="6"/>
  <c r="F115" i="6" s="1"/>
  <c r="E117" i="6"/>
  <c r="F117" i="6" s="1"/>
  <c r="E119" i="6"/>
  <c r="F119" i="6" s="1"/>
  <c r="E121" i="6"/>
  <c r="F121" i="6" s="1"/>
  <c r="E123" i="6"/>
  <c r="F123" i="6" s="1"/>
  <c r="K125" i="6"/>
  <c r="L125" i="6" s="1"/>
  <c r="K129" i="6"/>
  <c r="L129" i="6" s="1"/>
  <c r="K133" i="6"/>
  <c r="L133" i="6" s="1"/>
  <c r="K137" i="6"/>
  <c r="L137" i="6" s="1"/>
  <c r="K141" i="6"/>
  <c r="L141" i="6" s="1"/>
  <c r="K145" i="6"/>
  <c r="L145" i="6" s="1"/>
  <c r="K149" i="6"/>
  <c r="L149" i="6" s="1"/>
  <c r="K153" i="6"/>
  <c r="L153" i="6" s="1"/>
  <c r="K157" i="6"/>
  <c r="L157" i="6" s="1"/>
  <c r="K161" i="6"/>
  <c r="L161" i="6" s="1"/>
  <c r="K165" i="6"/>
  <c r="L165" i="6" s="1"/>
  <c r="K169" i="6"/>
  <c r="L169" i="6" s="1"/>
  <c r="K173" i="6"/>
  <c r="L173" i="6" s="1"/>
  <c r="K177" i="6"/>
  <c r="L177" i="6" s="1"/>
  <c r="H184" i="6"/>
  <c r="I184" i="6" s="1"/>
  <c r="H196" i="6"/>
  <c r="I196" i="6" s="1"/>
  <c r="H124" i="6"/>
  <c r="I124" i="6" s="1"/>
  <c r="N125" i="6"/>
  <c r="O125" i="6" s="1"/>
  <c r="N126" i="6"/>
  <c r="O126" i="6" s="1"/>
  <c r="N127" i="6"/>
  <c r="O127" i="6" s="1"/>
  <c r="N128" i="6"/>
  <c r="O128" i="6" s="1"/>
  <c r="N129" i="6"/>
  <c r="O129" i="6" s="1"/>
  <c r="N130" i="6"/>
  <c r="O130" i="6" s="1"/>
  <c r="N131" i="6"/>
  <c r="O131" i="6" s="1"/>
  <c r="N132" i="6"/>
  <c r="O132" i="6" s="1"/>
  <c r="N133" i="6"/>
  <c r="O133" i="6" s="1"/>
  <c r="N134" i="6"/>
  <c r="O134" i="6" s="1"/>
  <c r="N135" i="6"/>
  <c r="O135" i="6" s="1"/>
  <c r="N136" i="6"/>
  <c r="O136" i="6" s="1"/>
  <c r="N137" i="6"/>
  <c r="O137" i="6" s="1"/>
  <c r="N138" i="6"/>
  <c r="O138" i="6" s="1"/>
  <c r="N139" i="6"/>
  <c r="O139" i="6" s="1"/>
  <c r="N140" i="6"/>
  <c r="O140" i="6" s="1"/>
  <c r="N141" i="6"/>
  <c r="O141" i="6" s="1"/>
  <c r="N142" i="6"/>
  <c r="O142" i="6" s="1"/>
  <c r="N143" i="6"/>
  <c r="O143" i="6" s="1"/>
  <c r="N144" i="6"/>
  <c r="O144" i="6" s="1"/>
  <c r="N145" i="6"/>
  <c r="O145" i="6" s="1"/>
  <c r="N146" i="6"/>
  <c r="O146" i="6" s="1"/>
  <c r="N147" i="6"/>
  <c r="O147" i="6" s="1"/>
  <c r="N148" i="6"/>
  <c r="O148" i="6" s="1"/>
  <c r="N149" i="6"/>
  <c r="O149" i="6" s="1"/>
  <c r="N150" i="6"/>
  <c r="O150" i="6" s="1"/>
  <c r="N151" i="6"/>
  <c r="O151" i="6" s="1"/>
  <c r="N152" i="6"/>
  <c r="O152" i="6" s="1"/>
  <c r="N153" i="6"/>
  <c r="O153" i="6" s="1"/>
  <c r="N154" i="6"/>
  <c r="O154" i="6" s="1"/>
  <c r="N155" i="6"/>
  <c r="O155" i="6" s="1"/>
  <c r="N156" i="6"/>
  <c r="O156" i="6" s="1"/>
  <c r="N157" i="6"/>
  <c r="O157" i="6" s="1"/>
  <c r="N158" i="6"/>
  <c r="O158" i="6" s="1"/>
  <c r="N159" i="6"/>
  <c r="O159" i="6" s="1"/>
  <c r="N160" i="6"/>
  <c r="O160" i="6" s="1"/>
  <c r="N161" i="6"/>
  <c r="O161" i="6" s="1"/>
  <c r="N162" i="6"/>
  <c r="O162" i="6" s="1"/>
  <c r="N163" i="6"/>
  <c r="O163" i="6" s="1"/>
  <c r="N164" i="6"/>
  <c r="O164" i="6" s="1"/>
  <c r="N165" i="6"/>
  <c r="O165" i="6" s="1"/>
  <c r="N166" i="6"/>
  <c r="O166" i="6" s="1"/>
  <c r="N167" i="6"/>
  <c r="O167" i="6" s="1"/>
  <c r="N168" i="6"/>
  <c r="O168" i="6" s="1"/>
  <c r="N169" i="6"/>
  <c r="O169" i="6" s="1"/>
  <c r="N170" i="6"/>
  <c r="O170" i="6" s="1"/>
  <c r="N171" i="6"/>
  <c r="O171" i="6" s="1"/>
  <c r="N172" i="6"/>
  <c r="O172" i="6" s="1"/>
  <c r="N173" i="6"/>
  <c r="O173" i="6" s="1"/>
  <c r="N174" i="6"/>
  <c r="O174" i="6" s="1"/>
  <c r="N175" i="6"/>
  <c r="O175" i="6" s="1"/>
  <c r="N176" i="6"/>
  <c r="O176" i="6" s="1"/>
  <c r="N177" i="6"/>
  <c r="O177" i="6" s="1"/>
  <c r="N178" i="6"/>
  <c r="O178" i="6" s="1"/>
  <c r="N180" i="6"/>
  <c r="O180" i="6" s="1"/>
  <c r="N182" i="6"/>
  <c r="O182" i="6" s="1"/>
  <c r="N184" i="6"/>
  <c r="O184" i="6" s="1"/>
  <c r="N186" i="6"/>
  <c r="O186" i="6" s="1"/>
  <c r="N188" i="6"/>
  <c r="O188" i="6" s="1"/>
  <c r="N190" i="6"/>
  <c r="O190" i="6" s="1"/>
  <c r="N192" i="6"/>
  <c r="O192" i="6" s="1"/>
  <c r="N194" i="6"/>
  <c r="O194" i="6" s="1"/>
  <c r="N196" i="6"/>
  <c r="O196" i="6" s="1"/>
  <c r="N198" i="6"/>
  <c r="O198" i="6" s="1"/>
  <c r="N200" i="6"/>
  <c r="O200" i="6" s="1"/>
  <c r="N202" i="6"/>
  <c r="O202" i="6" s="1"/>
  <c r="N204" i="6"/>
  <c r="O204" i="6" s="1"/>
  <c r="N206" i="6"/>
  <c r="O206" i="6" s="1"/>
  <c r="N208" i="6"/>
  <c r="O208" i="6" s="1"/>
  <c r="N210" i="6"/>
  <c r="O210" i="6" s="1"/>
  <c r="N212" i="6"/>
  <c r="O212" i="6" s="1"/>
  <c r="N214" i="6"/>
  <c r="O214" i="6" s="1"/>
  <c r="N216" i="6"/>
  <c r="O216" i="6" s="1"/>
  <c r="N218" i="6"/>
  <c r="O218" i="6" s="1"/>
  <c r="N220" i="6"/>
  <c r="O220" i="6" s="1"/>
  <c r="N222" i="6"/>
  <c r="O222" i="6" s="1"/>
  <c r="N224" i="6"/>
  <c r="O224" i="6" s="1"/>
  <c r="N226" i="6"/>
  <c r="O226" i="6" s="1"/>
  <c r="N228" i="6"/>
  <c r="O228" i="6" s="1"/>
  <c r="N230" i="6"/>
  <c r="O230" i="6" s="1"/>
  <c r="N232" i="6"/>
  <c r="O232" i="6" s="1"/>
  <c r="N234" i="6"/>
  <c r="O234" i="6" s="1"/>
  <c r="N236" i="6"/>
  <c r="O236" i="6" s="1"/>
  <c r="N238" i="6"/>
  <c r="O238" i="6" s="1"/>
  <c r="N240" i="6"/>
  <c r="O240" i="6" s="1"/>
  <c r="N242" i="6"/>
  <c r="O242" i="6" s="1"/>
  <c r="N247" i="6"/>
  <c r="O247" i="6" s="1"/>
  <c r="H395" i="6"/>
  <c r="I395" i="6" s="1"/>
  <c r="N424" i="6"/>
  <c r="O424" i="6" s="1"/>
  <c r="H650" i="6"/>
  <c r="I650" i="6" s="1"/>
  <c r="H649" i="6"/>
  <c r="I649" i="6" s="1"/>
  <c r="H648" i="6"/>
  <c r="I648" i="6" s="1"/>
  <c r="H647" i="6"/>
  <c r="I647" i="6" s="1"/>
  <c r="H646" i="6"/>
  <c r="I646" i="6" s="1"/>
  <c r="H645" i="6"/>
  <c r="I645" i="6" s="1"/>
  <c r="H644" i="6"/>
  <c r="I644" i="6" s="1"/>
  <c r="H643" i="6"/>
  <c r="I643" i="6" s="1"/>
  <c r="H642" i="6"/>
  <c r="I642" i="6" s="1"/>
  <c r="H641" i="6"/>
  <c r="I641" i="6" s="1"/>
  <c r="H640" i="6"/>
  <c r="I640" i="6" s="1"/>
  <c r="H639" i="6"/>
  <c r="I639" i="6" s="1"/>
  <c r="H638" i="6"/>
  <c r="I638" i="6" s="1"/>
  <c r="H637" i="6"/>
  <c r="I637" i="6" s="1"/>
  <c r="H636" i="6"/>
  <c r="I636" i="6" s="1"/>
  <c r="H635" i="6"/>
  <c r="I635" i="6" s="1"/>
  <c r="H634" i="6"/>
  <c r="I634" i="6" s="1"/>
  <c r="H633" i="6"/>
  <c r="I633" i="6" s="1"/>
  <c r="H632" i="6"/>
  <c r="I632" i="6" s="1"/>
  <c r="H631" i="6"/>
  <c r="I631" i="6" s="1"/>
  <c r="H630" i="6"/>
  <c r="I630" i="6" s="1"/>
  <c r="H629" i="6"/>
  <c r="I629" i="6" s="1"/>
  <c r="H628" i="6"/>
  <c r="I628" i="6" s="1"/>
  <c r="H627" i="6"/>
  <c r="I627" i="6" s="1"/>
  <c r="H626" i="6"/>
  <c r="I626" i="6" s="1"/>
  <c r="H625" i="6"/>
  <c r="I625" i="6" s="1"/>
  <c r="H624" i="6"/>
  <c r="I624" i="6" s="1"/>
  <c r="H623" i="6"/>
  <c r="I623" i="6" s="1"/>
  <c r="H622" i="6"/>
  <c r="I622" i="6" s="1"/>
  <c r="H621" i="6"/>
  <c r="I621" i="6" s="1"/>
  <c r="H620" i="6"/>
  <c r="I620" i="6" s="1"/>
  <c r="H619" i="6"/>
  <c r="I619" i="6" s="1"/>
  <c r="H618" i="6"/>
  <c r="I618" i="6" s="1"/>
  <c r="H617" i="6"/>
  <c r="I617" i="6" s="1"/>
  <c r="H616" i="6"/>
  <c r="I616" i="6" s="1"/>
  <c r="H615" i="6"/>
  <c r="I615" i="6" s="1"/>
  <c r="H614" i="6"/>
  <c r="I614" i="6" s="1"/>
  <c r="H613" i="6"/>
  <c r="I613" i="6" s="1"/>
  <c r="H612" i="6"/>
  <c r="I612" i="6" s="1"/>
  <c r="H611" i="6"/>
  <c r="I611" i="6" s="1"/>
  <c r="H610" i="6"/>
  <c r="I610" i="6" s="1"/>
  <c r="H609" i="6"/>
  <c r="I609" i="6" s="1"/>
  <c r="H608" i="6"/>
  <c r="I608" i="6" s="1"/>
  <c r="H607" i="6"/>
  <c r="I607" i="6" s="1"/>
  <c r="H606" i="6"/>
  <c r="I606" i="6" s="1"/>
  <c r="H605" i="6"/>
  <c r="I605" i="6" s="1"/>
  <c r="H604" i="6"/>
  <c r="I604" i="6" s="1"/>
  <c r="H603" i="6"/>
  <c r="I603" i="6" s="1"/>
  <c r="H602" i="6"/>
  <c r="I602" i="6" s="1"/>
  <c r="H601" i="6"/>
  <c r="I601" i="6" s="1"/>
  <c r="H600" i="6"/>
  <c r="I600" i="6" s="1"/>
  <c r="H599" i="6"/>
  <c r="I599" i="6" s="1"/>
  <c r="H598" i="6"/>
  <c r="I598" i="6" s="1"/>
  <c r="H691" i="6"/>
  <c r="I691" i="6" s="1"/>
  <c r="H689" i="6"/>
  <c r="I689" i="6" s="1"/>
  <c r="H687" i="6"/>
  <c r="I687" i="6" s="1"/>
  <c r="H685" i="6"/>
  <c r="I685" i="6" s="1"/>
  <c r="H683" i="6"/>
  <c r="I683" i="6" s="1"/>
  <c r="H681" i="6"/>
  <c r="I681" i="6" s="1"/>
  <c r="H679" i="6"/>
  <c r="I679" i="6" s="1"/>
  <c r="H677" i="6"/>
  <c r="I677" i="6" s="1"/>
  <c r="H675" i="6"/>
  <c r="I675" i="6" s="1"/>
  <c r="H673" i="6"/>
  <c r="I673" i="6" s="1"/>
  <c r="H671" i="6"/>
  <c r="I671" i="6" s="1"/>
  <c r="H669" i="6"/>
  <c r="I669" i="6" s="1"/>
  <c r="H667" i="6"/>
  <c r="I667" i="6" s="1"/>
  <c r="H665" i="6"/>
  <c r="I665" i="6" s="1"/>
  <c r="H663" i="6"/>
  <c r="I663" i="6" s="1"/>
  <c r="H661" i="6"/>
  <c r="I661" i="6" s="1"/>
  <c r="H659" i="6"/>
  <c r="I659" i="6" s="1"/>
  <c r="H657" i="6"/>
  <c r="I657" i="6" s="1"/>
  <c r="H655" i="6"/>
  <c r="I655" i="6" s="1"/>
  <c r="H653" i="6"/>
  <c r="I653" i="6" s="1"/>
  <c r="H651" i="6"/>
  <c r="I651" i="6" s="1"/>
  <c r="H686" i="6"/>
  <c r="I686" i="6" s="1"/>
  <c r="H678" i="6"/>
  <c r="I678" i="6" s="1"/>
  <c r="H670" i="6"/>
  <c r="I670" i="6" s="1"/>
  <c r="H662" i="6"/>
  <c r="I662" i="6" s="1"/>
  <c r="H654" i="6"/>
  <c r="I654" i="6" s="1"/>
  <c r="H688" i="6"/>
  <c r="I688" i="6" s="1"/>
  <c r="H680" i="6"/>
  <c r="I680" i="6" s="1"/>
  <c r="H672" i="6"/>
  <c r="I672" i="6" s="1"/>
  <c r="H664" i="6"/>
  <c r="I664" i="6" s="1"/>
  <c r="H656" i="6"/>
  <c r="I656" i="6" s="1"/>
  <c r="H597" i="6"/>
  <c r="I597" i="6" s="1"/>
  <c r="H596" i="6"/>
  <c r="I596" i="6" s="1"/>
  <c r="H595" i="6"/>
  <c r="I595" i="6" s="1"/>
  <c r="H594" i="6"/>
  <c r="I594" i="6" s="1"/>
  <c r="H593" i="6"/>
  <c r="I593" i="6" s="1"/>
  <c r="H592" i="6"/>
  <c r="I592" i="6" s="1"/>
  <c r="H591" i="6"/>
  <c r="I591" i="6" s="1"/>
  <c r="H590" i="6"/>
  <c r="I590" i="6" s="1"/>
  <c r="H589" i="6"/>
  <c r="I589" i="6" s="1"/>
  <c r="H588" i="6"/>
  <c r="I588" i="6" s="1"/>
  <c r="H587" i="6"/>
  <c r="I587" i="6" s="1"/>
  <c r="H586" i="6"/>
  <c r="I586" i="6" s="1"/>
  <c r="H585" i="6"/>
  <c r="I585" i="6" s="1"/>
  <c r="H584" i="6"/>
  <c r="I584" i="6" s="1"/>
  <c r="H583" i="6"/>
  <c r="I583" i="6" s="1"/>
  <c r="H582" i="6"/>
  <c r="I582" i="6" s="1"/>
  <c r="H581" i="6"/>
  <c r="I581" i="6" s="1"/>
  <c r="H580" i="6"/>
  <c r="I580" i="6" s="1"/>
  <c r="H579" i="6"/>
  <c r="I579" i="6" s="1"/>
  <c r="H578" i="6"/>
  <c r="I578" i="6" s="1"/>
  <c r="H577" i="6"/>
  <c r="I577" i="6" s="1"/>
  <c r="H690" i="6"/>
  <c r="I690" i="6" s="1"/>
  <c r="H682" i="6"/>
  <c r="I682" i="6" s="1"/>
  <c r="H674" i="6"/>
  <c r="I674" i="6" s="1"/>
  <c r="H666" i="6"/>
  <c r="I666" i="6" s="1"/>
  <c r="H658" i="6"/>
  <c r="I658" i="6" s="1"/>
  <c r="H668" i="6"/>
  <c r="I668" i="6" s="1"/>
  <c r="H566" i="6"/>
  <c r="I566" i="6" s="1"/>
  <c r="H565" i="6"/>
  <c r="I565" i="6" s="1"/>
  <c r="H564" i="6"/>
  <c r="I564" i="6" s="1"/>
  <c r="H563" i="6"/>
  <c r="I563" i="6" s="1"/>
  <c r="H562" i="6"/>
  <c r="I562" i="6" s="1"/>
  <c r="H561" i="6"/>
  <c r="I561" i="6" s="1"/>
  <c r="H560" i="6"/>
  <c r="I560" i="6" s="1"/>
  <c r="H559" i="6"/>
  <c r="I559" i="6" s="1"/>
  <c r="H558" i="6"/>
  <c r="I558" i="6" s="1"/>
  <c r="H557" i="6"/>
  <c r="I557" i="6" s="1"/>
  <c r="H556" i="6"/>
  <c r="I556" i="6" s="1"/>
  <c r="H555" i="6"/>
  <c r="I555" i="6" s="1"/>
  <c r="H554" i="6"/>
  <c r="I554" i="6" s="1"/>
  <c r="H553" i="6"/>
  <c r="I553" i="6" s="1"/>
  <c r="H552" i="6"/>
  <c r="I552" i="6" s="1"/>
  <c r="H551" i="6"/>
  <c r="I551" i="6" s="1"/>
  <c r="H550" i="6"/>
  <c r="I550" i="6" s="1"/>
  <c r="H549" i="6"/>
  <c r="I549" i="6" s="1"/>
  <c r="H548" i="6"/>
  <c r="I548" i="6" s="1"/>
  <c r="H547" i="6"/>
  <c r="I547" i="6" s="1"/>
  <c r="H546" i="6"/>
  <c r="I546" i="6" s="1"/>
  <c r="H545" i="6"/>
  <c r="I545" i="6" s="1"/>
  <c r="H544" i="6"/>
  <c r="I544" i="6" s="1"/>
  <c r="H543" i="6"/>
  <c r="I543" i="6" s="1"/>
  <c r="H542" i="6"/>
  <c r="I542" i="6" s="1"/>
  <c r="H541" i="6"/>
  <c r="I541" i="6" s="1"/>
  <c r="H540" i="6"/>
  <c r="I540" i="6" s="1"/>
  <c r="H539" i="6"/>
  <c r="I539" i="6" s="1"/>
  <c r="H538" i="6"/>
  <c r="I538" i="6" s="1"/>
  <c r="H537" i="6"/>
  <c r="I537" i="6" s="1"/>
  <c r="H536" i="6"/>
  <c r="I536" i="6" s="1"/>
  <c r="H535" i="6"/>
  <c r="I535" i="6" s="1"/>
  <c r="H534" i="6"/>
  <c r="I534" i="6" s="1"/>
  <c r="H533" i="6"/>
  <c r="I533" i="6" s="1"/>
  <c r="H532" i="6"/>
  <c r="I532" i="6" s="1"/>
  <c r="H531" i="6"/>
  <c r="I531" i="6" s="1"/>
  <c r="H530" i="6"/>
  <c r="I530" i="6" s="1"/>
  <c r="H529" i="6"/>
  <c r="I529" i="6" s="1"/>
  <c r="H528" i="6"/>
  <c r="I528" i="6" s="1"/>
  <c r="H527" i="6"/>
  <c r="I527" i="6" s="1"/>
  <c r="H526" i="6"/>
  <c r="I526" i="6" s="1"/>
  <c r="H525" i="6"/>
  <c r="I525" i="6" s="1"/>
  <c r="H524" i="6"/>
  <c r="I524" i="6" s="1"/>
  <c r="H523" i="6"/>
  <c r="I523" i="6" s="1"/>
  <c r="H522" i="6"/>
  <c r="I522" i="6" s="1"/>
  <c r="H521" i="6"/>
  <c r="I521" i="6" s="1"/>
  <c r="H520" i="6"/>
  <c r="I520" i="6" s="1"/>
  <c r="H519" i="6"/>
  <c r="I519" i="6" s="1"/>
  <c r="H518" i="6"/>
  <c r="I518" i="6" s="1"/>
  <c r="H517" i="6"/>
  <c r="I517" i="6" s="1"/>
  <c r="H516" i="6"/>
  <c r="I516" i="6" s="1"/>
  <c r="H676" i="6"/>
  <c r="I676" i="6" s="1"/>
  <c r="H575" i="6"/>
  <c r="I575" i="6" s="1"/>
  <c r="H573" i="6"/>
  <c r="I573" i="6" s="1"/>
  <c r="H571" i="6"/>
  <c r="I571" i="6" s="1"/>
  <c r="H569" i="6"/>
  <c r="I569" i="6" s="1"/>
  <c r="H567" i="6"/>
  <c r="I567" i="6" s="1"/>
  <c r="H684" i="6"/>
  <c r="I684" i="6" s="1"/>
  <c r="H652" i="6"/>
  <c r="I652" i="6" s="1"/>
  <c r="H570" i="6"/>
  <c r="I570" i="6" s="1"/>
  <c r="H514" i="6"/>
  <c r="I514" i="6" s="1"/>
  <c r="H512" i="6"/>
  <c r="I512" i="6" s="1"/>
  <c r="H572" i="6"/>
  <c r="I572" i="6" s="1"/>
  <c r="H510" i="6"/>
  <c r="I510" i="6" s="1"/>
  <c r="H509" i="6"/>
  <c r="I509" i="6" s="1"/>
  <c r="H508" i="6"/>
  <c r="I508" i="6" s="1"/>
  <c r="H507" i="6"/>
  <c r="I507" i="6" s="1"/>
  <c r="H506" i="6"/>
  <c r="I506" i="6" s="1"/>
  <c r="H505" i="6"/>
  <c r="I505" i="6" s="1"/>
  <c r="H504" i="6"/>
  <c r="I504" i="6" s="1"/>
  <c r="H503" i="6"/>
  <c r="I503" i="6" s="1"/>
  <c r="H502" i="6"/>
  <c r="I502" i="6" s="1"/>
  <c r="H501" i="6"/>
  <c r="I501" i="6" s="1"/>
  <c r="H500" i="6"/>
  <c r="I500" i="6" s="1"/>
  <c r="H499" i="6"/>
  <c r="I499" i="6" s="1"/>
  <c r="H498" i="6"/>
  <c r="I498" i="6" s="1"/>
  <c r="H497" i="6"/>
  <c r="I497" i="6" s="1"/>
  <c r="H496" i="6"/>
  <c r="I496" i="6" s="1"/>
  <c r="H495" i="6"/>
  <c r="I495" i="6" s="1"/>
  <c r="H494" i="6"/>
  <c r="I494" i="6" s="1"/>
  <c r="H493" i="6"/>
  <c r="I493" i="6" s="1"/>
  <c r="H492" i="6"/>
  <c r="I492" i="6" s="1"/>
  <c r="H491" i="6"/>
  <c r="I491" i="6" s="1"/>
  <c r="H490" i="6"/>
  <c r="I490" i="6" s="1"/>
  <c r="H489" i="6"/>
  <c r="I489" i="6" s="1"/>
  <c r="H488" i="6"/>
  <c r="I488" i="6" s="1"/>
  <c r="H487" i="6"/>
  <c r="I487" i="6" s="1"/>
  <c r="H486" i="6"/>
  <c r="I486" i="6" s="1"/>
  <c r="H485" i="6"/>
  <c r="I485" i="6" s="1"/>
  <c r="H484" i="6"/>
  <c r="I484" i="6" s="1"/>
  <c r="H483" i="6"/>
  <c r="I483" i="6" s="1"/>
  <c r="H482" i="6"/>
  <c r="I482" i="6" s="1"/>
  <c r="H481" i="6"/>
  <c r="I481" i="6" s="1"/>
  <c r="H480" i="6"/>
  <c r="I480" i="6" s="1"/>
  <c r="H479" i="6"/>
  <c r="I479" i="6" s="1"/>
  <c r="H478" i="6"/>
  <c r="I478" i="6" s="1"/>
  <c r="H477" i="6"/>
  <c r="I477" i="6" s="1"/>
  <c r="H476" i="6"/>
  <c r="I476" i="6" s="1"/>
  <c r="H475" i="6"/>
  <c r="I475" i="6" s="1"/>
  <c r="H474" i="6"/>
  <c r="I474" i="6" s="1"/>
  <c r="H473" i="6"/>
  <c r="I473" i="6" s="1"/>
  <c r="H472" i="6"/>
  <c r="I472" i="6" s="1"/>
  <c r="H471" i="6"/>
  <c r="I471" i="6" s="1"/>
  <c r="H470" i="6"/>
  <c r="I470" i="6" s="1"/>
  <c r="H660" i="6"/>
  <c r="I660" i="6" s="1"/>
  <c r="H574" i="6"/>
  <c r="I574" i="6" s="1"/>
  <c r="H515" i="6"/>
  <c r="I515" i="6" s="1"/>
  <c r="H513" i="6"/>
  <c r="I513" i="6" s="1"/>
  <c r="H511" i="6"/>
  <c r="I511" i="6" s="1"/>
  <c r="H469" i="6"/>
  <c r="I469" i="6" s="1"/>
  <c r="H468" i="6"/>
  <c r="I468" i="6" s="1"/>
  <c r="H467" i="6"/>
  <c r="I467" i="6" s="1"/>
  <c r="H466" i="6"/>
  <c r="I466" i="6" s="1"/>
  <c r="H465" i="6"/>
  <c r="I465" i="6" s="1"/>
  <c r="H464" i="6"/>
  <c r="I464" i="6" s="1"/>
  <c r="H568" i="6"/>
  <c r="I568" i="6" s="1"/>
  <c r="H463" i="6"/>
  <c r="I463" i="6" s="1"/>
  <c r="H461" i="6"/>
  <c r="I461" i="6" s="1"/>
  <c r="H459" i="6"/>
  <c r="I459" i="6" s="1"/>
  <c r="H457" i="6"/>
  <c r="I457" i="6" s="1"/>
  <c r="H455" i="6"/>
  <c r="I455" i="6" s="1"/>
  <c r="H453" i="6"/>
  <c r="I453" i="6" s="1"/>
  <c r="H576" i="6"/>
  <c r="I576" i="6" s="1"/>
  <c r="H460" i="6"/>
  <c r="I460" i="6" s="1"/>
  <c r="H452" i="6"/>
  <c r="I452" i="6" s="1"/>
  <c r="H450" i="6"/>
  <c r="I450" i="6" s="1"/>
  <c r="H448" i="6"/>
  <c r="I448" i="6" s="1"/>
  <c r="H446" i="6"/>
  <c r="I446" i="6" s="1"/>
  <c r="H444" i="6"/>
  <c r="I444" i="6" s="1"/>
  <c r="H442" i="6"/>
  <c r="I442" i="6" s="1"/>
  <c r="H440" i="6"/>
  <c r="I440" i="6" s="1"/>
  <c r="H438" i="6"/>
  <c r="I438" i="6" s="1"/>
  <c r="H436" i="6"/>
  <c r="I436" i="6" s="1"/>
  <c r="H434" i="6"/>
  <c r="I434" i="6" s="1"/>
  <c r="H432" i="6"/>
  <c r="I432" i="6" s="1"/>
  <c r="H430" i="6"/>
  <c r="I430" i="6" s="1"/>
  <c r="H428" i="6"/>
  <c r="I428" i="6" s="1"/>
  <c r="H426" i="6"/>
  <c r="I426" i="6" s="1"/>
  <c r="H424" i="6"/>
  <c r="I424" i="6" s="1"/>
  <c r="H422" i="6"/>
  <c r="I422" i="6" s="1"/>
  <c r="H420" i="6"/>
  <c r="I420" i="6" s="1"/>
  <c r="H418" i="6"/>
  <c r="I418" i="6" s="1"/>
  <c r="H416" i="6"/>
  <c r="I416" i="6" s="1"/>
  <c r="H414" i="6"/>
  <c r="I414" i="6" s="1"/>
  <c r="H412" i="6"/>
  <c r="I412" i="6" s="1"/>
  <c r="H410" i="6"/>
  <c r="I410" i="6" s="1"/>
  <c r="H408" i="6"/>
  <c r="I408" i="6" s="1"/>
  <c r="H406" i="6"/>
  <c r="I406" i="6" s="1"/>
  <c r="H404" i="6"/>
  <c r="I404" i="6" s="1"/>
  <c r="H402" i="6"/>
  <c r="I402" i="6" s="1"/>
  <c r="H400" i="6"/>
  <c r="I400" i="6" s="1"/>
  <c r="H398" i="6"/>
  <c r="I398" i="6" s="1"/>
  <c r="H383" i="6"/>
  <c r="I383" i="6" s="1"/>
  <c r="H382" i="6"/>
  <c r="I382" i="6" s="1"/>
  <c r="H381" i="6"/>
  <c r="I381" i="6" s="1"/>
  <c r="H380" i="6"/>
  <c r="I380" i="6" s="1"/>
  <c r="H379" i="6"/>
  <c r="I379" i="6" s="1"/>
  <c r="H378" i="6"/>
  <c r="I378" i="6" s="1"/>
  <c r="H377" i="6"/>
  <c r="I377" i="6" s="1"/>
  <c r="H376" i="6"/>
  <c r="I376" i="6" s="1"/>
  <c r="H375" i="6"/>
  <c r="I375" i="6" s="1"/>
  <c r="H374" i="6"/>
  <c r="I374" i="6" s="1"/>
  <c r="H373" i="6"/>
  <c r="I373" i="6" s="1"/>
  <c r="H372" i="6"/>
  <c r="I372" i="6" s="1"/>
  <c r="H371" i="6"/>
  <c r="I371" i="6" s="1"/>
  <c r="H370" i="6"/>
  <c r="I370" i="6" s="1"/>
  <c r="H369" i="6"/>
  <c r="I369" i="6" s="1"/>
  <c r="H368" i="6"/>
  <c r="I368" i="6" s="1"/>
  <c r="H367" i="6"/>
  <c r="I367" i="6" s="1"/>
  <c r="H366" i="6"/>
  <c r="I366" i="6" s="1"/>
  <c r="H365" i="6"/>
  <c r="I365" i="6" s="1"/>
  <c r="H364" i="6"/>
  <c r="I364" i="6" s="1"/>
  <c r="H363" i="6"/>
  <c r="I363" i="6" s="1"/>
  <c r="H362" i="6"/>
  <c r="I362" i="6" s="1"/>
  <c r="H361" i="6"/>
  <c r="I361" i="6" s="1"/>
  <c r="H360" i="6"/>
  <c r="I360" i="6" s="1"/>
  <c r="H359" i="6"/>
  <c r="I359" i="6" s="1"/>
  <c r="H358" i="6"/>
  <c r="I358" i="6" s="1"/>
  <c r="H357" i="6"/>
  <c r="I357" i="6" s="1"/>
  <c r="H356" i="6"/>
  <c r="I356" i="6" s="1"/>
  <c r="H355" i="6"/>
  <c r="I355" i="6" s="1"/>
  <c r="H354" i="6"/>
  <c r="I354" i="6" s="1"/>
  <c r="H353" i="6"/>
  <c r="I353" i="6" s="1"/>
  <c r="H352" i="6"/>
  <c r="I352" i="6" s="1"/>
  <c r="H351" i="6"/>
  <c r="I351" i="6" s="1"/>
  <c r="H350" i="6"/>
  <c r="I350" i="6" s="1"/>
  <c r="H349" i="6"/>
  <c r="I349" i="6" s="1"/>
  <c r="H348" i="6"/>
  <c r="I348" i="6" s="1"/>
  <c r="H347" i="6"/>
  <c r="I347" i="6" s="1"/>
  <c r="H346" i="6"/>
  <c r="I346" i="6" s="1"/>
  <c r="H345" i="6"/>
  <c r="I345" i="6" s="1"/>
  <c r="H344" i="6"/>
  <c r="I344" i="6" s="1"/>
  <c r="H343" i="6"/>
  <c r="I343" i="6" s="1"/>
  <c r="H342" i="6"/>
  <c r="I342" i="6" s="1"/>
  <c r="H341" i="6"/>
  <c r="I341" i="6" s="1"/>
  <c r="H340" i="6"/>
  <c r="I340" i="6" s="1"/>
  <c r="H339" i="6"/>
  <c r="I339" i="6" s="1"/>
  <c r="H338" i="6"/>
  <c r="I338" i="6" s="1"/>
  <c r="H337" i="6"/>
  <c r="I337" i="6" s="1"/>
  <c r="H336" i="6"/>
  <c r="I336" i="6" s="1"/>
  <c r="H335" i="6"/>
  <c r="I335" i="6" s="1"/>
  <c r="H334" i="6"/>
  <c r="I334" i="6" s="1"/>
  <c r="H333" i="6"/>
  <c r="I333" i="6" s="1"/>
  <c r="H332" i="6"/>
  <c r="I332" i="6" s="1"/>
  <c r="H331" i="6"/>
  <c r="I331" i="6" s="1"/>
  <c r="H330" i="6"/>
  <c r="I330" i="6" s="1"/>
  <c r="H329" i="6"/>
  <c r="I329" i="6" s="1"/>
  <c r="H328" i="6"/>
  <c r="I328" i="6" s="1"/>
  <c r="H327" i="6"/>
  <c r="I327" i="6" s="1"/>
  <c r="H326" i="6"/>
  <c r="I326" i="6" s="1"/>
  <c r="H325" i="6"/>
  <c r="I325" i="6" s="1"/>
  <c r="H324" i="6"/>
  <c r="I324" i="6" s="1"/>
  <c r="H323" i="6"/>
  <c r="I323" i="6" s="1"/>
  <c r="H322" i="6"/>
  <c r="I322" i="6" s="1"/>
  <c r="H321" i="6"/>
  <c r="I321" i="6" s="1"/>
  <c r="H320" i="6"/>
  <c r="I320" i="6" s="1"/>
  <c r="H319" i="6"/>
  <c r="I319" i="6" s="1"/>
  <c r="H318" i="6"/>
  <c r="I318" i="6" s="1"/>
  <c r="H317" i="6"/>
  <c r="I317" i="6" s="1"/>
  <c r="H316" i="6"/>
  <c r="I316" i="6" s="1"/>
  <c r="H315" i="6"/>
  <c r="I315" i="6" s="1"/>
  <c r="H314" i="6"/>
  <c r="I314" i="6" s="1"/>
  <c r="H313" i="6"/>
  <c r="I313" i="6" s="1"/>
  <c r="H312" i="6"/>
  <c r="I312" i="6" s="1"/>
  <c r="H311" i="6"/>
  <c r="I311" i="6" s="1"/>
  <c r="H310" i="6"/>
  <c r="I310" i="6" s="1"/>
  <c r="H309" i="6"/>
  <c r="I309" i="6" s="1"/>
  <c r="H308" i="6"/>
  <c r="I308" i="6" s="1"/>
  <c r="H307" i="6"/>
  <c r="I307" i="6" s="1"/>
  <c r="H306" i="6"/>
  <c r="I306" i="6" s="1"/>
  <c r="H305" i="6"/>
  <c r="I305" i="6" s="1"/>
  <c r="H304" i="6"/>
  <c r="I304" i="6" s="1"/>
  <c r="H303" i="6"/>
  <c r="I303" i="6" s="1"/>
  <c r="H302" i="6"/>
  <c r="I302" i="6" s="1"/>
  <c r="H301" i="6"/>
  <c r="I301" i="6" s="1"/>
  <c r="H300" i="6"/>
  <c r="I300" i="6" s="1"/>
  <c r="H299" i="6"/>
  <c r="I299" i="6" s="1"/>
  <c r="H298" i="6"/>
  <c r="I298" i="6" s="1"/>
  <c r="H297" i="6"/>
  <c r="I297" i="6" s="1"/>
  <c r="H296" i="6"/>
  <c r="I296" i="6" s="1"/>
  <c r="H295" i="6"/>
  <c r="I295" i="6" s="1"/>
  <c r="H294" i="6"/>
  <c r="I294" i="6" s="1"/>
  <c r="H293" i="6"/>
  <c r="I293" i="6" s="1"/>
  <c r="H292" i="6"/>
  <c r="I292" i="6" s="1"/>
  <c r="H291" i="6"/>
  <c r="I291" i="6" s="1"/>
  <c r="H290" i="6"/>
  <c r="I290" i="6" s="1"/>
  <c r="H289" i="6"/>
  <c r="I289" i="6" s="1"/>
  <c r="H288" i="6"/>
  <c r="I288" i="6" s="1"/>
  <c r="H287" i="6"/>
  <c r="I287" i="6" s="1"/>
  <c r="H286" i="6"/>
  <c r="I286" i="6" s="1"/>
  <c r="H285" i="6"/>
  <c r="I285" i="6" s="1"/>
  <c r="H284" i="6"/>
  <c r="I284" i="6" s="1"/>
  <c r="H283" i="6"/>
  <c r="I283" i="6" s="1"/>
  <c r="H282" i="6"/>
  <c r="I282" i="6" s="1"/>
  <c r="H281" i="6"/>
  <c r="I281" i="6" s="1"/>
  <c r="H280" i="6"/>
  <c r="I280" i="6" s="1"/>
  <c r="H279" i="6"/>
  <c r="I279" i="6" s="1"/>
  <c r="H278" i="6"/>
  <c r="I278" i="6" s="1"/>
  <c r="H277" i="6"/>
  <c r="I277" i="6" s="1"/>
  <c r="H276" i="6"/>
  <c r="I276" i="6" s="1"/>
  <c r="H275" i="6"/>
  <c r="I275" i="6" s="1"/>
  <c r="H274" i="6"/>
  <c r="I274" i="6" s="1"/>
  <c r="H273" i="6"/>
  <c r="I273" i="6" s="1"/>
  <c r="H272" i="6"/>
  <c r="I272" i="6" s="1"/>
  <c r="H271" i="6"/>
  <c r="I271" i="6" s="1"/>
  <c r="H270" i="6"/>
  <c r="I270" i="6" s="1"/>
  <c r="H269" i="6"/>
  <c r="I269" i="6" s="1"/>
  <c r="H268" i="6"/>
  <c r="I268" i="6" s="1"/>
  <c r="H267" i="6"/>
  <c r="I267" i="6" s="1"/>
  <c r="H266" i="6"/>
  <c r="I266" i="6" s="1"/>
  <c r="H265" i="6"/>
  <c r="I265" i="6" s="1"/>
  <c r="H264" i="6"/>
  <c r="I264" i="6" s="1"/>
  <c r="H263" i="6"/>
  <c r="I263" i="6" s="1"/>
  <c r="H262" i="6"/>
  <c r="I262" i="6" s="1"/>
  <c r="H261" i="6"/>
  <c r="I261" i="6" s="1"/>
  <c r="H260" i="6"/>
  <c r="I260" i="6" s="1"/>
  <c r="H259" i="6"/>
  <c r="I259" i="6" s="1"/>
  <c r="H258" i="6"/>
  <c r="I258" i="6" s="1"/>
  <c r="H257" i="6"/>
  <c r="I257" i="6" s="1"/>
  <c r="H256" i="6"/>
  <c r="I256" i="6" s="1"/>
  <c r="H255" i="6"/>
  <c r="I255" i="6" s="1"/>
  <c r="H254" i="6"/>
  <c r="I254" i="6" s="1"/>
  <c r="H253" i="6"/>
  <c r="I253" i="6" s="1"/>
  <c r="H462" i="6"/>
  <c r="I462" i="6" s="1"/>
  <c r="H454" i="6"/>
  <c r="I454" i="6" s="1"/>
  <c r="H394" i="6"/>
  <c r="I394" i="6" s="1"/>
  <c r="H392" i="6"/>
  <c r="I392" i="6" s="1"/>
  <c r="H390" i="6"/>
  <c r="I390" i="6" s="1"/>
  <c r="H388" i="6"/>
  <c r="I388" i="6" s="1"/>
  <c r="H386" i="6"/>
  <c r="I386" i="6" s="1"/>
  <c r="H384" i="6"/>
  <c r="I384" i="6" s="1"/>
  <c r="H456" i="6"/>
  <c r="I456" i="6" s="1"/>
  <c r="H451" i="6"/>
  <c r="I451" i="6" s="1"/>
  <c r="H449" i="6"/>
  <c r="I449" i="6" s="1"/>
  <c r="H447" i="6"/>
  <c r="I447" i="6" s="1"/>
  <c r="H445" i="6"/>
  <c r="I445" i="6" s="1"/>
  <c r="H443" i="6"/>
  <c r="I443" i="6" s="1"/>
  <c r="H441" i="6"/>
  <c r="I441" i="6" s="1"/>
  <c r="H439" i="6"/>
  <c r="I439" i="6" s="1"/>
  <c r="H437" i="6"/>
  <c r="I437" i="6" s="1"/>
  <c r="H435" i="6"/>
  <c r="I435" i="6" s="1"/>
  <c r="H433" i="6"/>
  <c r="I433" i="6" s="1"/>
  <c r="H431" i="6"/>
  <c r="I431" i="6" s="1"/>
  <c r="H429" i="6"/>
  <c r="I429" i="6" s="1"/>
  <c r="H427" i="6"/>
  <c r="I427" i="6" s="1"/>
  <c r="H425" i="6"/>
  <c r="I425" i="6" s="1"/>
  <c r="H423" i="6"/>
  <c r="I423" i="6" s="1"/>
  <c r="H421" i="6"/>
  <c r="I421" i="6" s="1"/>
  <c r="H419" i="6"/>
  <c r="I419" i="6" s="1"/>
  <c r="H417" i="6"/>
  <c r="I417" i="6" s="1"/>
  <c r="H415" i="6"/>
  <c r="I415" i="6" s="1"/>
  <c r="H413" i="6"/>
  <c r="I413" i="6" s="1"/>
  <c r="H411" i="6"/>
  <c r="I411" i="6" s="1"/>
  <c r="H409" i="6"/>
  <c r="I409" i="6" s="1"/>
  <c r="H407" i="6"/>
  <c r="I407" i="6" s="1"/>
  <c r="H405" i="6"/>
  <c r="I405" i="6" s="1"/>
  <c r="H403" i="6"/>
  <c r="I403" i="6" s="1"/>
  <c r="H401" i="6"/>
  <c r="I401" i="6" s="1"/>
  <c r="H399" i="6"/>
  <c r="I399" i="6" s="1"/>
  <c r="H397" i="6"/>
  <c r="I397" i="6" s="1"/>
  <c r="H396" i="6"/>
  <c r="I396" i="6" s="1"/>
  <c r="H389" i="6"/>
  <c r="I389" i="6" s="1"/>
  <c r="H252" i="6"/>
  <c r="I252" i="6" s="1"/>
  <c r="H250" i="6"/>
  <c r="I250" i="6" s="1"/>
  <c r="H248" i="6"/>
  <c r="I248" i="6" s="1"/>
  <c r="H246" i="6"/>
  <c r="I246" i="6" s="1"/>
  <c r="H244" i="6"/>
  <c r="I244" i="6" s="1"/>
  <c r="H391" i="6"/>
  <c r="I391" i="6" s="1"/>
  <c r="H393" i="6"/>
  <c r="I393" i="6" s="1"/>
  <c r="H385" i="6"/>
  <c r="I385" i="6" s="1"/>
  <c r="H251" i="6"/>
  <c r="I251" i="6" s="1"/>
  <c r="H249" i="6"/>
  <c r="I249" i="6" s="1"/>
  <c r="H247" i="6"/>
  <c r="I247" i="6" s="1"/>
  <c r="H245" i="6"/>
  <c r="I245" i="6" s="1"/>
  <c r="H20" i="6"/>
  <c r="I20" i="6" s="1"/>
  <c r="N20" i="6"/>
  <c r="O20" i="6" s="1"/>
  <c r="H21" i="6"/>
  <c r="I21" i="6" s="1"/>
  <c r="N21" i="6"/>
  <c r="O21" i="6" s="1"/>
  <c r="H22" i="6"/>
  <c r="I22" i="6" s="1"/>
  <c r="N22" i="6"/>
  <c r="O22" i="6" s="1"/>
  <c r="H23" i="6"/>
  <c r="I23" i="6" s="1"/>
  <c r="N23" i="6"/>
  <c r="O23" i="6" s="1"/>
  <c r="H24" i="6"/>
  <c r="I24" i="6" s="1"/>
  <c r="N24" i="6"/>
  <c r="O24" i="6" s="1"/>
  <c r="H25" i="6"/>
  <c r="I25" i="6" s="1"/>
  <c r="N25" i="6"/>
  <c r="O25" i="6" s="1"/>
  <c r="H26" i="6"/>
  <c r="I26" i="6" s="1"/>
  <c r="N26" i="6"/>
  <c r="O26" i="6" s="1"/>
  <c r="H27" i="6"/>
  <c r="I27" i="6" s="1"/>
  <c r="N27" i="6"/>
  <c r="O27" i="6" s="1"/>
  <c r="H28" i="6"/>
  <c r="I28" i="6" s="1"/>
  <c r="N28" i="6"/>
  <c r="O28" i="6" s="1"/>
  <c r="H29" i="6"/>
  <c r="I29" i="6" s="1"/>
  <c r="N29" i="6"/>
  <c r="O29" i="6" s="1"/>
  <c r="H30" i="6"/>
  <c r="I30" i="6" s="1"/>
  <c r="N30" i="6"/>
  <c r="O30" i="6" s="1"/>
  <c r="H31" i="6"/>
  <c r="I31" i="6" s="1"/>
  <c r="N31" i="6"/>
  <c r="O31" i="6" s="1"/>
  <c r="H32" i="6"/>
  <c r="I32" i="6" s="1"/>
  <c r="N32" i="6"/>
  <c r="O32" i="6" s="1"/>
  <c r="H33" i="6"/>
  <c r="I33" i="6" s="1"/>
  <c r="N33" i="6"/>
  <c r="O33" i="6" s="1"/>
  <c r="H34" i="6"/>
  <c r="I34" i="6" s="1"/>
  <c r="N34" i="6"/>
  <c r="O34" i="6" s="1"/>
  <c r="H35" i="6"/>
  <c r="I35" i="6" s="1"/>
  <c r="N35" i="6"/>
  <c r="O35" i="6" s="1"/>
  <c r="H36" i="6"/>
  <c r="I36" i="6" s="1"/>
  <c r="N36" i="6"/>
  <c r="O36" i="6" s="1"/>
  <c r="H37" i="6"/>
  <c r="I37" i="6" s="1"/>
  <c r="N37" i="6"/>
  <c r="O37" i="6" s="1"/>
  <c r="H38" i="6"/>
  <c r="I38" i="6" s="1"/>
  <c r="N38" i="6"/>
  <c r="O38" i="6" s="1"/>
  <c r="H39" i="6"/>
  <c r="I39" i="6" s="1"/>
  <c r="N39" i="6"/>
  <c r="O39" i="6" s="1"/>
  <c r="H40" i="6"/>
  <c r="I40" i="6" s="1"/>
  <c r="N40" i="6"/>
  <c r="O40" i="6" s="1"/>
  <c r="H41" i="6"/>
  <c r="I41" i="6" s="1"/>
  <c r="N41" i="6"/>
  <c r="O41" i="6" s="1"/>
  <c r="H42" i="6"/>
  <c r="I42" i="6" s="1"/>
  <c r="N42" i="6"/>
  <c r="O42" i="6" s="1"/>
  <c r="H43" i="6"/>
  <c r="I43" i="6" s="1"/>
  <c r="N43" i="6"/>
  <c r="O43" i="6" s="1"/>
  <c r="H44" i="6"/>
  <c r="I44" i="6" s="1"/>
  <c r="N44" i="6"/>
  <c r="O44" i="6" s="1"/>
  <c r="H45" i="6"/>
  <c r="I45" i="6" s="1"/>
  <c r="N45" i="6"/>
  <c r="O45" i="6" s="1"/>
  <c r="H46" i="6"/>
  <c r="I46" i="6" s="1"/>
  <c r="N46" i="6"/>
  <c r="O46" i="6" s="1"/>
  <c r="H47" i="6"/>
  <c r="I47" i="6" s="1"/>
  <c r="N47" i="6"/>
  <c r="O47" i="6" s="1"/>
  <c r="H48" i="6"/>
  <c r="I48" i="6" s="1"/>
  <c r="N48" i="6"/>
  <c r="O48" i="6" s="1"/>
  <c r="H49" i="6"/>
  <c r="I49" i="6" s="1"/>
  <c r="N49" i="6"/>
  <c r="O49" i="6" s="1"/>
  <c r="H50" i="6"/>
  <c r="I50" i="6" s="1"/>
  <c r="N50" i="6"/>
  <c r="O50" i="6" s="1"/>
  <c r="H51" i="6"/>
  <c r="I51" i="6" s="1"/>
  <c r="N51" i="6"/>
  <c r="O51" i="6" s="1"/>
  <c r="H52" i="6"/>
  <c r="I52" i="6" s="1"/>
  <c r="N52" i="6"/>
  <c r="O52" i="6" s="1"/>
  <c r="H53" i="6"/>
  <c r="I53" i="6" s="1"/>
  <c r="N53" i="6"/>
  <c r="O53" i="6" s="1"/>
  <c r="H54" i="6"/>
  <c r="I54" i="6" s="1"/>
  <c r="N54" i="6"/>
  <c r="O54" i="6" s="1"/>
  <c r="H55" i="6"/>
  <c r="I55" i="6" s="1"/>
  <c r="N55" i="6"/>
  <c r="O55" i="6" s="1"/>
  <c r="H56" i="6"/>
  <c r="I56" i="6" s="1"/>
  <c r="N56" i="6"/>
  <c r="O56" i="6" s="1"/>
  <c r="H57" i="6"/>
  <c r="I57" i="6" s="1"/>
  <c r="N57" i="6"/>
  <c r="O57" i="6" s="1"/>
  <c r="H58" i="6"/>
  <c r="I58" i="6" s="1"/>
  <c r="N58" i="6"/>
  <c r="O58" i="6" s="1"/>
  <c r="H59" i="6"/>
  <c r="I59" i="6" s="1"/>
  <c r="N59" i="6"/>
  <c r="O59" i="6" s="1"/>
  <c r="H60" i="6"/>
  <c r="I60" i="6" s="1"/>
  <c r="N60" i="6"/>
  <c r="O60" i="6" s="1"/>
  <c r="H61" i="6"/>
  <c r="I61" i="6" s="1"/>
  <c r="N61" i="6"/>
  <c r="O61" i="6" s="1"/>
  <c r="H62" i="6"/>
  <c r="I62" i="6" s="1"/>
  <c r="N62" i="6"/>
  <c r="O62" i="6" s="1"/>
  <c r="H63" i="6"/>
  <c r="I63" i="6" s="1"/>
  <c r="N63" i="6"/>
  <c r="O63" i="6" s="1"/>
  <c r="H64" i="6"/>
  <c r="I64" i="6" s="1"/>
  <c r="N64" i="6"/>
  <c r="O64" i="6" s="1"/>
  <c r="H65" i="6"/>
  <c r="I65" i="6" s="1"/>
  <c r="N65" i="6"/>
  <c r="O65" i="6" s="1"/>
  <c r="H66" i="6"/>
  <c r="I66" i="6" s="1"/>
  <c r="N66" i="6"/>
  <c r="O66" i="6" s="1"/>
  <c r="H67" i="6"/>
  <c r="I67" i="6" s="1"/>
  <c r="N67" i="6"/>
  <c r="O67" i="6" s="1"/>
  <c r="H68" i="6"/>
  <c r="I68" i="6" s="1"/>
  <c r="N68" i="6"/>
  <c r="O68" i="6" s="1"/>
  <c r="H69" i="6"/>
  <c r="I69" i="6" s="1"/>
  <c r="N69" i="6"/>
  <c r="O69" i="6" s="1"/>
  <c r="H70" i="6"/>
  <c r="I70" i="6" s="1"/>
  <c r="N70" i="6"/>
  <c r="O70" i="6" s="1"/>
  <c r="H71" i="6"/>
  <c r="I71" i="6" s="1"/>
  <c r="N71" i="6"/>
  <c r="O71" i="6" s="1"/>
  <c r="H72" i="6"/>
  <c r="I72" i="6" s="1"/>
  <c r="N72" i="6"/>
  <c r="O72" i="6" s="1"/>
  <c r="H73" i="6"/>
  <c r="I73" i="6" s="1"/>
  <c r="N73" i="6"/>
  <c r="O73" i="6" s="1"/>
  <c r="H74" i="6"/>
  <c r="I74" i="6" s="1"/>
  <c r="N74" i="6"/>
  <c r="O74" i="6" s="1"/>
  <c r="H75" i="6"/>
  <c r="I75" i="6" s="1"/>
  <c r="N75" i="6"/>
  <c r="O75" i="6" s="1"/>
  <c r="H76" i="6"/>
  <c r="I76" i="6" s="1"/>
  <c r="N76" i="6"/>
  <c r="O76" i="6" s="1"/>
  <c r="H77" i="6"/>
  <c r="I77" i="6" s="1"/>
  <c r="N77" i="6"/>
  <c r="O77" i="6" s="1"/>
  <c r="H78" i="6"/>
  <c r="I78" i="6" s="1"/>
  <c r="N78" i="6"/>
  <c r="O78" i="6" s="1"/>
  <c r="H79" i="6"/>
  <c r="I79" i="6" s="1"/>
  <c r="N79" i="6"/>
  <c r="O79" i="6" s="1"/>
  <c r="H80" i="6"/>
  <c r="I80" i="6" s="1"/>
  <c r="N80" i="6"/>
  <c r="O80" i="6" s="1"/>
  <c r="H81" i="6"/>
  <c r="I81" i="6" s="1"/>
  <c r="N81" i="6"/>
  <c r="O81" i="6" s="1"/>
  <c r="H82" i="6"/>
  <c r="I82" i="6" s="1"/>
  <c r="N82" i="6"/>
  <c r="O82" i="6" s="1"/>
  <c r="H83" i="6"/>
  <c r="I83" i="6" s="1"/>
  <c r="N83" i="6"/>
  <c r="O83" i="6" s="1"/>
  <c r="H84" i="6"/>
  <c r="I84" i="6" s="1"/>
  <c r="N84" i="6"/>
  <c r="O84" i="6" s="1"/>
  <c r="H85" i="6"/>
  <c r="I85" i="6" s="1"/>
  <c r="N85" i="6"/>
  <c r="O85" i="6" s="1"/>
  <c r="H86" i="6"/>
  <c r="I86" i="6" s="1"/>
  <c r="N86" i="6"/>
  <c r="O86" i="6" s="1"/>
  <c r="H87" i="6"/>
  <c r="I87" i="6" s="1"/>
  <c r="N87" i="6"/>
  <c r="O87" i="6" s="1"/>
  <c r="H88" i="6"/>
  <c r="I88" i="6" s="1"/>
  <c r="N88" i="6"/>
  <c r="O88" i="6" s="1"/>
  <c r="H89" i="6"/>
  <c r="I89" i="6" s="1"/>
  <c r="N89" i="6"/>
  <c r="O89" i="6" s="1"/>
  <c r="H90" i="6"/>
  <c r="I90" i="6" s="1"/>
  <c r="N90" i="6"/>
  <c r="O90" i="6" s="1"/>
  <c r="H91" i="6"/>
  <c r="I91" i="6" s="1"/>
  <c r="N91" i="6"/>
  <c r="O91" i="6" s="1"/>
  <c r="H92" i="6"/>
  <c r="I92" i="6" s="1"/>
  <c r="N92" i="6"/>
  <c r="O92" i="6" s="1"/>
  <c r="H93" i="6"/>
  <c r="I93" i="6" s="1"/>
  <c r="N93" i="6"/>
  <c r="O93" i="6" s="1"/>
  <c r="H94" i="6"/>
  <c r="I94" i="6" s="1"/>
  <c r="N94" i="6"/>
  <c r="O94" i="6" s="1"/>
  <c r="H95" i="6"/>
  <c r="I95" i="6" s="1"/>
  <c r="N95" i="6"/>
  <c r="O95" i="6" s="1"/>
  <c r="H96" i="6"/>
  <c r="I96" i="6" s="1"/>
  <c r="N96" i="6"/>
  <c r="O96" i="6" s="1"/>
  <c r="H97" i="6"/>
  <c r="I97" i="6" s="1"/>
  <c r="N97" i="6"/>
  <c r="O97" i="6" s="1"/>
  <c r="H98" i="6"/>
  <c r="I98" i="6" s="1"/>
  <c r="N98" i="6"/>
  <c r="O98" i="6" s="1"/>
  <c r="H99" i="6"/>
  <c r="I99" i="6" s="1"/>
  <c r="N99" i="6"/>
  <c r="O99" i="6" s="1"/>
  <c r="H100" i="6"/>
  <c r="I100" i="6" s="1"/>
  <c r="N100" i="6"/>
  <c r="O100" i="6" s="1"/>
  <c r="H101" i="6"/>
  <c r="I101" i="6" s="1"/>
  <c r="N101" i="6"/>
  <c r="O101" i="6" s="1"/>
  <c r="H102" i="6"/>
  <c r="I102" i="6" s="1"/>
  <c r="N102" i="6"/>
  <c r="O102" i="6" s="1"/>
  <c r="H103" i="6"/>
  <c r="I103" i="6" s="1"/>
  <c r="N103" i="6"/>
  <c r="O103" i="6" s="1"/>
  <c r="H104" i="6"/>
  <c r="I104" i="6" s="1"/>
  <c r="N104" i="6"/>
  <c r="O104" i="6" s="1"/>
  <c r="H105" i="6"/>
  <c r="I105" i="6" s="1"/>
  <c r="N105" i="6"/>
  <c r="O105" i="6" s="1"/>
  <c r="H106" i="6"/>
  <c r="I106" i="6" s="1"/>
  <c r="N106" i="6"/>
  <c r="O106" i="6" s="1"/>
  <c r="H107" i="6"/>
  <c r="I107" i="6" s="1"/>
  <c r="N107" i="6"/>
  <c r="O107" i="6" s="1"/>
  <c r="H108" i="6"/>
  <c r="I108" i="6" s="1"/>
  <c r="N108" i="6"/>
  <c r="O108" i="6" s="1"/>
  <c r="H109" i="6"/>
  <c r="I109" i="6" s="1"/>
  <c r="N109" i="6"/>
  <c r="O109" i="6" s="1"/>
  <c r="H110" i="6"/>
  <c r="I110" i="6" s="1"/>
  <c r="N110" i="6"/>
  <c r="O110" i="6" s="1"/>
  <c r="H111" i="6"/>
  <c r="I111" i="6" s="1"/>
  <c r="N111" i="6"/>
  <c r="O111" i="6" s="1"/>
  <c r="H112" i="6"/>
  <c r="I112" i="6" s="1"/>
  <c r="N112" i="6"/>
  <c r="O112" i="6" s="1"/>
  <c r="H113" i="6"/>
  <c r="I113" i="6" s="1"/>
  <c r="N113" i="6"/>
  <c r="O113" i="6" s="1"/>
  <c r="H114" i="6"/>
  <c r="I114" i="6" s="1"/>
  <c r="N114" i="6"/>
  <c r="O114" i="6" s="1"/>
  <c r="H115" i="6"/>
  <c r="I115" i="6" s="1"/>
  <c r="N115" i="6"/>
  <c r="O115" i="6" s="1"/>
  <c r="H116" i="6"/>
  <c r="I116" i="6" s="1"/>
  <c r="N116" i="6"/>
  <c r="O116" i="6" s="1"/>
  <c r="H117" i="6"/>
  <c r="I117" i="6" s="1"/>
  <c r="N117" i="6"/>
  <c r="O117" i="6" s="1"/>
  <c r="H118" i="6"/>
  <c r="I118" i="6" s="1"/>
  <c r="N118" i="6"/>
  <c r="O118" i="6" s="1"/>
  <c r="H119" i="6"/>
  <c r="I119" i="6" s="1"/>
  <c r="N119" i="6"/>
  <c r="O119" i="6" s="1"/>
  <c r="H120" i="6"/>
  <c r="I120" i="6" s="1"/>
  <c r="N120" i="6"/>
  <c r="O120" i="6" s="1"/>
  <c r="H121" i="6"/>
  <c r="I121" i="6" s="1"/>
  <c r="N121" i="6"/>
  <c r="O121" i="6" s="1"/>
  <c r="H122" i="6"/>
  <c r="I122" i="6" s="1"/>
  <c r="N122" i="6"/>
  <c r="O122" i="6" s="1"/>
  <c r="H123" i="6"/>
  <c r="I123" i="6" s="1"/>
  <c r="N123" i="6"/>
  <c r="O123" i="6" s="1"/>
  <c r="H179" i="6"/>
  <c r="I179" i="6" s="1"/>
  <c r="H181" i="6"/>
  <c r="I181" i="6" s="1"/>
  <c r="H183" i="6"/>
  <c r="I183" i="6" s="1"/>
  <c r="H185" i="6"/>
  <c r="I185" i="6" s="1"/>
  <c r="H187" i="6"/>
  <c r="I187" i="6" s="1"/>
  <c r="H189" i="6"/>
  <c r="I189" i="6" s="1"/>
  <c r="H191" i="6"/>
  <c r="I191" i="6" s="1"/>
  <c r="H193" i="6"/>
  <c r="I193" i="6" s="1"/>
  <c r="H195" i="6"/>
  <c r="I195" i="6" s="1"/>
  <c r="H197" i="6"/>
  <c r="I197" i="6" s="1"/>
  <c r="H199" i="6"/>
  <c r="I199" i="6" s="1"/>
  <c r="H201" i="6"/>
  <c r="I201" i="6" s="1"/>
  <c r="H203" i="6"/>
  <c r="I203" i="6" s="1"/>
  <c r="H205" i="6"/>
  <c r="I205" i="6" s="1"/>
  <c r="H207" i="6"/>
  <c r="I207" i="6" s="1"/>
  <c r="H209" i="6"/>
  <c r="I209" i="6" s="1"/>
  <c r="H211" i="6"/>
  <c r="I211" i="6" s="1"/>
  <c r="H213" i="6"/>
  <c r="I213" i="6" s="1"/>
  <c r="H215" i="6"/>
  <c r="I215" i="6" s="1"/>
  <c r="H217" i="6"/>
  <c r="I217" i="6" s="1"/>
  <c r="H219" i="6"/>
  <c r="I219" i="6" s="1"/>
  <c r="H221" i="6"/>
  <c r="I221" i="6" s="1"/>
  <c r="H223" i="6"/>
  <c r="I223" i="6" s="1"/>
  <c r="H225" i="6"/>
  <c r="I225" i="6" s="1"/>
  <c r="H227" i="6"/>
  <c r="I227" i="6" s="1"/>
  <c r="H229" i="6"/>
  <c r="I229" i="6" s="1"/>
  <c r="H231" i="6"/>
  <c r="I231" i="6" s="1"/>
  <c r="H233" i="6"/>
  <c r="I233" i="6" s="1"/>
  <c r="H235" i="6"/>
  <c r="I235" i="6" s="1"/>
  <c r="H237" i="6"/>
  <c r="I237" i="6" s="1"/>
  <c r="H239" i="6"/>
  <c r="I239" i="6" s="1"/>
  <c r="H241" i="6"/>
  <c r="I241" i="6" s="1"/>
  <c r="H243" i="6"/>
  <c r="I243" i="6" s="1"/>
  <c r="N245" i="6"/>
  <c r="O245" i="6" s="1"/>
  <c r="H387" i="6"/>
  <c r="I387" i="6" s="1"/>
  <c r="N400" i="6"/>
  <c r="O400" i="6" s="1"/>
  <c r="N690" i="6"/>
  <c r="O690" i="6" s="1"/>
  <c r="N688" i="6"/>
  <c r="O688" i="6" s="1"/>
  <c r="N686" i="6"/>
  <c r="O686" i="6" s="1"/>
  <c r="N684" i="6"/>
  <c r="O684" i="6" s="1"/>
  <c r="N682" i="6"/>
  <c r="O682" i="6" s="1"/>
  <c r="N680" i="6"/>
  <c r="O680" i="6" s="1"/>
  <c r="N678" i="6"/>
  <c r="O678" i="6" s="1"/>
  <c r="N676" i="6"/>
  <c r="O676" i="6" s="1"/>
  <c r="N674" i="6"/>
  <c r="O674" i="6" s="1"/>
  <c r="N672" i="6"/>
  <c r="O672" i="6" s="1"/>
  <c r="N670" i="6"/>
  <c r="O670" i="6" s="1"/>
  <c r="N668" i="6"/>
  <c r="O668" i="6" s="1"/>
  <c r="N666" i="6"/>
  <c r="O666" i="6" s="1"/>
  <c r="N664" i="6"/>
  <c r="O664" i="6" s="1"/>
  <c r="N662" i="6"/>
  <c r="O662" i="6" s="1"/>
  <c r="N660" i="6"/>
  <c r="O660" i="6" s="1"/>
  <c r="N658" i="6"/>
  <c r="O658" i="6" s="1"/>
  <c r="N656" i="6"/>
  <c r="O656" i="6" s="1"/>
  <c r="N654" i="6"/>
  <c r="O654" i="6" s="1"/>
  <c r="N652" i="6"/>
  <c r="O652" i="6" s="1"/>
  <c r="N650" i="6"/>
  <c r="O650" i="6" s="1"/>
  <c r="N649" i="6"/>
  <c r="O649" i="6" s="1"/>
  <c r="N648" i="6"/>
  <c r="O648" i="6" s="1"/>
  <c r="N647" i="6"/>
  <c r="O647" i="6" s="1"/>
  <c r="N646" i="6"/>
  <c r="O646" i="6" s="1"/>
  <c r="N645" i="6"/>
  <c r="O645" i="6" s="1"/>
  <c r="N644" i="6"/>
  <c r="O644" i="6" s="1"/>
  <c r="N643" i="6"/>
  <c r="O643" i="6" s="1"/>
  <c r="N642" i="6"/>
  <c r="O642" i="6" s="1"/>
  <c r="N641" i="6"/>
  <c r="O641" i="6" s="1"/>
  <c r="N640" i="6"/>
  <c r="O640" i="6" s="1"/>
  <c r="N639" i="6"/>
  <c r="O639" i="6" s="1"/>
  <c r="N638" i="6"/>
  <c r="O638" i="6" s="1"/>
  <c r="N637" i="6"/>
  <c r="O637" i="6" s="1"/>
  <c r="N636" i="6"/>
  <c r="O636" i="6" s="1"/>
  <c r="N635" i="6"/>
  <c r="O635" i="6" s="1"/>
  <c r="N634" i="6"/>
  <c r="O634" i="6" s="1"/>
  <c r="N633" i="6"/>
  <c r="O633" i="6" s="1"/>
  <c r="N632" i="6"/>
  <c r="O632" i="6" s="1"/>
  <c r="N631" i="6"/>
  <c r="O631" i="6" s="1"/>
  <c r="N630" i="6"/>
  <c r="O630" i="6" s="1"/>
  <c r="N629" i="6"/>
  <c r="O629" i="6" s="1"/>
  <c r="N628" i="6"/>
  <c r="O628" i="6" s="1"/>
  <c r="N627" i="6"/>
  <c r="O627" i="6" s="1"/>
  <c r="N626" i="6"/>
  <c r="O626" i="6" s="1"/>
  <c r="N625" i="6"/>
  <c r="O625" i="6" s="1"/>
  <c r="N624" i="6"/>
  <c r="O624" i="6" s="1"/>
  <c r="N623" i="6"/>
  <c r="O623" i="6" s="1"/>
  <c r="N622" i="6"/>
  <c r="O622" i="6" s="1"/>
  <c r="N621" i="6"/>
  <c r="O621" i="6" s="1"/>
  <c r="N620" i="6"/>
  <c r="O620" i="6" s="1"/>
  <c r="N619" i="6"/>
  <c r="O619" i="6" s="1"/>
  <c r="N618" i="6"/>
  <c r="O618" i="6" s="1"/>
  <c r="N617" i="6"/>
  <c r="O617" i="6" s="1"/>
  <c r="N616" i="6"/>
  <c r="O616" i="6" s="1"/>
  <c r="N615" i="6"/>
  <c r="O615" i="6" s="1"/>
  <c r="N614" i="6"/>
  <c r="O614" i="6" s="1"/>
  <c r="N613" i="6"/>
  <c r="O613" i="6" s="1"/>
  <c r="N612" i="6"/>
  <c r="O612" i="6" s="1"/>
  <c r="N611" i="6"/>
  <c r="O611" i="6" s="1"/>
  <c r="N610" i="6"/>
  <c r="O610" i="6" s="1"/>
  <c r="N609" i="6"/>
  <c r="O609" i="6" s="1"/>
  <c r="N608" i="6"/>
  <c r="O608" i="6" s="1"/>
  <c r="N607" i="6"/>
  <c r="O607" i="6" s="1"/>
  <c r="N606" i="6"/>
  <c r="O606" i="6" s="1"/>
  <c r="N605" i="6"/>
  <c r="O605" i="6" s="1"/>
  <c r="N604" i="6"/>
  <c r="O604" i="6" s="1"/>
  <c r="N603" i="6"/>
  <c r="O603" i="6" s="1"/>
  <c r="N602" i="6"/>
  <c r="O602" i="6" s="1"/>
  <c r="N601" i="6"/>
  <c r="O601" i="6" s="1"/>
  <c r="N600" i="6"/>
  <c r="O600" i="6" s="1"/>
  <c r="N599" i="6"/>
  <c r="O599" i="6" s="1"/>
  <c r="N598" i="6"/>
  <c r="O598" i="6" s="1"/>
  <c r="N597" i="6"/>
  <c r="O597" i="6" s="1"/>
  <c r="N691" i="6"/>
  <c r="O691" i="6" s="1"/>
  <c r="N689" i="6"/>
  <c r="O689" i="6" s="1"/>
  <c r="N687" i="6"/>
  <c r="O687" i="6" s="1"/>
  <c r="N685" i="6"/>
  <c r="O685" i="6" s="1"/>
  <c r="N683" i="6"/>
  <c r="O683" i="6" s="1"/>
  <c r="N681" i="6"/>
  <c r="O681" i="6" s="1"/>
  <c r="N679" i="6"/>
  <c r="O679" i="6" s="1"/>
  <c r="N677" i="6"/>
  <c r="O677" i="6" s="1"/>
  <c r="N675" i="6"/>
  <c r="O675" i="6" s="1"/>
  <c r="N673" i="6"/>
  <c r="O673" i="6" s="1"/>
  <c r="N671" i="6"/>
  <c r="O671" i="6" s="1"/>
  <c r="N669" i="6"/>
  <c r="O669" i="6" s="1"/>
  <c r="N667" i="6"/>
  <c r="O667" i="6" s="1"/>
  <c r="N665" i="6"/>
  <c r="O665" i="6" s="1"/>
  <c r="N663" i="6"/>
  <c r="O663" i="6" s="1"/>
  <c r="N661" i="6"/>
  <c r="O661" i="6" s="1"/>
  <c r="N659" i="6"/>
  <c r="O659" i="6" s="1"/>
  <c r="N657" i="6"/>
  <c r="O657" i="6" s="1"/>
  <c r="N655" i="6"/>
  <c r="O655" i="6" s="1"/>
  <c r="N653" i="6"/>
  <c r="O653" i="6" s="1"/>
  <c r="N651" i="6"/>
  <c r="O651" i="6" s="1"/>
  <c r="N596" i="6"/>
  <c r="O596" i="6" s="1"/>
  <c r="N595" i="6"/>
  <c r="O595" i="6" s="1"/>
  <c r="N594" i="6"/>
  <c r="O594" i="6" s="1"/>
  <c r="N593" i="6"/>
  <c r="O593" i="6" s="1"/>
  <c r="N592" i="6"/>
  <c r="O592" i="6" s="1"/>
  <c r="N591" i="6"/>
  <c r="O591" i="6" s="1"/>
  <c r="N590" i="6"/>
  <c r="O590" i="6" s="1"/>
  <c r="N589" i="6"/>
  <c r="O589" i="6" s="1"/>
  <c r="N588" i="6"/>
  <c r="O588" i="6" s="1"/>
  <c r="N587" i="6"/>
  <c r="O587" i="6" s="1"/>
  <c r="N586" i="6"/>
  <c r="O586" i="6" s="1"/>
  <c r="N585" i="6"/>
  <c r="O585" i="6" s="1"/>
  <c r="N584" i="6"/>
  <c r="O584" i="6" s="1"/>
  <c r="N583" i="6"/>
  <c r="O583" i="6" s="1"/>
  <c r="N582" i="6"/>
  <c r="O582" i="6" s="1"/>
  <c r="N581" i="6"/>
  <c r="O581" i="6" s="1"/>
  <c r="N580" i="6"/>
  <c r="O580" i="6" s="1"/>
  <c r="N579" i="6"/>
  <c r="O579" i="6" s="1"/>
  <c r="N578" i="6"/>
  <c r="O578" i="6" s="1"/>
  <c r="N577" i="6"/>
  <c r="O577" i="6" s="1"/>
  <c r="N576" i="6"/>
  <c r="O576" i="6" s="1"/>
  <c r="N574" i="6"/>
  <c r="O574" i="6" s="1"/>
  <c r="N572" i="6"/>
  <c r="O572" i="6" s="1"/>
  <c r="N570" i="6"/>
  <c r="O570" i="6" s="1"/>
  <c r="N568" i="6"/>
  <c r="O568" i="6" s="1"/>
  <c r="N566" i="6"/>
  <c r="O566" i="6" s="1"/>
  <c r="N565" i="6"/>
  <c r="O565" i="6" s="1"/>
  <c r="N564" i="6"/>
  <c r="O564" i="6" s="1"/>
  <c r="N563" i="6"/>
  <c r="O563" i="6" s="1"/>
  <c r="N562" i="6"/>
  <c r="O562" i="6" s="1"/>
  <c r="N561" i="6"/>
  <c r="O561" i="6" s="1"/>
  <c r="N560" i="6"/>
  <c r="O560" i="6" s="1"/>
  <c r="N559" i="6"/>
  <c r="O559" i="6" s="1"/>
  <c r="N558" i="6"/>
  <c r="O558" i="6" s="1"/>
  <c r="N557" i="6"/>
  <c r="O557" i="6" s="1"/>
  <c r="N556" i="6"/>
  <c r="O556" i="6" s="1"/>
  <c r="N555" i="6"/>
  <c r="O555" i="6" s="1"/>
  <c r="N554" i="6"/>
  <c r="O554" i="6" s="1"/>
  <c r="N553" i="6"/>
  <c r="O553" i="6" s="1"/>
  <c r="N552" i="6"/>
  <c r="O552" i="6" s="1"/>
  <c r="N551" i="6"/>
  <c r="O551" i="6" s="1"/>
  <c r="N550" i="6"/>
  <c r="O550" i="6" s="1"/>
  <c r="N549" i="6"/>
  <c r="O549" i="6" s="1"/>
  <c r="N548" i="6"/>
  <c r="O548" i="6" s="1"/>
  <c r="N547" i="6"/>
  <c r="O547" i="6" s="1"/>
  <c r="N546" i="6"/>
  <c r="O546" i="6" s="1"/>
  <c r="N545" i="6"/>
  <c r="O545" i="6" s="1"/>
  <c r="N544" i="6"/>
  <c r="O544" i="6" s="1"/>
  <c r="N543" i="6"/>
  <c r="O543" i="6" s="1"/>
  <c r="N542" i="6"/>
  <c r="O542" i="6" s="1"/>
  <c r="N541" i="6"/>
  <c r="O541" i="6" s="1"/>
  <c r="N540" i="6"/>
  <c r="O540" i="6" s="1"/>
  <c r="N539" i="6"/>
  <c r="O539" i="6" s="1"/>
  <c r="N538" i="6"/>
  <c r="O538" i="6" s="1"/>
  <c r="N537" i="6"/>
  <c r="O537" i="6" s="1"/>
  <c r="N536" i="6"/>
  <c r="O536" i="6" s="1"/>
  <c r="N535" i="6"/>
  <c r="O535" i="6" s="1"/>
  <c r="N534" i="6"/>
  <c r="O534" i="6" s="1"/>
  <c r="N533" i="6"/>
  <c r="O533" i="6" s="1"/>
  <c r="N532" i="6"/>
  <c r="O532" i="6" s="1"/>
  <c r="N531" i="6"/>
  <c r="O531" i="6" s="1"/>
  <c r="N530" i="6"/>
  <c r="O530" i="6" s="1"/>
  <c r="N529" i="6"/>
  <c r="O529" i="6" s="1"/>
  <c r="N528" i="6"/>
  <c r="O528" i="6" s="1"/>
  <c r="N527" i="6"/>
  <c r="O527" i="6" s="1"/>
  <c r="N526" i="6"/>
  <c r="O526" i="6" s="1"/>
  <c r="N525" i="6"/>
  <c r="O525" i="6" s="1"/>
  <c r="N524" i="6"/>
  <c r="O524" i="6" s="1"/>
  <c r="N523" i="6"/>
  <c r="O523" i="6" s="1"/>
  <c r="N522" i="6"/>
  <c r="O522" i="6" s="1"/>
  <c r="N521" i="6"/>
  <c r="O521" i="6" s="1"/>
  <c r="N520" i="6"/>
  <c r="O520" i="6" s="1"/>
  <c r="N519" i="6"/>
  <c r="O519" i="6" s="1"/>
  <c r="N518" i="6"/>
  <c r="O518" i="6" s="1"/>
  <c r="N517" i="6"/>
  <c r="O517" i="6" s="1"/>
  <c r="N516" i="6"/>
  <c r="O516" i="6" s="1"/>
  <c r="N575" i="6"/>
  <c r="O575" i="6" s="1"/>
  <c r="N573" i="6"/>
  <c r="O573" i="6" s="1"/>
  <c r="N571" i="6"/>
  <c r="O571" i="6" s="1"/>
  <c r="N569" i="6"/>
  <c r="O569" i="6" s="1"/>
  <c r="N567" i="6"/>
  <c r="O567" i="6" s="1"/>
  <c r="N514" i="6"/>
  <c r="O514" i="6" s="1"/>
  <c r="N512" i="6"/>
  <c r="O512" i="6" s="1"/>
  <c r="N510" i="6"/>
  <c r="O510" i="6" s="1"/>
  <c r="N509" i="6"/>
  <c r="O509" i="6" s="1"/>
  <c r="N508" i="6"/>
  <c r="O508" i="6" s="1"/>
  <c r="N507" i="6"/>
  <c r="O507" i="6" s="1"/>
  <c r="N506" i="6"/>
  <c r="O506" i="6" s="1"/>
  <c r="N505" i="6"/>
  <c r="O505" i="6" s="1"/>
  <c r="N504" i="6"/>
  <c r="O504" i="6" s="1"/>
  <c r="N503" i="6"/>
  <c r="O503" i="6" s="1"/>
  <c r="N502" i="6"/>
  <c r="O502" i="6" s="1"/>
  <c r="N501" i="6"/>
  <c r="O501" i="6" s="1"/>
  <c r="N500" i="6"/>
  <c r="O500" i="6" s="1"/>
  <c r="N499" i="6"/>
  <c r="O499" i="6" s="1"/>
  <c r="N498" i="6"/>
  <c r="O498" i="6" s="1"/>
  <c r="N497" i="6"/>
  <c r="O497" i="6" s="1"/>
  <c r="N496" i="6"/>
  <c r="O496" i="6" s="1"/>
  <c r="N495" i="6"/>
  <c r="O495" i="6" s="1"/>
  <c r="N494" i="6"/>
  <c r="O494" i="6" s="1"/>
  <c r="N493" i="6"/>
  <c r="O493" i="6" s="1"/>
  <c r="N492" i="6"/>
  <c r="O492" i="6" s="1"/>
  <c r="N491" i="6"/>
  <c r="O491" i="6" s="1"/>
  <c r="N490" i="6"/>
  <c r="O490" i="6" s="1"/>
  <c r="N489" i="6"/>
  <c r="O489" i="6" s="1"/>
  <c r="N488" i="6"/>
  <c r="O488" i="6" s="1"/>
  <c r="N487" i="6"/>
  <c r="O487" i="6" s="1"/>
  <c r="N486" i="6"/>
  <c r="O486" i="6" s="1"/>
  <c r="N485" i="6"/>
  <c r="O485" i="6" s="1"/>
  <c r="N484" i="6"/>
  <c r="O484" i="6" s="1"/>
  <c r="N483" i="6"/>
  <c r="O483" i="6" s="1"/>
  <c r="N482" i="6"/>
  <c r="O482" i="6" s="1"/>
  <c r="N481" i="6"/>
  <c r="O481" i="6" s="1"/>
  <c r="N480" i="6"/>
  <c r="O480" i="6" s="1"/>
  <c r="N479" i="6"/>
  <c r="O479" i="6" s="1"/>
  <c r="N478" i="6"/>
  <c r="O478" i="6" s="1"/>
  <c r="N477" i="6"/>
  <c r="O477" i="6" s="1"/>
  <c r="N476" i="6"/>
  <c r="O476" i="6" s="1"/>
  <c r="N475" i="6"/>
  <c r="O475" i="6" s="1"/>
  <c r="N474" i="6"/>
  <c r="O474" i="6" s="1"/>
  <c r="N473" i="6"/>
  <c r="O473" i="6" s="1"/>
  <c r="N472" i="6"/>
  <c r="O472" i="6" s="1"/>
  <c r="N471" i="6"/>
  <c r="O471" i="6" s="1"/>
  <c r="N470" i="6"/>
  <c r="O470" i="6" s="1"/>
  <c r="N515" i="6"/>
  <c r="O515" i="6" s="1"/>
  <c r="N462" i="6"/>
  <c r="O462" i="6" s="1"/>
  <c r="N460" i="6"/>
  <c r="O460" i="6" s="1"/>
  <c r="N458" i="6"/>
  <c r="O458" i="6" s="1"/>
  <c r="N456" i="6"/>
  <c r="O456" i="6" s="1"/>
  <c r="N454" i="6"/>
  <c r="O454" i="6" s="1"/>
  <c r="N452" i="6"/>
  <c r="O452" i="6" s="1"/>
  <c r="N511" i="6"/>
  <c r="O511" i="6" s="1"/>
  <c r="N469" i="6"/>
  <c r="O469" i="6" s="1"/>
  <c r="N468" i="6"/>
  <c r="O468" i="6" s="1"/>
  <c r="N467" i="6"/>
  <c r="O467" i="6" s="1"/>
  <c r="N466" i="6"/>
  <c r="O466" i="6" s="1"/>
  <c r="N465" i="6"/>
  <c r="O465" i="6" s="1"/>
  <c r="N464" i="6"/>
  <c r="O464" i="6" s="1"/>
  <c r="N463" i="6"/>
  <c r="O463" i="6" s="1"/>
  <c r="N461" i="6"/>
  <c r="O461" i="6" s="1"/>
  <c r="N459" i="6"/>
  <c r="O459" i="6" s="1"/>
  <c r="N457" i="6"/>
  <c r="O457" i="6" s="1"/>
  <c r="N455" i="6"/>
  <c r="O455" i="6" s="1"/>
  <c r="N453" i="6"/>
  <c r="O453" i="6" s="1"/>
  <c r="N396" i="6"/>
  <c r="O396" i="6" s="1"/>
  <c r="N395" i="6"/>
  <c r="O395" i="6" s="1"/>
  <c r="N393" i="6"/>
  <c r="O393" i="6" s="1"/>
  <c r="N391" i="6"/>
  <c r="O391" i="6" s="1"/>
  <c r="N389" i="6"/>
  <c r="O389" i="6" s="1"/>
  <c r="N387" i="6"/>
  <c r="O387" i="6" s="1"/>
  <c r="N385" i="6"/>
  <c r="O385" i="6" s="1"/>
  <c r="N383" i="6"/>
  <c r="O383" i="6" s="1"/>
  <c r="N382" i="6"/>
  <c r="O382" i="6" s="1"/>
  <c r="N381" i="6"/>
  <c r="O381" i="6" s="1"/>
  <c r="N380" i="6"/>
  <c r="O380" i="6" s="1"/>
  <c r="N379" i="6"/>
  <c r="O379" i="6" s="1"/>
  <c r="N378" i="6"/>
  <c r="O378" i="6" s="1"/>
  <c r="N377" i="6"/>
  <c r="O377" i="6" s="1"/>
  <c r="N376" i="6"/>
  <c r="O376" i="6" s="1"/>
  <c r="N375" i="6"/>
  <c r="O375" i="6" s="1"/>
  <c r="N374" i="6"/>
  <c r="O374" i="6" s="1"/>
  <c r="N373" i="6"/>
  <c r="O373" i="6" s="1"/>
  <c r="N372" i="6"/>
  <c r="O372" i="6" s="1"/>
  <c r="N371" i="6"/>
  <c r="O371" i="6" s="1"/>
  <c r="N370" i="6"/>
  <c r="O370" i="6" s="1"/>
  <c r="N369" i="6"/>
  <c r="O369" i="6" s="1"/>
  <c r="N368" i="6"/>
  <c r="O368" i="6" s="1"/>
  <c r="N367" i="6"/>
  <c r="O367" i="6" s="1"/>
  <c r="N366" i="6"/>
  <c r="O366" i="6" s="1"/>
  <c r="N365" i="6"/>
  <c r="O365" i="6" s="1"/>
  <c r="N364" i="6"/>
  <c r="O364" i="6" s="1"/>
  <c r="N363" i="6"/>
  <c r="O363" i="6" s="1"/>
  <c r="N362" i="6"/>
  <c r="O362" i="6" s="1"/>
  <c r="N361" i="6"/>
  <c r="O361" i="6" s="1"/>
  <c r="N360" i="6"/>
  <c r="O360" i="6" s="1"/>
  <c r="N359" i="6"/>
  <c r="O359" i="6" s="1"/>
  <c r="N358" i="6"/>
  <c r="O358" i="6" s="1"/>
  <c r="N357" i="6"/>
  <c r="O357" i="6" s="1"/>
  <c r="N356" i="6"/>
  <c r="O356" i="6" s="1"/>
  <c r="N355" i="6"/>
  <c r="O355" i="6" s="1"/>
  <c r="N354" i="6"/>
  <c r="O354" i="6" s="1"/>
  <c r="N353" i="6"/>
  <c r="O353" i="6" s="1"/>
  <c r="N352" i="6"/>
  <c r="O352" i="6" s="1"/>
  <c r="N351" i="6"/>
  <c r="O351" i="6" s="1"/>
  <c r="N350" i="6"/>
  <c r="O350" i="6" s="1"/>
  <c r="N349" i="6"/>
  <c r="O349" i="6" s="1"/>
  <c r="N348" i="6"/>
  <c r="O348" i="6" s="1"/>
  <c r="N347" i="6"/>
  <c r="O347" i="6" s="1"/>
  <c r="N346" i="6"/>
  <c r="O346" i="6" s="1"/>
  <c r="N345" i="6"/>
  <c r="O345" i="6" s="1"/>
  <c r="N344" i="6"/>
  <c r="O344" i="6" s="1"/>
  <c r="N343" i="6"/>
  <c r="O343" i="6" s="1"/>
  <c r="N342" i="6"/>
  <c r="O342" i="6" s="1"/>
  <c r="N341" i="6"/>
  <c r="O341" i="6" s="1"/>
  <c r="N340" i="6"/>
  <c r="O340" i="6" s="1"/>
  <c r="N339" i="6"/>
  <c r="O339" i="6" s="1"/>
  <c r="N338" i="6"/>
  <c r="O338" i="6" s="1"/>
  <c r="N337" i="6"/>
  <c r="O337" i="6" s="1"/>
  <c r="N336" i="6"/>
  <c r="O336" i="6" s="1"/>
  <c r="N335" i="6"/>
  <c r="O335" i="6" s="1"/>
  <c r="N334" i="6"/>
  <c r="O334" i="6" s="1"/>
  <c r="N333" i="6"/>
  <c r="O333" i="6" s="1"/>
  <c r="N332" i="6"/>
  <c r="O332" i="6" s="1"/>
  <c r="N331" i="6"/>
  <c r="O331" i="6" s="1"/>
  <c r="N330" i="6"/>
  <c r="O330" i="6" s="1"/>
  <c r="N329" i="6"/>
  <c r="O329" i="6" s="1"/>
  <c r="N328" i="6"/>
  <c r="O328" i="6" s="1"/>
  <c r="N327" i="6"/>
  <c r="O327" i="6" s="1"/>
  <c r="N326" i="6"/>
  <c r="O326" i="6" s="1"/>
  <c r="N325" i="6"/>
  <c r="O325" i="6" s="1"/>
  <c r="N324" i="6"/>
  <c r="O324" i="6" s="1"/>
  <c r="N323" i="6"/>
  <c r="O323" i="6" s="1"/>
  <c r="N322" i="6"/>
  <c r="O322" i="6" s="1"/>
  <c r="N321" i="6"/>
  <c r="O321" i="6" s="1"/>
  <c r="N320" i="6"/>
  <c r="O320" i="6" s="1"/>
  <c r="N319" i="6"/>
  <c r="O319" i="6" s="1"/>
  <c r="N318" i="6"/>
  <c r="O318" i="6" s="1"/>
  <c r="N317" i="6"/>
  <c r="O317" i="6" s="1"/>
  <c r="N316" i="6"/>
  <c r="O316" i="6" s="1"/>
  <c r="N315" i="6"/>
  <c r="O315" i="6" s="1"/>
  <c r="N314" i="6"/>
  <c r="O314" i="6" s="1"/>
  <c r="N313" i="6"/>
  <c r="O313" i="6" s="1"/>
  <c r="N312" i="6"/>
  <c r="O312" i="6" s="1"/>
  <c r="N311" i="6"/>
  <c r="O311" i="6" s="1"/>
  <c r="N310" i="6"/>
  <c r="O310" i="6" s="1"/>
  <c r="N309" i="6"/>
  <c r="O309" i="6" s="1"/>
  <c r="N308" i="6"/>
  <c r="O308" i="6" s="1"/>
  <c r="N307" i="6"/>
  <c r="O307" i="6" s="1"/>
  <c r="N306" i="6"/>
  <c r="O306" i="6" s="1"/>
  <c r="N305" i="6"/>
  <c r="O305" i="6" s="1"/>
  <c r="N304" i="6"/>
  <c r="O304" i="6" s="1"/>
  <c r="N303" i="6"/>
  <c r="O303" i="6" s="1"/>
  <c r="N302" i="6"/>
  <c r="O302" i="6" s="1"/>
  <c r="N301" i="6"/>
  <c r="O301" i="6" s="1"/>
  <c r="N300" i="6"/>
  <c r="O300" i="6" s="1"/>
  <c r="N299" i="6"/>
  <c r="O299" i="6" s="1"/>
  <c r="N298" i="6"/>
  <c r="O298" i="6" s="1"/>
  <c r="N297" i="6"/>
  <c r="O297" i="6" s="1"/>
  <c r="N296" i="6"/>
  <c r="O296" i="6" s="1"/>
  <c r="N295" i="6"/>
  <c r="O295" i="6" s="1"/>
  <c r="N294" i="6"/>
  <c r="O294" i="6" s="1"/>
  <c r="N293" i="6"/>
  <c r="O293" i="6" s="1"/>
  <c r="N292" i="6"/>
  <c r="O292" i="6" s="1"/>
  <c r="N291" i="6"/>
  <c r="O291" i="6" s="1"/>
  <c r="N290" i="6"/>
  <c r="O290" i="6" s="1"/>
  <c r="N289" i="6"/>
  <c r="O289" i="6" s="1"/>
  <c r="N288" i="6"/>
  <c r="O288" i="6" s="1"/>
  <c r="N287" i="6"/>
  <c r="O287" i="6" s="1"/>
  <c r="N286" i="6"/>
  <c r="O286" i="6" s="1"/>
  <c r="N285" i="6"/>
  <c r="O285" i="6" s="1"/>
  <c r="N284" i="6"/>
  <c r="O284" i="6" s="1"/>
  <c r="N283" i="6"/>
  <c r="O283" i="6" s="1"/>
  <c r="N282" i="6"/>
  <c r="O282" i="6" s="1"/>
  <c r="N281" i="6"/>
  <c r="O281" i="6" s="1"/>
  <c r="N280" i="6"/>
  <c r="O280" i="6" s="1"/>
  <c r="N279" i="6"/>
  <c r="O279" i="6" s="1"/>
  <c r="N278" i="6"/>
  <c r="O278" i="6" s="1"/>
  <c r="N277" i="6"/>
  <c r="O277" i="6" s="1"/>
  <c r="N276" i="6"/>
  <c r="O276" i="6" s="1"/>
  <c r="N275" i="6"/>
  <c r="O275" i="6" s="1"/>
  <c r="N274" i="6"/>
  <c r="O274" i="6" s="1"/>
  <c r="N273" i="6"/>
  <c r="O273" i="6" s="1"/>
  <c r="N272" i="6"/>
  <c r="O272" i="6" s="1"/>
  <c r="N271" i="6"/>
  <c r="O271" i="6" s="1"/>
  <c r="N270" i="6"/>
  <c r="O270" i="6" s="1"/>
  <c r="N269" i="6"/>
  <c r="O269" i="6" s="1"/>
  <c r="N268" i="6"/>
  <c r="O268" i="6" s="1"/>
  <c r="N267" i="6"/>
  <c r="O267" i="6" s="1"/>
  <c r="N266" i="6"/>
  <c r="O266" i="6" s="1"/>
  <c r="N265" i="6"/>
  <c r="O265" i="6" s="1"/>
  <c r="N264" i="6"/>
  <c r="O264" i="6" s="1"/>
  <c r="N263" i="6"/>
  <c r="O263" i="6" s="1"/>
  <c r="N262" i="6"/>
  <c r="O262" i="6" s="1"/>
  <c r="N261" i="6"/>
  <c r="O261" i="6" s="1"/>
  <c r="N260" i="6"/>
  <c r="O260" i="6" s="1"/>
  <c r="N259" i="6"/>
  <c r="O259" i="6" s="1"/>
  <c r="N258" i="6"/>
  <c r="O258" i="6" s="1"/>
  <c r="N257" i="6"/>
  <c r="O257" i="6" s="1"/>
  <c r="N256" i="6"/>
  <c r="O256" i="6" s="1"/>
  <c r="N255" i="6"/>
  <c r="O255" i="6" s="1"/>
  <c r="N254" i="6"/>
  <c r="O254" i="6" s="1"/>
  <c r="N253" i="6"/>
  <c r="O253" i="6" s="1"/>
  <c r="N451" i="6"/>
  <c r="O451" i="6" s="1"/>
  <c r="N449" i="6"/>
  <c r="O449" i="6" s="1"/>
  <c r="N447" i="6"/>
  <c r="O447" i="6" s="1"/>
  <c r="N445" i="6"/>
  <c r="O445" i="6" s="1"/>
  <c r="N443" i="6"/>
  <c r="O443" i="6" s="1"/>
  <c r="N441" i="6"/>
  <c r="O441" i="6" s="1"/>
  <c r="N439" i="6"/>
  <c r="O439" i="6" s="1"/>
  <c r="N437" i="6"/>
  <c r="O437" i="6" s="1"/>
  <c r="N435" i="6"/>
  <c r="O435" i="6" s="1"/>
  <c r="N433" i="6"/>
  <c r="O433" i="6" s="1"/>
  <c r="N431" i="6"/>
  <c r="O431" i="6" s="1"/>
  <c r="N429" i="6"/>
  <c r="O429" i="6" s="1"/>
  <c r="N427" i="6"/>
  <c r="O427" i="6" s="1"/>
  <c r="N425" i="6"/>
  <c r="O425" i="6" s="1"/>
  <c r="N423" i="6"/>
  <c r="O423" i="6" s="1"/>
  <c r="N421" i="6"/>
  <c r="O421" i="6" s="1"/>
  <c r="N419" i="6"/>
  <c r="O419" i="6" s="1"/>
  <c r="N417" i="6"/>
  <c r="O417" i="6" s="1"/>
  <c r="N415" i="6"/>
  <c r="O415" i="6" s="1"/>
  <c r="N413" i="6"/>
  <c r="O413" i="6" s="1"/>
  <c r="N411" i="6"/>
  <c r="O411" i="6" s="1"/>
  <c r="N409" i="6"/>
  <c r="O409" i="6" s="1"/>
  <c r="N407" i="6"/>
  <c r="O407" i="6" s="1"/>
  <c r="N405" i="6"/>
  <c r="O405" i="6" s="1"/>
  <c r="N403" i="6"/>
  <c r="O403" i="6" s="1"/>
  <c r="N401" i="6"/>
  <c r="O401" i="6" s="1"/>
  <c r="N399" i="6"/>
  <c r="O399" i="6" s="1"/>
  <c r="N397" i="6"/>
  <c r="O397" i="6" s="1"/>
  <c r="N394" i="6"/>
  <c r="O394" i="6" s="1"/>
  <c r="N392" i="6"/>
  <c r="O392" i="6" s="1"/>
  <c r="N390" i="6"/>
  <c r="O390" i="6" s="1"/>
  <c r="N388" i="6"/>
  <c r="O388" i="6" s="1"/>
  <c r="N386" i="6"/>
  <c r="O386" i="6" s="1"/>
  <c r="N384" i="6"/>
  <c r="O384" i="6" s="1"/>
  <c r="N446" i="6"/>
  <c r="O446" i="6" s="1"/>
  <c r="N438" i="6"/>
  <c r="O438" i="6" s="1"/>
  <c r="N430" i="6"/>
  <c r="O430" i="6" s="1"/>
  <c r="N422" i="6"/>
  <c r="O422" i="6" s="1"/>
  <c r="N414" i="6"/>
  <c r="O414" i="6" s="1"/>
  <c r="N406" i="6"/>
  <c r="O406" i="6" s="1"/>
  <c r="N398" i="6"/>
  <c r="O398" i="6" s="1"/>
  <c r="N444" i="6"/>
  <c r="O444" i="6" s="1"/>
  <c r="N436" i="6"/>
  <c r="O436" i="6" s="1"/>
  <c r="N428" i="6"/>
  <c r="O428" i="6" s="1"/>
  <c r="N420" i="6"/>
  <c r="O420" i="6" s="1"/>
  <c r="N412" i="6"/>
  <c r="O412" i="6" s="1"/>
  <c r="N404" i="6"/>
  <c r="O404" i="6" s="1"/>
  <c r="N252" i="6"/>
  <c r="O252" i="6" s="1"/>
  <c r="N250" i="6"/>
  <c r="O250" i="6" s="1"/>
  <c r="N248" i="6"/>
  <c r="O248" i="6" s="1"/>
  <c r="N246" i="6"/>
  <c r="O246" i="6" s="1"/>
  <c r="N244" i="6"/>
  <c r="O244" i="6" s="1"/>
  <c r="N513" i="6"/>
  <c r="O513" i="6" s="1"/>
  <c r="N450" i="6"/>
  <c r="O450" i="6" s="1"/>
  <c r="N442" i="6"/>
  <c r="O442" i="6" s="1"/>
  <c r="N434" i="6"/>
  <c r="O434" i="6" s="1"/>
  <c r="N426" i="6"/>
  <c r="O426" i="6" s="1"/>
  <c r="N418" i="6"/>
  <c r="O418" i="6" s="1"/>
  <c r="N410" i="6"/>
  <c r="O410" i="6" s="1"/>
  <c r="N402" i="6"/>
  <c r="O402" i="6" s="1"/>
  <c r="H125" i="6"/>
  <c r="I125" i="6" s="1"/>
  <c r="H126" i="6"/>
  <c r="I126" i="6" s="1"/>
  <c r="H127" i="6"/>
  <c r="I127" i="6" s="1"/>
  <c r="H128" i="6"/>
  <c r="I128" i="6" s="1"/>
  <c r="H129" i="6"/>
  <c r="I129" i="6" s="1"/>
  <c r="H130" i="6"/>
  <c r="I130" i="6" s="1"/>
  <c r="H131" i="6"/>
  <c r="I131" i="6" s="1"/>
  <c r="H132" i="6"/>
  <c r="I132" i="6" s="1"/>
  <c r="H133" i="6"/>
  <c r="I133" i="6" s="1"/>
  <c r="H134" i="6"/>
  <c r="I134" i="6" s="1"/>
  <c r="H135" i="6"/>
  <c r="I135" i="6" s="1"/>
  <c r="H136" i="6"/>
  <c r="I136" i="6" s="1"/>
  <c r="H137" i="6"/>
  <c r="I137" i="6" s="1"/>
  <c r="H138" i="6"/>
  <c r="I138" i="6" s="1"/>
  <c r="H139" i="6"/>
  <c r="I139" i="6" s="1"/>
  <c r="H140" i="6"/>
  <c r="I140" i="6" s="1"/>
  <c r="H141" i="6"/>
  <c r="I141" i="6" s="1"/>
  <c r="H142" i="6"/>
  <c r="I142" i="6" s="1"/>
  <c r="H143" i="6"/>
  <c r="I143" i="6" s="1"/>
  <c r="H144" i="6"/>
  <c r="I144" i="6" s="1"/>
  <c r="H145" i="6"/>
  <c r="I145" i="6" s="1"/>
  <c r="H146" i="6"/>
  <c r="I146" i="6" s="1"/>
  <c r="H147" i="6"/>
  <c r="I147" i="6" s="1"/>
  <c r="H148" i="6"/>
  <c r="I148" i="6" s="1"/>
  <c r="H149" i="6"/>
  <c r="I149" i="6" s="1"/>
  <c r="H150" i="6"/>
  <c r="I150" i="6" s="1"/>
  <c r="H151" i="6"/>
  <c r="I151" i="6" s="1"/>
  <c r="H152" i="6"/>
  <c r="I152" i="6" s="1"/>
  <c r="H153" i="6"/>
  <c r="I153" i="6" s="1"/>
  <c r="H154" i="6"/>
  <c r="I154" i="6" s="1"/>
  <c r="H155" i="6"/>
  <c r="I155" i="6" s="1"/>
  <c r="H156" i="6"/>
  <c r="I156" i="6" s="1"/>
  <c r="H157" i="6"/>
  <c r="I157" i="6" s="1"/>
  <c r="H158" i="6"/>
  <c r="I158" i="6" s="1"/>
  <c r="H159" i="6"/>
  <c r="I159" i="6" s="1"/>
  <c r="H160" i="6"/>
  <c r="I160" i="6" s="1"/>
  <c r="H161" i="6"/>
  <c r="I161" i="6" s="1"/>
  <c r="H162" i="6"/>
  <c r="I162" i="6" s="1"/>
  <c r="H163" i="6"/>
  <c r="I163" i="6" s="1"/>
  <c r="H164" i="6"/>
  <c r="I164" i="6" s="1"/>
  <c r="H165" i="6"/>
  <c r="I165" i="6" s="1"/>
  <c r="H166" i="6"/>
  <c r="I166" i="6" s="1"/>
  <c r="H167" i="6"/>
  <c r="I167" i="6" s="1"/>
  <c r="H168" i="6"/>
  <c r="I168" i="6" s="1"/>
  <c r="H169" i="6"/>
  <c r="I169" i="6" s="1"/>
  <c r="H170" i="6"/>
  <c r="I170" i="6" s="1"/>
  <c r="H171" i="6"/>
  <c r="I171" i="6" s="1"/>
  <c r="H172" i="6"/>
  <c r="I172" i="6" s="1"/>
  <c r="H173" i="6"/>
  <c r="I173" i="6" s="1"/>
  <c r="H174" i="6"/>
  <c r="I174" i="6" s="1"/>
  <c r="H175" i="6"/>
  <c r="I175" i="6" s="1"/>
  <c r="H176" i="6"/>
  <c r="I176" i="6" s="1"/>
  <c r="H177" i="6"/>
  <c r="I177" i="6" s="1"/>
  <c r="H178" i="6"/>
  <c r="I178" i="6" s="1"/>
  <c r="N179" i="6"/>
  <c r="O179" i="6" s="1"/>
  <c r="N181" i="6"/>
  <c r="O181" i="6" s="1"/>
  <c r="N183" i="6"/>
  <c r="O183" i="6" s="1"/>
  <c r="N185" i="6"/>
  <c r="O185" i="6" s="1"/>
  <c r="N187" i="6"/>
  <c r="O187" i="6" s="1"/>
  <c r="N189" i="6"/>
  <c r="O189" i="6" s="1"/>
  <c r="N191" i="6"/>
  <c r="O191" i="6" s="1"/>
  <c r="N193" i="6"/>
  <c r="O193" i="6" s="1"/>
  <c r="N195" i="6"/>
  <c r="O195" i="6" s="1"/>
  <c r="N197" i="6"/>
  <c r="O197" i="6" s="1"/>
  <c r="N199" i="6"/>
  <c r="O199" i="6" s="1"/>
  <c r="N201" i="6"/>
  <c r="O201" i="6" s="1"/>
  <c r="N203" i="6"/>
  <c r="O203" i="6" s="1"/>
  <c r="N205" i="6"/>
  <c r="O205" i="6" s="1"/>
  <c r="N207" i="6"/>
  <c r="O207" i="6" s="1"/>
  <c r="N209" i="6"/>
  <c r="O209" i="6" s="1"/>
  <c r="N211" i="6"/>
  <c r="O211" i="6" s="1"/>
  <c r="N213" i="6"/>
  <c r="O213" i="6" s="1"/>
  <c r="N215" i="6"/>
  <c r="O215" i="6" s="1"/>
  <c r="N217" i="6"/>
  <c r="O217" i="6" s="1"/>
  <c r="N219" i="6"/>
  <c r="O219" i="6" s="1"/>
  <c r="N221" i="6"/>
  <c r="O221" i="6" s="1"/>
  <c r="N223" i="6"/>
  <c r="O223" i="6" s="1"/>
  <c r="N225" i="6"/>
  <c r="O225" i="6" s="1"/>
  <c r="N227" i="6"/>
  <c r="O227" i="6" s="1"/>
  <c r="N229" i="6"/>
  <c r="O229" i="6" s="1"/>
  <c r="N231" i="6"/>
  <c r="O231" i="6" s="1"/>
  <c r="N233" i="6"/>
  <c r="O233" i="6" s="1"/>
  <c r="N235" i="6"/>
  <c r="O235" i="6" s="1"/>
  <c r="N237" i="6"/>
  <c r="O237" i="6" s="1"/>
  <c r="N239" i="6"/>
  <c r="O239" i="6" s="1"/>
  <c r="N241" i="6"/>
  <c r="O241" i="6" s="1"/>
  <c r="N243" i="6"/>
  <c r="O243" i="6" s="1"/>
  <c r="N251" i="6"/>
  <c r="O251" i="6" s="1"/>
  <c r="N408" i="6"/>
  <c r="O408" i="6" s="1"/>
  <c r="N440" i="6"/>
  <c r="O440" i="6" s="1"/>
  <c r="E683" i="5"/>
  <c r="F683" i="5" s="1"/>
  <c r="E681" i="5"/>
  <c r="F681" i="5" s="1"/>
  <c r="E679" i="5"/>
  <c r="F679" i="5" s="1"/>
  <c r="E677" i="5"/>
  <c r="F677" i="5" s="1"/>
  <c r="E675" i="5"/>
  <c r="F675" i="5" s="1"/>
  <c r="E673" i="5"/>
  <c r="F673" i="5" s="1"/>
  <c r="E671" i="5"/>
  <c r="F671" i="5" s="1"/>
  <c r="E669" i="5"/>
  <c r="F669" i="5" s="1"/>
  <c r="E667" i="5"/>
  <c r="F667" i="5" s="1"/>
  <c r="E665" i="5"/>
  <c r="F665" i="5" s="1"/>
  <c r="E663" i="5"/>
  <c r="F663" i="5" s="1"/>
  <c r="E661" i="5"/>
  <c r="F661" i="5" s="1"/>
  <c r="E659" i="5"/>
  <c r="F659" i="5" s="1"/>
  <c r="E657" i="5"/>
  <c r="F657" i="5" s="1"/>
  <c r="E655" i="5"/>
  <c r="F655" i="5" s="1"/>
  <c r="E653" i="5"/>
  <c r="F653" i="5" s="1"/>
  <c r="E651" i="5"/>
  <c r="F651" i="5" s="1"/>
  <c r="E682" i="5"/>
  <c r="F682" i="5" s="1"/>
  <c r="E678" i="5"/>
  <c r="F678" i="5" s="1"/>
  <c r="E674" i="5"/>
  <c r="F674" i="5" s="1"/>
  <c r="E670" i="5"/>
  <c r="F670" i="5" s="1"/>
  <c r="E666" i="5"/>
  <c r="F666" i="5" s="1"/>
  <c r="E662" i="5"/>
  <c r="F662" i="5" s="1"/>
  <c r="E658" i="5"/>
  <c r="F658" i="5" s="1"/>
  <c r="E654" i="5"/>
  <c r="F654" i="5" s="1"/>
  <c r="E648" i="5"/>
  <c r="F648" i="5" s="1"/>
  <c r="E646" i="5"/>
  <c r="F646" i="5" s="1"/>
  <c r="E644" i="5"/>
  <c r="F644" i="5" s="1"/>
  <c r="E642" i="5"/>
  <c r="F642" i="5" s="1"/>
  <c r="E640" i="5"/>
  <c r="F640" i="5" s="1"/>
  <c r="E638" i="5"/>
  <c r="F638" i="5" s="1"/>
  <c r="E636" i="5"/>
  <c r="F636" i="5" s="1"/>
  <c r="E634" i="5"/>
  <c r="F634" i="5" s="1"/>
  <c r="E632" i="5"/>
  <c r="F632" i="5" s="1"/>
  <c r="E630" i="5"/>
  <c r="F630" i="5" s="1"/>
  <c r="E628" i="5"/>
  <c r="F628" i="5" s="1"/>
  <c r="E626" i="5"/>
  <c r="F626" i="5" s="1"/>
  <c r="E624" i="5"/>
  <c r="F624" i="5" s="1"/>
  <c r="E622" i="5"/>
  <c r="F622" i="5" s="1"/>
  <c r="E620" i="5"/>
  <c r="F620" i="5" s="1"/>
  <c r="E618" i="5"/>
  <c r="F618" i="5" s="1"/>
  <c r="E616" i="5"/>
  <c r="F616" i="5" s="1"/>
  <c r="E614" i="5"/>
  <c r="F614" i="5" s="1"/>
  <c r="E612" i="5"/>
  <c r="F612" i="5" s="1"/>
  <c r="E610" i="5"/>
  <c r="F610" i="5" s="1"/>
  <c r="E608" i="5"/>
  <c r="F608" i="5" s="1"/>
  <c r="E606" i="5"/>
  <c r="F606" i="5" s="1"/>
  <c r="E604" i="5"/>
  <c r="F604" i="5" s="1"/>
  <c r="E691" i="5"/>
  <c r="F691" i="5" s="1"/>
  <c r="E689" i="5"/>
  <c r="F689" i="5" s="1"/>
  <c r="E687" i="5"/>
  <c r="F687" i="5" s="1"/>
  <c r="E685" i="5"/>
  <c r="F685" i="5" s="1"/>
  <c r="E650" i="5"/>
  <c r="F650" i="5" s="1"/>
  <c r="E680" i="5"/>
  <c r="F680" i="5" s="1"/>
  <c r="E676" i="5"/>
  <c r="F676" i="5" s="1"/>
  <c r="E672" i="5"/>
  <c r="F672" i="5" s="1"/>
  <c r="E668" i="5"/>
  <c r="F668" i="5" s="1"/>
  <c r="E664" i="5"/>
  <c r="F664" i="5" s="1"/>
  <c r="E660" i="5"/>
  <c r="F660" i="5" s="1"/>
  <c r="E656" i="5"/>
  <c r="F656" i="5" s="1"/>
  <c r="E652" i="5"/>
  <c r="F652" i="5" s="1"/>
  <c r="E649" i="5"/>
  <c r="F649" i="5" s="1"/>
  <c r="E647" i="5"/>
  <c r="F647" i="5" s="1"/>
  <c r="E645" i="5"/>
  <c r="F645" i="5" s="1"/>
  <c r="E643" i="5"/>
  <c r="F643" i="5" s="1"/>
  <c r="E641" i="5"/>
  <c r="F641" i="5" s="1"/>
  <c r="E639" i="5"/>
  <c r="F639" i="5" s="1"/>
  <c r="E690" i="5"/>
  <c r="F690" i="5" s="1"/>
  <c r="E607" i="5"/>
  <c r="F607" i="5" s="1"/>
  <c r="E688" i="5"/>
  <c r="F688" i="5" s="1"/>
  <c r="E637" i="5"/>
  <c r="F637" i="5" s="1"/>
  <c r="E633" i="5"/>
  <c r="F633" i="5" s="1"/>
  <c r="E629" i="5"/>
  <c r="F629" i="5" s="1"/>
  <c r="E625" i="5"/>
  <c r="F625" i="5" s="1"/>
  <c r="E621" i="5"/>
  <c r="F621" i="5" s="1"/>
  <c r="E617" i="5"/>
  <c r="F617" i="5" s="1"/>
  <c r="E613" i="5"/>
  <c r="F613" i="5" s="1"/>
  <c r="E605" i="5"/>
  <c r="F605" i="5" s="1"/>
  <c r="E602" i="5"/>
  <c r="F602" i="5" s="1"/>
  <c r="E600" i="5"/>
  <c r="F600" i="5" s="1"/>
  <c r="E598" i="5"/>
  <c r="F598" i="5" s="1"/>
  <c r="E596" i="5"/>
  <c r="F596" i="5" s="1"/>
  <c r="E686" i="5"/>
  <c r="F686" i="5" s="1"/>
  <c r="E611" i="5"/>
  <c r="F611" i="5" s="1"/>
  <c r="E594" i="5"/>
  <c r="F594" i="5" s="1"/>
  <c r="E593" i="5"/>
  <c r="F593" i="5" s="1"/>
  <c r="E592" i="5"/>
  <c r="F592" i="5" s="1"/>
  <c r="E591" i="5"/>
  <c r="F591" i="5" s="1"/>
  <c r="E590" i="5"/>
  <c r="F590" i="5" s="1"/>
  <c r="E589" i="5"/>
  <c r="F589" i="5" s="1"/>
  <c r="E588" i="5"/>
  <c r="F588" i="5" s="1"/>
  <c r="E587" i="5"/>
  <c r="F587" i="5" s="1"/>
  <c r="E586" i="5"/>
  <c r="F586" i="5" s="1"/>
  <c r="E585" i="5"/>
  <c r="F585" i="5" s="1"/>
  <c r="E584" i="5"/>
  <c r="F584" i="5" s="1"/>
  <c r="E583" i="5"/>
  <c r="F583" i="5" s="1"/>
  <c r="E582" i="5"/>
  <c r="F582" i="5" s="1"/>
  <c r="E581" i="5"/>
  <c r="F581" i="5" s="1"/>
  <c r="E580" i="5"/>
  <c r="F580" i="5" s="1"/>
  <c r="E684" i="5"/>
  <c r="F684" i="5" s="1"/>
  <c r="E635" i="5"/>
  <c r="F635" i="5" s="1"/>
  <c r="E631" i="5"/>
  <c r="F631" i="5" s="1"/>
  <c r="E627" i="5"/>
  <c r="F627" i="5" s="1"/>
  <c r="E623" i="5"/>
  <c r="F623" i="5" s="1"/>
  <c r="E619" i="5"/>
  <c r="F619" i="5" s="1"/>
  <c r="E615" i="5"/>
  <c r="F615" i="5" s="1"/>
  <c r="E609" i="5"/>
  <c r="F609" i="5" s="1"/>
  <c r="E601" i="5"/>
  <c r="F601" i="5" s="1"/>
  <c r="E603" i="5"/>
  <c r="F603" i="5" s="1"/>
  <c r="E595" i="5"/>
  <c r="F595" i="5" s="1"/>
  <c r="E579" i="5"/>
  <c r="F579" i="5" s="1"/>
  <c r="E578" i="5"/>
  <c r="F578" i="5" s="1"/>
  <c r="E577" i="5"/>
  <c r="F577" i="5" s="1"/>
  <c r="E576" i="5"/>
  <c r="F576" i="5" s="1"/>
  <c r="E575" i="5"/>
  <c r="F575" i="5" s="1"/>
  <c r="E574" i="5"/>
  <c r="F574" i="5" s="1"/>
  <c r="E573" i="5"/>
  <c r="F573" i="5" s="1"/>
  <c r="E572" i="5"/>
  <c r="F572" i="5" s="1"/>
  <c r="E571" i="5"/>
  <c r="F571" i="5" s="1"/>
  <c r="E570" i="5"/>
  <c r="F570" i="5" s="1"/>
  <c r="E569" i="5"/>
  <c r="F569" i="5" s="1"/>
  <c r="E568" i="5"/>
  <c r="F568" i="5" s="1"/>
  <c r="E567" i="5"/>
  <c r="F567" i="5" s="1"/>
  <c r="E566" i="5"/>
  <c r="F566" i="5" s="1"/>
  <c r="E565" i="5"/>
  <c r="F565" i="5" s="1"/>
  <c r="E564" i="5"/>
  <c r="F564" i="5" s="1"/>
  <c r="E563" i="5"/>
  <c r="F563" i="5" s="1"/>
  <c r="E562" i="5"/>
  <c r="F562" i="5" s="1"/>
  <c r="E561" i="5"/>
  <c r="F561" i="5" s="1"/>
  <c r="E560" i="5"/>
  <c r="F560" i="5" s="1"/>
  <c r="E559" i="5"/>
  <c r="F559" i="5" s="1"/>
  <c r="E558" i="5"/>
  <c r="F558" i="5" s="1"/>
  <c r="E557" i="5"/>
  <c r="F557" i="5" s="1"/>
  <c r="E556" i="5"/>
  <c r="F556" i="5" s="1"/>
  <c r="E555" i="5"/>
  <c r="F555" i="5" s="1"/>
  <c r="E554" i="5"/>
  <c r="F554" i="5" s="1"/>
  <c r="E553" i="5"/>
  <c r="F553" i="5" s="1"/>
  <c r="E552" i="5"/>
  <c r="F552" i="5" s="1"/>
  <c r="E551" i="5"/>
  <c r="F551" i="5" s="1"/>
  <c r="E550" i="5"/>
  <c r="F550" i="5" s="1"/>
  <c r="E549" i="5"/>
  <c r="F549" i="5" s="1"/>
  <c r="E548" i="5"/>
  <c r="F548" i="5" s="1"/>
  <c r="E547" i="5"/>
  <c r="F547" i="5" s="1"/>
  <c r="E546" i="5"/>
  <c r="F546" i="5" s="1"/>
  <c r="E545" i="5"/>
  <c r="F545" i="5" s="1"/>
  <c r="E544" i="5"/>
  <c r="F544" i="5" s="1"/>
  <c r="E543" i="5"/>
  <c r="F543" i="5" s="1"/>
  <c r="E541" i="5"/>
  <c r="F541" i="5" s="1"/>
  <c r="E539" i="5"/>
  <c r="F539" i="5" s="1"/>
  <c r="E537" i="5"/>
  <c r="F537" i="5" s="1"/>
  <c r="E535" i="5"/>
  <c r="F535" i="5" s="1"/>
  <c r="E533" i="5"/>
  <c r="F533" i="5" s="1"/>
  <c r="E531" i="5"/>
  <c r="F531" i="5" s="1"/>
  <c r="E529" i="5"/>
  <c r="F529" i="5" s="1"/>
  <c r="E527" i="5"/>
  <c r="F527" i="5" s="1"/>
  <c r="E525" i="5"/>
  <c r="F525" i="5" s="1"/>
  <c r="E523" i="5"/>
  <c r="F523" i="5" s="1"/>
  <c r="E522" i="5"/>
  <c r="F522" i="5" s="1"/>
  <c r="E521" i="5"/>
  <c r="F521" i="5" s="1"/>
  <c r="E520" i="5"/>
  <c r="F520" i="5" s="1"/>
  <c r="E519" i="5"/>
  <c r="F519" i="5" s="1"/>
  <c r="E518" i="5"/>
  <c r="F518" i="5" s="1"/>
  <c r="E517" i="5"/>
  <c r="F517" i="5" s="1"/>
  <c r="E516" i="5"/>
  <c r="F516" i="5" s="1"/>
  <c r="E515" i="5"/>
  <c r="F515" i="5" s="1"/>
  <c r="E514" i="5"/>
  <c r="F514" i="5" s="1"/>
  <c r="E513" i="5"/>
  <c r="F513" i="5" s="1"/>
  <c r="E512" i="5"/>
  <c r="F512" i="5" s="1"/>
  <c r="E511" i="5"/>
  <c r="F511" i="5" s="1"/>
  <c r="E510" i="5"/>
  <c r="F510" i="5" s="1"/>
  <c r="E509" i="5"/>
  <c r="F509" i="5" s="1"/>
  <c r="E508" i="5"/>
  <c r="F508" i="5" s="1"/>
  <c r="E507" i="5"/>
  <c r="F507" i="5" s="1"/>
  <c r="E506" i="5"/>
  <c r="F506" i="5" s="1"/>
  <c r="E505" i="5"/>
  <c r="F505" i="5" s="1"/>
  <c r="E504" i="5"/>
  <c r="F504" i="5" s="1"/>
  <c r="E503" i="5"/>
  <c r="F503" i="5" s="1"/>
  <c r="E502" i="5"/>
  <c r="F502" i="5" s="1"/>
  <c r="E501" i="5"/>
  <c r="F501" i="5" s="1"/>
  <c r="E500" i="5"/>
  <c r="F500" i="5" s="1"/>
  <c r="E499" i="5"/>
  <c r="F499" i="5" s="1"/>
  <c r="E498" i="5"/>
  <c r="F498" i="5" s="1"/>
  <c r="E597" i="5"/>
  <c r="F597" i="5" s="1"/>
  <c r="E599" i="5"/>
  <c r="F599" i="5" s="1"/>
  <c r="E542" i="5"/>
  <c r="F542" i="5" s="1"/>
  <c r="E540" i="5"/>
  <c r="F540" i="5" s="1"/>
  <c r="E538" i="5"/>
  <c r="F538" i="5" s="1"/>
  <c r="E536" i="5"/>
  <c r="F536" i="5" s="1"/>
  <c r="E534" i="5"/>
  <c r="F534" i="5" s="1"/>
  <c r="E532" i="5"/>
  <c r="F532" i="5" s="1"/>
  <c r="E530" i="5"/>
  <c r="F530" i="5" s="1"/>
  <c r="E528" i="5"/>
  <c r="F528" i="5" s="1"/>
  <c r="E526" i="5"/>
  <c r="F526" i="5" s="1"/>
  <c r="E524" i="5"/>
  <c r="F524" i="5" s="1"/>
  <c r="E497" i="5"/>
  <c r="F497" i="5" s="1"/>
  <c r="E495" i="5"/>
  <c r="F495" i="5" s="1"/>
  <c r="E493" i="5"/>
  <c r="F493" i="5" s="1"/>
  <c r="E491" i="5"/>
  <c r="F491" i="5" s="1"/>
  <c r="E489" i="5"/>
  <c r="F489" i="5" s="1"/>
  <c r="E487" i="5"/>
  <c r="F487" i="5" s="1"/>
  <c r="E485" i="5"/>
  <c r="F485" i="5" s="1"/>
  <c r="E483" i="5"/>
  <c r="F483" i="5" s="1"/>
  <c r="E481" i="5"/>
  <c r="F481" i="5" s="1"/>
  <c r="E479" i="5"/>
  <c r="F479" i="5" s="1"/>
  <c r="E477" i="5"/>
  <c r="F477" i="5" s="1"/>
  <c r="E475" i="5"/>
  <c r="F475" i="5" s="1"/>
  <c r="E473" i="5"/>
  <c r="F473" i="5" s="1"/>
  <c r="E471" i="5"/>
  <c r="F471" i="5" s="1"/>
  <c r="E469" i="5"/>
  <c r="F469" i="5" s="1"/>
  <c r="E467" i="5"/>
  <c r="F467" i="5" s="1"/>
  <c r="E465" i="5"/>
  <c r="F465" i="5" s="1"/>
  <c r="E463" i="5"/>
  <c r="F463" i="5" s="1"/>
  <c r="E461" i="5"/>
  <c r="F461" i="5" s="1"/>
  <c r="E459" i="5"/>
  <c r="F459" i="5" s="1"/>
  <c r="E457" i="5"/>
  <c r="F457" i="5" s="1"/>
  <c r="E455" i="5"/>
  <c r="F455" i="5" s="1"/>
  <c r="E453" i="5"/>
  <c r="F453" i="5" s="1"/>
  <c r="E451" i="5"/>
  <c r="F451" i="5" s="1"/>
  <c r="E449" i="5"/>
  <c r="F449" i="5" s="1"/>
  <c r="E447" i="5"/>
  <c r="F447" i="5" s="1"/>
  <c r="E445" i="5"/>
  <c r="F445" i="5" s="1"/>
  <c r="E443" i="5"/>
  <c r="F443" i="5" s="1"/>
  <c r="E441" i="5"/>
  <c r="F441" i="5" s="1"/>
  <c r="E439" i="5"/>
  <c r="F439" i="5" s="1"/>
  <c r="E437" i="5"/>
  <c r="F437" i="5" s="1"/>
  <c r="E435" i="5"/>
  <c r="F435" i="5" s="1"/>
  <c r="E433" i="5"/>
  <c r="F433" i="5" s="1"/>
  <c r="E431" i="5"/>
  <c r="F431" i="5" s="1"/>
  <c r="E429" i="5"/>
  <c r="F429" i="5" s="1"/>
  <c r="E427" i="5"/>
  <c r="F427" i="5" s="1"/>
  <c r="E425" i="5"/>
  <c r="F425" i="5" s="1"/>
  <c r="E423" i="5"/>
  <c r="F423" i="5" s="1"/>
  <c r="E421" i="5"/>
  <c r="F421" i="5" s="1"/>
  <c r="E419" i="5"/>
  <c r="F419" i="5" s="1"/>
  <c r="E417" i="5"/>
  <c r="F417" i="5" s="1"/>
  <c r="E415" i="5"/>
  <c r="F415" i="5" s="1"/>
  <c r="E413" i="5"/>
  <c r="F413" i="5" s="1"/>
  <c r="E496" i="5"/>
  <c r="F496" i="5" s="1"/>
  <c r="E494" i="5"/>
  <c r="F494" i="5" s="1"/>
  <c r="E492" i="5"/>
  <c r="F492" i="5" s="1"/>
  <c r="E490" i="5"/>
  <c r="F490" i="5" s="1"/>
  <c r="E488" i="5"/>
  <c r="F488" i="5" s="1"/>
  <c r="E486" i="5"/>
  <c r="F486" i="5" s="1"/>
  <c r="E484" i="5"/>
  <c r="F484" i="5" s="1"/>
  <c r="E482" i="5"/>
  <c r="F482" i="5" s="1"/>
  <c r="E480" i="5"/>
  <c r="F480" i="5" s="1"/>
  <c r="E478" i="5"/>
  <c r="F478" i="5" s="1"/>
  <c r="E476" i="5"/>
  <c r="F476" i="5" s="1"/>
  <c r="E474" i="5"/>
  <c r="F474" i="5" s="1"/>
  <c r="E472" i="5"/>
  <c r="F472" i="5" s="1"/>
  <c r="E470" i="5"/>
  <c r="F470" i="5" s="1"/>
  <c r="E468" i="5"/>
  <c r="F468" i="5" s="1"/>
  <c r="E466" i="5"/>
  <c r="F466" i="5" s="1"/>
  <c r="E464" i="5"/>
  <c r="F464" i="5" s="1"/>
  <c r="E462" i="5"/>
  <c r="F462" i="5" s="1"/>
  <c r="E460" i="5"/>
  <c r="F460" i="5" s="1"/>
  <c r="E458" i="5"/>
  <c r="F458" i="5" s="1"/>
  <c r="E456" i="5"/>
  <c r="F456" i="5" s="1"/>
  <c r="E454" i="5"/>
  <c r="F454" i="5" s="1"/>
  <c r="E452" i="5"/>
  <c r="F452" i="5" s="1"/>
  <c r="E450" i="5"/>
  <c r="F450" i="5" s="1"/>
  <c r="E448" i="5"/>
  <c r="F448" i="5" s="1"/>
  <c r="E446" i="5"/>
  <c r="F446" i="5" s="1"/>
  <c r="E444" i="5"/>
  <c r="F444" i="5" s="1"/>
  <c r="E442" i="5"/>
  <c r="F442" i="5" s="1"/>
  <c r="E440" i="5"/>
  <c r="F440" i="5" s="1"/>
  <c r="E438" i="5"/>
  <c r="F438" i="5" s="1"/>
  <c r="E436" i="5"/>
  <c r="F436" i="5" s="1"/>
  <c r="E434" i="5"/>
  <c r="F434" i="5" s="1"/>
  <c r="E432" i="5"/>
  <c r="F432" i="5" s="1"/>
  <c r="E430" i="5"/>
  <c r="F430" i="5" s="1"/>
  <c r="E428" i="5"/>
  <c r="F428" i="5" s="1"/>
  <c r="E426" i="5"/>
  <c r="F426" i="5" s="1"/>
  <c r="E424" i="5"/>
  <c r="F424" i="5" s="1"/>
  <c r="E422" i="5"/>
  <c r="F422" i="5" s="1"/>
  <c r="E420" i="5"/>
  <c r="F420" i="5" s="1"/>
  <c r="E418" i="5"/>
  <c r="F418" i="5" s="1"/>
  <c r="E416" i="5"/>
  <c r="F416" i="5" s="1"/>
  <c r="E414" i="5"/>
  <c r="F414" i="5" s="1"/>
  <c r="E412" i="5"/>
  <c r="F412" i="5" s="1"/>
  <c r="E410" i="5"/>
  <c r="F410" i="5" s="1"/>
  <c r="E404" i="5"/>
  <c r="F404" i="5" s="1"/>
  <c r="E402" i="5"/>
  <c r="F402" i="5" s="1"/>
  <c r="E400" i="5"/>
  <c r="F400" i="5" s="1"/>
  <c r="E398" i="5"/>
  <c r="F398" i="5" s="1"/>
  <c r="E396" i="5"/>
  <c r="F396" i="5" s="1"/>
  <c r="E394" i="5"/>
  <c r="F394" i="5" s="1"/>
  <c r="E392" i="5"/>
  <c r="F392" i="5" s="1"/>
  <c r="E390" i="5"/>
  <c r="F390" i="5" s="1"/>
  <c r="E388" i="5"/>
  <c r="F388" i="5" s="1"/>
  <c r="E386" i="5"/>
  <c r="F386" i="5" s="1"/>
  <c r="E384" i="5"/>
  <c r="F384" i="5" s="1"/>
  <c r="E382" i="5"/>
  <c r="F382" i="5" s="1"/>
  <c r="E380" i="5"/>
  <c r="F380" i="5" s="1"/>
  <c r="E378" i="5"/>
  <c r="F378" i="5" s="1"/>
  <c r="E376" i="5"/>
  <c r="F376" i="5" s="1"/>
  <c r="E374" i="5"/>
  <c r="F374" i="5" s="1"/>
  <c r="E372" i="5"/>
  <c r="F372" i="5" s="1"/>
  <c r="E370" i="5"/>
  <c r="F370" i="5" s="1"/>
  <c r="E368" i="5"/>
  <c r="F368" i="5" s="1"/>
  <c r="E366" i="5"/>
  <c r="F366" i="5" s="1"/>
  <c r="E364" i="5"/>
  <c r="F364" i="5" s="1"/>
  <c r="E362" i="5"/>
  <c r="F362" i="5" s="1"/>
  <c r="E360" i="5"/>
  <c r="F360" i="5" s="1"/>
  <c r="E358" i="5"/>
  <c r="F358" i="5" s="1"/>
  <c r="E356" i="5"/>
  <c r="F356" i="5" s="1"/>
  <c r="E354" i="5"/>
  <c r="F354" i="5" s="1"/>
  <c r="E352" i="5"/>
  <c r="F352" i="5" s="1"/>
  <c r="E350" i="5"/>
  <c r="F350" i="5" s="1"/>
  <c r="E348" i="5"/>
  <c r="F348" i="5" s="1"/>
  <c r="E346" i="5"/>
  <c r="F346" i="5" s="1"/>
  <c r="E344" i="5"/>
  <c r="F344" i="5" s="1"/>
  <c r="E342" i="5"/>
  <c r="F342" i="5" s="1"/>
  <c r="E340" i="5"/>
  <c r="F340" i="5" s="1"/>
  <c r="E338" i="5"/>
  <c r="F338" i="5" s="1"/>
  <c r="E336" i="5"/>
  <c r="F336" i="5" s="1"/>
  <c r="E334" i="5"/>
  <c r="F334" i="5" s="1"/>
  <c r="E332" i="5"/>
  <c r="F332" i="5" s="1"/>
  <c r="E330" i="5"/>
  <c r="F330" i="5" s="1"/>
  <c r="E328" i="5"/>
  <c r="F328" i="5" s="1"/>
  <c r="E326" i="5"/>
  <c r="F326" i="5" s="1"/>
  <c r="E324" i="5"/>
  <c r="F324" i="5" s="1"/>
  <c r="E322" i="5"/>
  <c r="F322" i="5" s="1"/>
  <c r="E320" i="5"/>
  <c r="F320" i="5" s="1"/>
  <c r="E318" i="5"/>
  <c r="F318" i="5" s="1"/>
  <c r="E316" i="5"/>
  <c r="F316" i="5" s="1"/>
  <c r="E411" i="5"/>
  <c r="F411" i="5" s="1"/>
  <c r="E409" i="5"/>
  <c r="F409" i="5" s="1"/>
  <c r="E408" i="5"/>
  <c r="F408" i="5" s="1"/>
  <c r="E407" i="5"/>
  <c r="F407" i="5" s="1"/>
  <c r="E406" i="5"/>
  <c r="F406" i="5" s="1"/>
  <c r="E405" i="5"/>
  <c r="F405" i="5" s="1"/>
  <c r="E403" i="5"/>
  <c r="F403" i="5" s="1"/>
  <c r="E401" i="5"/>
  <c r="F401" i="5" s="1"/>
  <c r="E399" i="5"/>
  <c r="F399" i="5" s="1"/>
  <c r="E397" i="5"/>
  <c r="F397" i="5" s="1"/>
  <c r="E395" i="5"/>
  <c r="F395" i="5" s="1"/>
  <c r="E393" i="5"/>
  <c r="F393" i="5" s="1"/>
  <c r="E391" i="5"/>
  <c r="F391" i="5" s="1"/>
  <c r="E389" i="5"/>
  <c r="F389" i="5" s="1"/>
  <c r="E387" i="5"/>
  <c r="F387" i="5" s="1"/>
  <c r="E385" i="5"/>
  <c r="F385" i="5" s="1"/>
  <c r="E383" i="5"/>
  <c r="F383" i="5" s="1"/>
  <c r="E381" i="5"/>
  <c r="F381" i="5" s="1"/>
  <c r="E379" i="5"/>
  <c r="F379" i="5" s="1"/>
  <c r="E377" i="5"/>
  <c r="F377" i="5" s="1"/>
  <c r="E375" i="5"/>
  <c r="F375" i="5" s="1"/>
  <c r="E373" i="5"/>
  <c r="F373" i="5" s="1"/>
  <c r="E371" i="5"/>
  <c r="F371" i="5" s="1"/>
  <c r="E369" i="5"/>
  <c r="F369" i="5" s="1"/>
  <c r="E367" i="5"/>
  <c r="F367" i="5" s="1"/>
  <c r="E365" i="5"/>
  <c r="F365" i="5" s="1"/>
  <c r="E363" i="5"/>
  <c r="F363" i="5" s="1"/>
  <c r="E361" i="5"/>
  <c r="F361" i="5" s="1"/>
  <c r="E359" i="5"/>
  <c r="F359" i="5" s="1"/>
  <c r="E357" i="5"/>
  <c r="F357" i="5" s="1"/>
  <c r="E355" i="5"/>
  <c r="F355" i="5" s="1"/>
  <c r="E353" i="5"/>
  <c r="F353" i="5" s="1"/>
  <c r="E351" i="5"/>
  <c r="F351" i="5" s="1"/>
  <c r="E349" i="5"/>
  <c r="F349" i="5" s="1"/>
  <c r="E347" i="5"/>
  <c r="F347" i="5" s="1"/>
  <c r="E345" i="5"/>
  <c r="F345" i="5" s="1"/>
  <c r="E341" i="5"/>
  <c r="F341" i="5" s="1"/>
  <c r="E337" i="5"/>
  <c r="F337" i="5" s="1"/>
  <c r="E333" i="5"/>
  <c r="F333" i="5" s="1"/>
  <c r="E329" i="5"/>
  <c r="F329" i="5" s="1"/>
  <c r="E325" i="5"/>
  <c r="F325" i="5" s="1"/>
  <c r="E321" i="5"/>
  <c r="F321" i="5" s="1"/>
  <c r="E317" i="5"/>
  <c r="F317" i="5" s="1"/>
  <c r="E302" i="5"/>
  <c r="F302" i="5" s="1"/>
  <c r="E300" i="5"/>
  <c r="F300" i="5" s="1"/>
  <c r="E298" i="5"/>
  <c r="F298" i="5" s="1"/>
  <c r="E296" i="5"/>
  <c r="F296" i="5" s="1"/>
  <c r="E294" i="5"/>
  <c r="F294" i="5" s="1"/>
  <c r="E292" i="5"/>
  <c r="F292" i="5" s="1"/>
  <c r="E290" i="5"/>
  <c r="F290" i="5" s="1"/>
  <c r="E288" i="5"/>
  <c r="F288" i="5" s="1"/>
  <c r="E286" i="5"/>
  <c r="F286" i="5" s="1"/>
  <c r="E284" i="5"/>
  <c r="F284" i="5" s="1"/>
  <c r="E283" i="5"/>
  <c r="F283" i="5" s="1"/>
  <c r="E282" i="5"/>
  <c r="F282" i="5" s="1"/>
  <c r="E281" i="5"/>
  <c r="F281" i="5" s="1"/>
  <c r="E280" i="5"/>
  <c r="F280" i="5" s="1"/>
  <c r="E279" i="5"/>
  <c r="F279" i="5" s="1"/>
  <c r="E278" i="5"/>
  <c r="F278" i="5" s="1"/>
  <c r="E277" i="5"/>
  <c r="F277" i="5" s="1"/>
  <c r="E276" i="5"/>
  <c r="F276" i="5" s="1"/>
  <c r="E275" i="5"/>
  <c r="F275" i="5" s="1"/>
  <c r="E274" i="5"/>
  <c r="F274" i="5" s="1"/>
  <c r="E273" i="5"/>
  <c r="F273" i="5" s="1"/>
  <c r="E272" i="5"/>
  <c r="F272" i="5" s="1"/>
  <c r="E271" i="5"/>
  <c r="F271" i="5" s="1"/>
  <c r="E270" i="5"/>
  <c r="F270" i="5" s="1"/>
  <c r="E269" i="5"/>
  <c r="F269" i="5" s="1"/>
  <c r="E268" i="5"/>
  <c r="F268" i="5" s="1"/>
  <c r="E267" i="5"/>
  <c r="F267" i="5" s="1"/>
  <c r="E266" i="5"/>
  <c r="F266" i="5" s="1"/>
  <c r="E265" i="5"/>
  <c r="F265" i="5" s="1"/>
  <c r="E264" i="5"/>
  <c r="F264" i="5" s="1"/>
  <c r="E263" i="5"/>
  <c r="F263" i="5" s="1"/>
  <c r="E262" i="5"/>
  <c r="F262" i="5" s="1"/>
  <c r="E261" i="5"/>
  <c r="F261" i="5" s="1"/>
  <c r="E260" i="5"/>
  <c r="F260" i="5" s="1"/>
  <c r="E259" i="5"/>
  <c r="F259" i="5" s="1"/>
  <c r="E258" i="5"/>
  <c r="F258" i="5" s="1"/>
  <c r="E257" i="5"/>
  <c r="F257" i="5" s="1"/>
  <c r="E256" i="5"/>
  <c r="F256" i="5" s="1"/>
  <c r="E255" i="5"/>
  <c r="F255" i="5" s="1"/>
  <c r="E254" i="5"/>
  <c r="F254" i="5" s="1"/>
  <c r="E253" i="5"/>
  <c r="F253" i="5" s="1"/>
  <c r="E252" i="5"/>
  <c r="F252" i="5" s="1"/>
  <c r="E251" i="5"/>
  <c r="F251" i="5" s="1"/>
  <c r="E250" i="5"/>
  <c r="F250" i="5" s="1"/>
  <c r="E249" i="5"/>
  <c r="F249" i="5" s="1"/>
  <c r="E248" i="5"/>
  <c r="F248" i="5" s="1"/>
  <c r="E247" i="5"/>
  <c r="F247" i="5" s="1"/>
  <c r="E246" i="5"/>
  <c r="F246" i="5" s="1"/>
  <c r="E245" i="5"/>
  <c r="F245" i="5" s="1"/>
  <c r="E244" i="5"/>
  <c r="F244" i="5" s="1"/>
  <c r="E243" i="5"/>
  <c r="F243" i="5" s="1"/>
  <c r="E242" i="5"/>
  <c r="F242" i="5" s="1"/>
  <c r="E241" i="5"/>
  <c r="F241" i="5" s="1"/>
  <c r="E240" i="5"/>
  <c r="F240" i="5" s="1"/>
  <c r="E239" i="5"/>
  <c r="F239" i="5" s="1"/>
  <c r="E238" i="5"/>
  <c r="F238" i="5" s="1"/>
  <c r="E237" i="5"/>
  <c r="F237" i="5" s="1"/>
  <c r="E236" i="5"/>
  <c r="F236" i="5" s="1"/>
  <c r="E235" i="5"/>
  <c r="F235" i="5" s="1"/>
  <c r="E234" i="5"/>
  <c r="F234" i="5" s="1"/>
  <c r="E233" i="5"/>
  <c r="F233" i="5" s="1"/>
  <c r="E232" i="5"/>
  <c r="F232" i="5" s="1"/>
  <c r="E231" i="5"/>
  <c r="F231" i="5" s="1"/>
  <c r="E343" i="5"/>
  <c r="F343" i="5" s="1"/>
  <c r="E339" i="5"/>
  <c r="F339" i="5" s="1"/>
  <c r="E335" i="5"/>
  <c r="F335" i="5" s="1"/>
  <c r="E331" i="5"/>
  <c r="F331" i="5" s="1"/>
  <c r="E327" i="5"/>
  <c r="F327" i="5" s="1"/>
  <c r="E323" i="5"/>
  <c r="F323" i="5" s="1"/>
  <c r="E319" i="5"/>
  <c r="F319" i="5" s="1"/>
  <c r="E315" i="5"/>
  <c r="F315" i="5" s="1"/>
  <c r="E314" i="5"/>
  <c r="F314" i="5" s="1"/>
  <c r="E313" i="5"/>
  <c r="F313" i="5" s="1"/>
  <c r="E312" i="5"/>
  <c r="F312" i="5" s="1"/>
  <c r="E311" i="5"/>
  <c r="F311" i="5" s="1"/>
  <c r="E310" i="5"/>
  <c r="F310" i="5" s="1"/>
  <c r="E309" i="5"/>
  <c r="F309" i="5" s="1"/>
  <c r="E308" i="5"/>
  <c r="F308" i="5" s="1"/>
  <c r="E307" i="5"/>
  <c r="F307" i="5" s="1"/>
  <c r="E306" i="5"/>
  <c r="F306" i="5" s="1"/>
  <c r="E305" i="5"/>
  <c r="F305" i="5" s="1"/>
  <c r="E304" i="5"/>
  <c r="F304" i="5" s="1"/>
  <c r="E303" i="5"/>
  <c r="F303" i="5" s="1"/>
  <c r="E301" i="5"/>
  <c r="F301" i="5" s="1"/>
  <c r="E299" i="5"/>
  <c r="F299" i="5" s="1"/>
  <c r="E297" i="5"/>
  <c r="F297" i="5" s="1"/>
  <c r="E295" i="5"/>
  <c r="F295" i="5" s="1"/>
  <c r="E293" i="5"/>
  <c r="F293" i="5" s="1"/>
  <c r="E291" i="5"/>
  <c r="F291" i="5" s="1"/>
  <c r="E289" i="5"/>
  <c r="F289" i="5" s="1"/>
  <c r="E287" i="5"/>
  <c r="F287" i="5" s="1"/>
  <c r="E285" i="5"/>
  <c r="F285" i="5" s="1"/>
  <c r="E190" i="5"/>
  <c r="F190" i="5" s="1"/>
  <c r="E189" i="5"/>
  <c r="F189" i="5" s="1"/>
  <c r="E188" i="5"/>
  <c r="F188" i="5" s="1"/>
  <c r="E187" i="5"/>
  <c r="F187" i="5" s="1"/>
  <c r="E186" i="5"/>
  <c r="F186" i="5" s="1"/>
  <c r="E185" i="5"/>
  <c r="F185" i="5" s="1"/>
  <c r="E184" i="5"/>
  <c r="F184" i="5" s="1"/>
  <c r="E183" i="5"/>
  <c r="F183" i="5" s="1"/>
  <c r="E182" i="5"/>
  <c r="F182" i="5" s="1"/>
  <c r="E181" i="5"/>
  <c r="F181" i="5" s="1"/>
  <c r="E180" i="5"/>
  <c r="F180" i="5" s="1"/>
  <c r="E179" i="5"/>
  <c r="F179" i="5" s="1"/>
  <c r="E178" i="5"/>
  <c r="F178" i="5" s="1"/>
  <c r="E177" i="5"/>
  <c r="F177" i="5" s="1"/>
  <c r="E176" i="5"/>
  <c r="F176" i="5" s="1"/>
  <c r="E175" i="5"/>
  <c r="F175" i="5" s="1"/>
  <c r="E174" i="5"/>
  <c r="F174" i="5" s="1"/>
  <c r="E173" i="5"/>
  <c r="F173" i="5" s="1"/>
  <c r="E172" i="5"/>
  <c r="F172" i="5" s="1"/>
  <c r="E171" i="5"/>
  <c r="F171" i="5" s="1"/>
  <c r="E170" i="5"/>
  <c r="F170" i="5" s="1"/>
  <c r="E169" i="5"/>
  <c r="F169" i="5" s="1"/>
  <c r="E168" i="5"/>
  <c r="F168" i="5" s="1"/>
  <c r="E167" i="5"/>
  <c r="F167" i="5" s="1"/>
  <c r="E166" i="5"/>
  <c r="F166" i="5" s="1"/>
  <c r="E165" i="5"/>
  <c r="F165" i="5" s="1"/>
  <c r="E164" i="5"/>
  <c r="F164" i="5" s="1"/>
  <c r="E163" i="5"/>
  <c r="F163" i="5" s="1"/>
  <c r="E162" i="5"/>
  <c r="F162" i="5" s="1"/>
  <c r="E161" i="5"/>
  <c r="F161" i="5" s="1"/>
  <c r="E160" i="5"/>
  <c r="F160" i="5" s="1"/>
  <c r="E159" i="5"/>
  <c r="F159" i="5" s="1"/>
  <c r="E158" i="5"/>
  <c r="F158" i="5" s="1"/>
  <c r="E157" i="5"/>
  <c r="F157" i="5" s="1"/>
  <c r="E156" i="5"/>
  <c r="F156" i="5" s="1"/>
  <c r="E155" i="5"/>
  <c r="F155" i="5" s="1"/>
  <c r="E154" i="5"/>
  <c r="F154" i="5" s="1"/>
  <c r="E153" i="5"/>
  <c r="F153" i="5" s="1"/>
  <c r="E152" i="5"/>
  <c r="F152" i="5" s="1"/>
  <c r="E151" i="5"/>
  <c r="F151" i="5" s="1"/>
  <c r="E150" i="5"/>
  <c r="F150" i="5" s="1"/>
  <c r="E149" i="5"/>
  <c r="F149" i="5" s="1"/>
  <c r="E148" i="5"/>
  <c r="F148" i="5" s="1"/>
  <c r="E147" i="5"/>
  <c r="F147" i="5" s="1"/>
  <c r="E146" i="5"/>
  <c r="F146" i="5" s="1"/>
  <c r="E145" i="5"/>
  <c r="F145" i="5" s="1"/>
  <c r="E144" i="5"/>
  <c r="F144" i="5" s="1"/>
  <c r="E143" i="5"/>
  <c r="F143" i="5" s="1"/>
  <c r="E142" i="5"/>
  <c r="F142" i="5" s="1"/>
  <c r="E141" i="5"/>
  <c r="F141" i="5" s="1"/>
  <c r="E140" i="5"/>
  <c r="F140" i="5" s="1"/>
  <c r="E139" i="5"/>
  <c r="F139" i="5" s="1"/>
  <c r="E138" i="5"/>
  <c r="F138" i="5" s="1"/>
  <c r="E137" i="5"/>
  <c r="F137" i="5" s="1"/>
  <c r="E136" i="5"/>
  <c r="F136" i="5" s="1"/>
  <c r="E135" i="5"/>
  <c r="F135" i="5" s="1"/>
  <c r="E134" i="5"/>
  <c r="F134" i="5" s="1"/>
  <c r="E133" i="5"/>
  <c r="F133" i="5" s="1"/>
  <c r="E132" i="5"/>
  <c r="F132" i="5" s="1"/>
  <c r="E131" i="5"/>
  <c r="F131" i="5" s="1"/>
  <c r="E130" i="5"/>
  <c r="F130" i="5" s="1"/>
  <c r="E129" i="5"/>
  <c r="F129" i="5" s="1"/>
  <c r="E128" i="5"/>
  <c r="F128" i="5" s="1"/>
  <c r="E127" i="5"/>
  <c r="F127" i="5" s="1"/>
  <c r="E126" i="5"/>
  <c r="F126" i="5" s="1"/>
  <c r="E125" i="5"/>
  <c r="F125" i="5" s="1"/>
  <c r="E124" i="5"/>
  <c r="F124" i="5" s="1"/>
  <c r="E123" i="5"/>
  <c r="F123" i="5" s="1"/>
  <c r="E122" i="5"/>
  <c r="F122" i="5" s="1"/>
  <c r="E121" i="5"/>
  <c r="F121" i="5" s="1"/>
  <c r="E120" i="5"/>
  <c r="F120" i="5" s="1"/>
  <c r="E119" i="5"/>
  <c r="F119" i="5" s="1"/>
  <c r="E118" i="5"/>
  <c r="F118" i="5" s="1"/>
  <c r="E117" i="5"/>
  <c r="F117" i="5" s="1"/>
  <c r="E116" i="5"/>
  <c r="F116" i="5" s="1"/>
  <c r="E115" i="5"/>
  <c r="F115" i="5" s="1"/>
  <c r="E114" i="5"/>
  <c r="F114" i="5" s="1"/>
  <c r="E113" i="5"/>
  <c r="F113" i="5" s="1"/>
  <c r="E112" i="5"/>
  <c r="F112" i="5" s="1"/>
  <c r="E111" i="5"/>
  <c r="F111" i="5" s="1"/>
  <c r="E110" i="5"/>
  <c r="F110" i="5" s="1"/>
  <c r="E109" i="5"/>
  <c r="F109" i="5" s="1"/>
  <c r="E108" i="5"/>
  <c r="F108" i="5" s="1"/>
  <c r="E107" i="5"/>
  <c r="F107" i="5" s="1"/>
  <c r="E106" i="5"/>
  <c r="F106" i="5" s="1"/>
  <c r="E105" i="5"/>
  <c r="F105" i="5" s="1"/>
  <c r="E104" i="5"/>
  <c r="F104" i="5" s="1"/>
  <c r="E103" i="5"/>
  <c r="F103" i="5" s="1"/>
  <c r="E102" i="5"/>
  <c r="F102" i="5" s="1"/>
  <c r="E101" i="5"/>
  <c r="F101" i="5" s="1"/>
  <c r="E100" i="5"/>
  <c r="F100" i="5" s="1"/>
  <c r="E99" i="5"/>
  <c r="F99" i="5" s="1"/>
  <c r="E98" i="5"/>
  <c r="F98" i="5" s="1"/>
  <c r="E97" i="5"/>
  <c r="F97" i="5" s="1"/>
  <c r="E96" i="5"/>
  <c r="F96" i="5" s="1"/>
  <c r="E95" i="5"/>
  <c r="F95" i="5" s="1"/>
  <c r="E94" i="5"/>
  <c r="F94" i="5" s="1"/>
  <c r="E93" i="5"/>
  <c r="F93" i="5" s="1"/>
  <c r="E92" i="5"/>
  <c r="F92" i="5" s="1"/>
  <c r="E91" i="5"/>
  <c r="F91" i="5" s="1"/>
  <c r="E90" i="5"/>
  <c r="F90" i="5" s="1"/>
  <c r="E89" i="5"/>
  <c r="F89" i="5" s="1"/>
  <c r="E88" i="5"/>
  <c r="F88" i="5" s="1"/>
  <c r="E87" i="5"/>
  <c r="F87" i="5" s="1"/>
  <c r="E86" i="5"/>
  <c r="F86" i="5" s="1"/>
  <c r="E85" i="5"/>
  <c r="F85" i="5" s="1"/>
  <c r="E84" i="5"/>
  <c r="F84" i="5" s="1"/>
  <c r="E83" i="5"/>
  <c r="F83" i="5" s="1"/>
  <c r="E82" i="5"/>
  <c r="F82" i="5" s="1"/>
  <c r="E81" i="5"/>
  <c r="F81" i="5" s="1"/>
  <c r="E80" i="5"/>
  <c r="F80" i="5" s="1"/>
  <c r="E79" i="5"/>
  <c r="F79" i="5" s="1"/>
  <c r="E78" i="5"/>
  <c r="F78" i="5" s="1"/>
  <c r="E77" i="5"/>
  <c r="F77" i="5" s="1"/>
  <c r="E76" i="5"/>
  <c r="F76" i="5" s="1"/>
  <c r="E75" i="5"/>
  <c r="F75" i="5" s="1"/>
  <c r="E74" i="5"/>
  <c r="F74" i="5" s="1"/>
  <c r="E73" i="5"/>
  <c r="F73" i="5" s="1"/>
  <c r="E72" i="5"/>
  <c r="F72" i="5" s="1"/>
  <c r="E71" i="5"/>
  <c r="F71" i="5" s="1"/>
  <c r="E70" i="5"/>
  <c r="F70" i="5" s="1"/>
  <c r="E69" i="5"/>
  <c r="F69" i="5" s="1"/>
  <c r="E68" i="5"/>
  <c r="F68" i="5" s="1"/>
  <c r="E67" i="5"/>
  <c r="F67" i="5" s="1"/>
  <c r="E66" i="5"/>
  <c r="F66" i="5" s="1"/>
  <c r="E65" i="5"/>
  <c r="F65" i="5" s="1"/>
  <c r="E64" i="5"/>
  <c r="F64" i="5" s="1"/>
  <c r="E63" i="5"/>
  <c r="F63" i="5" s="1"/>
  <c r="E62" i="5"/>
  <c r="F62" i="5" s="1"/>
  <c r="E61" i="5"/>
  <c r="F61" i="5" s="1"/>
  <c r="E60" i="5"/>
  <c r="F60" i="5" s="1"/>
  <c r="E59" i="5"/>
  <c r="F59" i="5" s="1"/>
  <c r="E58" i="5"/>
  <c r="F58" i="5" s="1"/>
  <c r="E57" i="5"/>
  <c r="F57" i="5" s="1"/>
  <c r="E56" i="5"/>
  <c r="F56" i="5" s="1"/>
  <c r="E55" i="5"/>
  <c r="F55" i="5" s="1"/>
  <c r="E54" i="5"/>
  <c r="F54" i="5" s="1"/>
  <c r="E53" i="5"/>
  <c r="F53" i="5" s="1"/>
  <c r="E52" i="5"/>
  <c r="F52" i="5" s="1"/>
  <c r="E51" i="5"/>
  <c r="F51" i="5" s="1"/>
  <c r="E50" i="5"/>
  <c r="F50" i="5" s="1"/>
  <c r="E49" i="5"/>
  <c r="F49" i="5" s="1"/>
  <c r="E48" i="5"/>
  <c r="F48" i="5" s="1"/>
  <c r="E47" i="5"/>
  <c r="F47" i="5" s="1"/>
  <c r="E46" i="5"/>
  <c r="F46" i="5" s="1"/>
  <c r="E45" i="5"/>
  <c r="F45" i="5" s="1"/>
  <c r="E44" i="5"/>
  <c r="F44" i="5" s="1"/>
  <c r="E43" i="5"/>
  <c r="F43" i="5" s="1"/>
  <c r="E42" i="5"/>
  <c r="F42" i="5" s="1"/>
  <c r="E207" i="5"/>
  <c r="F207" i="5" s="1"/>
  <c r="E205" i="5"/>
  <c r="F205" i="5" s="1"/>
  <c r="E203" i="5"/>
  <c r="F203" i="5" s="1"/>
  <c r="E201" i="5"/>
  <c r="F201" i="5" s="1"/>
  <c r="E199" i="5"/>
  <c r="F199" i="5" s="1"/>
  <c r="E197" i="5"/>
  <c r="F197" i="5" s="1"/>
  <c r="E195" i="5"/>
  <c r="F195" i="5" s="1"/>
  <c r="E193" i="5"/>
  <c r="F193" i="5" s="1"/>
  <c r="E191" i="5"/>
  <c r="F191" i="5" s="1"/>
  <c r="E230" i="5"/>
  <c r="F230" i="5" s="1"/>
  <c r="E229" i="5"/>
  <c r="F229" i="5" s="1"/>
  <c r="E228" i="5"/>
  <c r="F228" i="5" s="1"/>
  <c r="E227" i="5"/>
  <c r="F227" i="5" s="1"/>
  <c r="E226" i="5"/>
  <c r="F226" i="5" s="1"/>
  <c r="E225" i="5"/>
  <c r="F225" i="5" s="1"/>
  <c r="E224" i="5"/>
  <c r="F224" i="5" s="1"/>
  <c r="E223" i="5"/>
  <c r="F223" i="5" s="1"/>
  <c r="E222" i="5"/>
  <c r="F222" i="5" s="1"/>
  <c r="E221" i="5"/>
  <c r="F221" i="5" s="1"/>
  <c r="E220" i="5"/>
  <c r="F220" i="5" s="1"/>
  <c r="E219" i="5"/>
  <c r="F219" i="5" s="1"/>
  <c r="E218" i="5"/>
  <c r="F218" i="5" s="1"/>
  <c r="E214" i="5"/>
  <c r="F214" i="5" s="1"/>
  <c r="E210" i="5"/>
  <c r="F210" i="5" s="1"/>
  <c r="E204" i="5"/>
  <c r="F204" i="5" s="1"/>
  <c r="E196" i="5"/>
  <c r="F196" i="5" s="1"/>
  <c r="E194" i="5"/>
  <c r="F194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217" i="5"/>
  <c r="F217" i="5" s="1"/>
  <c r="E213" i="5"/>
  <c r="F213" i="5" s="1"/>
  <c r="E209" i="5"/>
  <c r="F209" i="5" s="1"/>
  <c r="E206" i="5"/>
  <c r="F206" i="5" s="1"/>
  <c r="E198" i="5"/>
  <c r="F198" i="5" s="1"/>
  <c r="E216" i="5"/>
  <c r="F216" i="5" s="1"/>
  <c r="E212" i="5"/>
  <c r="F212" i="5" s="1"/>
  <c r="E208" i="5"/>
  <c r="F208" i="5" s="1"/>
  <c r="E200" i="5"/>
  <c r="F200" i="5" s="1"/>
  <c r="E192" i="5"/>
  <c r="F192" i="5" s="1"/>
  <c r="E215" i="5"/>
  <c r="F215" i="5" s="1"/>
  <c r="E211" i="5"/>
  <c r="F211" i="5" s="1"/>
  <c r="E202" i="5"/>
  <c r="F202" i="5" s="1"/>
  <c r="N27" i="5"/>
  <c r="O27" i="5" s="1"/>
  <c r="N25" i="5"/>
  <c r="O25" i="5" s="1"/>
  <c r="N23" i="5"/>
  <c r="O23" i="5" s="1"/>
  <c r="N21" i="5"/>
  <c r="O21" i="5" s="1"/>
  <c r="N45" i="5"/>
  <c r="O45" i="5" s="1"/>
  <c r="N41" i="5"/>
  <c r="O41" i="5" s="1"/>
  <c r="H682" i="5"/>
  <c r="I682" i="5" s="1"/>
  <c r="H680" i="5"/>
  <c r="I680" i="5" s="1"/>
  <c r="H678" i="5"/>
  <c r="I678" i="5" s="1"/>
  <c r="H676" i="5"/>
  <c r="I676" i="5" s="1"/>
  <c r="H674" i="5"/>
  <c r="I674" i="5" s="1"/>
  <c r="H672" i="5"/>
  <c r="I672" i="5" s="1"/>
  <c r="H670" i="5"/>
  <c r="I670" i="5" s="1"/>
  <c r="H668" i="5"/>
  <c r="I668" i="5" s="1"/>
  <c r="H666" i="5"/>
  <c r="I666" i="5" s="1"/>
  <c r="H664" i="5"/>
  <c r="I664" i="5" s="1"/>
  <c r="H662" i="5"/>
  <c r="I662" i="5" s="1"/>
  <c r="H660" i="5"/>
  <c r="I660" i="5" s="1"/>
  <c r="H658" i="5"/>
  <c r="I658" i="5" s="1"/>
  <c r="H656" i="5"/>
  <c r="I656" i="5" s="1"/>
  <c r="H654" i="5"/>
  <c r="I654" i="5" s="1"/>
  <c r="H652" i="5"/>
  <c r="I652" i="5" s="1"/>
  <c r="H650" i="5"/>
  <c r="I650" i="5" s="1"/>
  <c r="H691" i="5"/>
  <c r="I691" i="5" s="1"/>
  <c r="H689" i="5"/>
  <c r="I689" i="5" s="1"/>
  <c r="H687" i="5"/>
  <c r="I687" i="5" s="1"/>
  <c r="H685" i="5"/>
  <c r="I685" i="5" s="1"/>
  <c r="H683" i="5"/>
  <c r="I683" i="5" s="1"/>
  <c r="H679" i="5"/>
  <c r="I679" i="5" s="1"/>
  <c r="H675" i="5"/>
  <c r="I675" i="5" s="1"/>
  <c r="H671" i="5"/>
  <c r="I671" i="5" s="1"/>
  <c r="H667" i="5"/>
  <c r="I667" i="5" s="1"/>
  <c r="H663" i="5"/>
  <c r="I663" i="5" s="1"/>
  <c r="H659" i="5"/>
  <c r="I659" i="5" s="1"/>
  <c r="H655" i="5"/>
  <c r="I655" i="5" s="1"/>
  <c r="H651" i="5"/>
  <c r="I651" i="5" s="1"/>
  <c r="H649" i="5"/>
  <c r="I649" i="5" s="1"/>
  <c r="H647" i="5"/>
  <c r="I647" i="5" s="1"/>
  <c r="H645" i="5"/>
  <c r="I645" i="5" s="1"/>
  <c r="H643" i="5"/>
  <c r="I643" i="5" s="1"/>
  <c r="H641" i="5"/>
  <c r="I641" i="5" s="1"/>
  <c r="H639" i="5"/>
  <c r="I639" i="5" s="1"/>
  <c r="H637" i="5"/>
  <c r="I637" i="5" s="1"/>
  <c r="H635" i="5"/>
  <c r="I635" i="5" s="1"/>
  <c r="H633" i="5"/>
  <c r="I633" i="5" s="1"/>
  <c r="H631" i="5"/>
  <c r="I631" i="5" s="1"/>
  <c r="H629" i="5"/>
  <c r="I629" i="5" s="1"/>
  <c r="H627" i="5"/>
  <c r="I627" i="5" s="1"/>
  <c r="H625" i="5"/>
  <c r="I625" i="5" s="1"/>
  <c r="H623" i="5"/>
  <c r="I623" i="5" s="1"/>
  <c r="H621" i="5"/>
  <c r="I621" i="5" s="1"/>
  <c r="H619" i="5"/>
  <c r="I619" i="5" s="1"/>
  <c r="H617" i="5"/>
  <c r="I617" i="5" s="1"/>
  <c r="H615" i="5"/>
  <c r="I615" i="5" s="1"/>
  <c r="H613" i="5"/>
  <c r="I613" i="5" s="1"/>
  <c r="H611" i="5"/>
  <c r="I611" i="5" s="1"/>
  <c r="H609" i="5"/>
  <c r="I609" i="5" s="1"/>
  <c r="H607" i="5"/>
  <c r="I607" i="5" s="1"/>
  <c r="H605" i="5"/>
  <c r="I605" i="5" s="1"/>
  <c r="H690" i="5"/>
  <c r="I690" i="5" s="1"/>
  <c r="H688" i="5"/>
  <c r="I688" i="5" s="1"/>
  <c r="H686" i="5"/>
  <c r="I686" i="5" s="1"/>
  <c r="H684" i="5"/>
  <c r="I684" i="5" s="1"/>
  <c r="H681" i="5"/>
  <c r="I681" i="5" s="1"/>
  <c r="H677" i="5"/>
  <c r="I677" i="5" s="1"/>
  <c r="H673" i="5"/>
  <c r="I673" i="5" s="1"/>
  <c r="H669" i="5"/>
  <c r="I669" i="5" s="1"/>
  <c r="H665" i="5"/>
  <c r="I665" i="5" s="1"/>
  <c r="H661" i="5"/>
  <c r="I661" i="5" s="1"/>
  <c r="H657" i="5"/>
  <c r="I657" i="5" s="1"/>
  <c r="H653" i="5"/>
  <c r="I653" i="5" s="1"/>
  <c r="H648" i="5"/>
  <c r="I648" i="5" s="1"/>
  <c r="H646" i="5"/>
  <c r="I646" i="5" s="1"/>
  <c r="H644" i="5"/>
  <c r="I644" i="5" s="1"/>
  <c r="H642" i="5"/>
  <c r="I642" i="5" s="1"/>
  <c r="H640" i="5"/>
  <c r="I640" i="5" s="1"/>
  <c r="H638" i="5"/>
  <c r="I638" i="5" s="1"/>
  <c r="H612" i="5"/>
  <c r="I612" i="5" s="1"/>
  <c r="H604" i="5"/>
  <c r="I604" i="5" s="1"/>
  <c r="H594" i="5"/>
  <c r="I594" i="5" s="1"/>
  <c r="H593" i="5"/>
  <c r="I593" i="5" s="1"/>
  <c r="H592" i="5"/>
  <c r="I592" i="5" s="1"/>
  <c r="H591" i="5"/>
  <c r="I591" i="5" s="1"/>
  <c r="H590" i="5"/>
  <c r="I590" i="5" s="1"/>
  <c r="H589" i="5"/>
  <c r="I589" i="5" s="1"/>
  <c r="H588" i="5"/>
  <c r="I588" i="5" s="1"/>
  <c r="H587" i="5"/>
  <c r="I587" i="5" s="1"/>
  <c r="H586" i="5"/>
  <c r="I586" i="5" s="1"/>
  <c r="H585" i="5"/>
  <c r="I585" i="5" s="1"/>
  <c r="H584" i="5"/>
  <c r="I584" i="5" s="1"/>
  <c r="H583" i="5"/>
  <c r="I583" i="5" s="1"/>
  <c r="H582" i="5"/>
  <c r="I582" i="5" s="1"/>
  <c r="H581" i="5"/>
  <c r="I581" i="5" s="1"/>
  <c r="H580" i="5"/>
  <c r="I580" i="5" s="1"/>
  <c r="H579" i="5"/>
  <c r="I579" i="5" s="1"/>
  <c r="H578" i="5"/>
  <c r="I578" i="5" s="1"/>
  <c r="H577" i="5"/>
  <c r="I577" i="5" s="1"/>
  <c r="H576" i="5"/>
  <c r="I576" i="5" s="1"/>
  <c r="H575" i="5"/>
  <c r="I575" i="5" s="1"/>
  <c r="H574" i="5"/>
  <c r="I574" i="5" s="1"/>
  <c r="H573" i="5"/>
  <c r="I573" i="5" s="1"/>
  <c r="H572" i="5"/>
  <c r="I572" i="5" s="1"/>
  <c r="H571" i="5"/>
  <c r="I571" i="5" s="1"/>
  <c r="H570" i="5"/>
  <c r="I570" i="5" s="1"/>
  <c r="H569" i="5"/>
  <c r="I569" i="5" s="1"/>
  <c r="H568" i="5"/>
  <c r="I568" i="5" s="1"/>
  <c r="H567" i="5"/>
  <c r="I567" i="5" s="1"/>
  <c r="H566" i="5"/>
  <c r="I566" i="5" s="1"/>
  <c r="H565" i="5"/>
  <c r="I565" i="5" s="1"/>
  <c r="H564" i="5"/>
  <c r="I564" i="5" s="1"/>
  <c r="H563" i="5"/>
  <c r="I563" i="5" s="1"/>
  <c r="H562" i="5"/>
  <c r="I562" i="5" s="1"/>
  <c r="H561" i="5"/>
  <c r="I561" i="5" s="1"/>
  <c r="H560" i="5"/>
  <c r="I560" i="5" s="1"/>
  <c r="H559" i="5"/>
  <c r="I559" i="5" s="1"/>
  <c r="H558" i="5"/>
  <c r="I558" i="5" s="1"/>
  <c r="H557" i="5"/>
  <c r="I557" i="5" s="1"/>
  <c r="H556" i="5"/>
  <c r="I556" i="5" s="1"/>
  <c r="H555" i="5"/>
  <c r="I555" i="5" s="1"/>
  <c r="H554" i="5"/>
  <c r="I554" i="5" s="1"/>
  <c r="H553" i="5"/>
  <c r="I553" i="5" s="1"/>
  <c r="H552" i="5"/>
  <c r="I552" i="5" s="1"/>
  <c r="H551" i="5"/>
  <c r="I551" i="5" s="1"/>
  <c r="H550" i="5"/>
  <c r="I550" i="5" s="1"/>
  <c r="H549" i="5"/>
  <c r="I549" i="5" s="1"/>
  <c r="H548" i="5"/>
  <c r="I548" i="5" s="1"/>
  <c r="H547" i="5"/>
  <c r="I547" i="5" s="1"/>
  <c r="H546" i="5"/>
  <c r="I546" i="5" s="1"/>
  <c r="H545" i="5"/>
  <c r="I545" i="5" s="1"/>
  <c r="H544" i="5"/>
  <c r="I544" i="5" s="1"/>
  <c r="H543" i="5"/>
  <c r="I543" i="5" s="1"/>
  <c r="H542" i="5"/>
  <c r="I542" i="5" s="1"/>
  <c r="H541" i="5"/>
  <c r="I541" i="5" s="1"/>
  <c r="H540" i="5"/>
  <c r="I540" i="5" s="1"/>
  <c r="H539" i="5"/>
  <c r="I539" i="5" s="1"/>
  <c r="H538" i="5"/>
  <c r="I538" i="5" s="1"/>
  <c r="H537" i="5"/>
  <c r="I537" i="5" s="1"/>
  <c r="H536" i="5"/>
  <c r="I536" i="5" s="1"/>
  <c r="H535" i="5"/>
  <c r="I535" i="5" s="1"/>
  <c r="H534" i="5"/>
  <c r="I534" i="5" s="1"/>
  <c r="H533" i="5"/>
  <c r="I533" i="5" s="1"/>
  <c r="H532" i="5"/>
  <c r="I532" i="5" s="1"/>
  <c r="H531" i="5"/>
  <c r="I531" i="5" s="1"/>
  <c r="H530" i="5"/>
  <c r="I530" i="5" s="1"/>
  <c r="H529" i="5"/>
  <c r="I529" i="5" s="1"/>
  <c r="H528" i="5"/>
  <c r="I528" i="5" s="1"/>
  <c r="H527" i="5"/>
  <c r="I527" i="5" s="1"/>
  <c r="H526" i="5"/>
  <c r="I526" i="5" s="1"/>
  <c r="H525" i="5"/>
  <c r="I525" i="5" s="1"/>
  <c r="H524" i="5"/>
  <c r="I524" i="5" s="1"/>
  <c r="H523" i="5"/>
  <c r="I523" i="5" s="1"/>
  <c r="H634" i="5"/>
  <c r="I634" i="5" s="1"/>
  <c r="H630" i="5"/>
  <c r="I630" i="5" s="1"/>
  <c r="H626" i="5"/>
  <c r="I626" i="5" s="1"/>
  <c r="H622" i="5"/>
  <c r="I622" i="5" s="1"/>
  <c r="H618" i="5"/>
  <c r="I618" i="5" s="1"/>
  <c r="H614" i="5"/>
  <c r="I614" i="5" s="1"/>
  <c r="H610" i="5"/>
  <c r="I610" i="5" s="1"/>
  <c r="H603" i="5"/>
  <c r="I603" i="5" s="1"/>
  <c r="H601" i="5"/>
  <c r="I601" i="5" s="1"/>
  <c r="H599" i="5"/>
  <c r="I599" i="5" s="1"/>
  <c r="H597" i="5"/>
  <c r="I597" i="5" s="1"/>
  <c r="H595" i="5"/>
  <c r="I595" i="5" s="1"/>
  <c r="H608" i="5"/>
  <c r="I608" i="5" s="1"/>
  <c r="H636" i="5"/>
  <c r="I636" i="5" s="1"/>
  <c r="H632" i="5"/>
  <c r="I632" i="5" s="1"/>
  <c r="H628" i="5"/>
  <c r="I628" i="5" s="1"/>
  <c r="H624" i="5"/>
  <c r="I624" i="5" s="1"/>
  <c r="H620" i="5"/>
  <c r="I620" i="5" s="1"/>
  <c r="H616" i="5"/>
  <c r="I616" i="5" s="1"/>
  <c r="H606" i="5"/>
  <c r="I606" i="5" s="1"/>
  <c r="H598" i="5"/>
  <c r="I598" i="5" s="1"/>
  <c r="H600" i="5"/>
  <c r="I600" i="5" s="1"/>
  <c r="H602" i="5"/>
  <c r="I602" i="5" s="1"/>
  <c r="H596" i="5"/>
  <c r="I596" i="5" s="1"/>
  <c r="H522" i="5"/>
  <c r="I522" i="5" s="1"/>
  <c r="H521" i="5"/>
  <c r="I521" i="5" s="1"/>
  <c r="H520" i="5"/>
  <c r="I520" i="5" s="1"/>
  <c r="H519" i="5"/>
  <c r="I519" i="5" s="1"/>
  <c r="H518" i="5"/>
  <c r="I518" i="5" s="1"/>
  <c r="H516" i="5"/>
  <c r="I516" i="5" s="1"/>
  <c r="H514" i="5"/>
  <c r="I514" i="5" s="1"/>
  <c r="H496" i="5"/>
  <c r="I496" i="5" s="1"/>
  <c r="H494" i="5"/>
  <c r="I494" i="5" s="1"/>
  <c r="H492" i="5"/>
  <c r="I492" i="5" s="1"/>
  <c r="H490" i="5"/>
  <c r="I490" i="5" s="1"/>
  <c r="H488" i="5"/>
  <c r="I488" i="5" s="1"/>
  <c r="H486" i="5"/>
  <c r="I486" i="5" s="1"/>
  <c r="H484" i="5"/>
  <c r="I484" i="5" s="1"/>
  <c r="H482" i="5"/>
  <c r="I482" i="5" s="1"/>
  <c r="H480" i="5"/>
  <c r="I480" i="5" s="1"/>
  <c r="H478" i="5"/>
  <c r="I478" i="5" s="1"/>
  <c r="H476" i="5"/>
  <c r="I476" i="5" s="1"/>
  <c r="H474" i="5"/>
  <c r="I474" i="5" s="1"/>
  <c r="H472" i="5"/>
  <c r="I472" i="5" s="1"/>
  <c r="H470" i="5"/>
  <c r="I470" i="5" s="1"/>
  <c r="H468" i="5"/>
  <c r="I468" i="5" s="1"/>
  <c r="H466" i="5"/>
  <c r="I466" i="5" s="1"/>
  <c r="H464" i="5"/>
  <c r="I464" i="5" s="1"/>
  <c r="H462" i="5"/>
  <c r="I462" i="5" s="1"/>
  <c r="H460" i="5"/>
  <c r="I460" i="5" s="1"/>
  <c r="H458" i="5"/>
  <c r="I458" i="5" s="1"/>
  <c r="H456" i="5"/>
  <c r="I456" i="5" s="1"/>
  <c r="H454" i="5"/>
  <c r="I454" i="5" s="1"/>
  <c r="H452" i="5"/>
  <c r="I452" i="5" s="1"/>
  <c r="H450" i="5"/>
  <c r="I450" i="5" s="1"/>
  <c r="H448" i="5"/>
  <c r="I448" i="5" s="1"/>
  <c r="H446" i="5"/>
  <c r="I446" i="5" s="1"/>
  <c r="H444" i="5"/>
  <c r="I444" i="5" s="1"/>
  <c r="H442" i="5"/>
  <c r="I442" i="5" s="1"/>
  <c r="H440" i="5"/>
  <c r="I440" i="5" s="1"/>
  <c r="H438" i="5"/>
  <c r="I438" i="5" s="1"/>
  <c r="H436" i="5"/>
  <c r="I436" i="5" s="1"/>
  <c r="H434" i="5"/>
  <c r="I434" i="5" s="1"/>
  <c r="H432" i="5"/>
  <c r="I432" i="5" s="1"/>
  <c r="H430" i="5"/>
  <c r="I430" i="5" s="1"/>
  <c r="H428" i="5"/>
  <c r="I428" i="5" s="1"/>
  <c r="H426" i="5"/>
  <c r="I426" i="5" s="1"/>
  <c r="H424" i="5"/>
  <c r="I424" i="5" s="1"/>
  <c r="H422" i="5"/>
  <c r="I422" i="5" s="1"/>
  <c r="H420" i="5"/>
  <c r="I420" i="5" s="1"/>
  <c r="H418" i="5"/>
  <c r="I418" i="5" s="1"/>
  <c r="H416" i="5"/>
  <c r="I416" i="5" s="1"/>
  <c r="H414" i="5"/>
  <c r="I414" i="5" s="1"/>
  <c r="H412" i="5"/>
  <c r="I412" i="5" s="1"/>
  <c r="H411" i="5"/>
  <c r="I411" i="5" s="1"/>
  <c r="H410" i="5"/>
  <c r="I410" i="5" s="1"/>
  <c r="H409" i="5"/>
  <c r="I409" i="5" s="1"/>
  <c r="H408" i="5"/>
  <c r="I408" i="5" s="1"/>
  <c r="H407" i="5"/>
  <c r="I407" i="5" s="1"/>
  <c r="H406" i="5"/>
  <c r="I406" i="5" s="1"/>
  <c r="H405" i="5"/>
  <c r="I405" i="5" s="1"/>
  <c r="H512" i="5"/>
  <c r="I512" i="5" s="1"/>
  <c r="H511" i="5"/>
  <c r="I511" i="5" s="1"/>
  <c r="H510" i="5"/>
  <c r="I510" i="5" s="1"/>
  <c r="H509" i="5"/>
  <c r="I509" i="5" s="1"/>
  <c r="H508" i="5"/>
  <c r="I508" i="5" s="1"/>
  <c r="H507" i="5"/>
  <c r="I507" i="5" s="1"/>
  <c r="H506" i="5"/>
  <c r="I506" i="5" s="1"/>
  <c r="H505" i="5"/>
  <c r="I505" i="5" s="1"/>
  <c r="H504" i="5"/>
  <c r="I504" i="5" s="1"/>
  <c r="H503" i="5"/>
  <c r="I503" i="5" s="1"/>
  <c r="H502" i="5"/>
  <c r="I502" i="5" s="1"/>
  <c r="H501" i="5"/>
  <c r="I501" i="5" s="1"/>
  <c r="H500" i="5"/>
  <c r="I500" i="5" s="1"/>
  <c r="H499" i="5"/>
  <c r="I499" i="5" s="1"/>
  <c r="H498" i="5"/>
  <c r="I498" i="5" s="1"/>
  <c r="H517" i="5"/>
  <c r="I517" i="5" s="1"/>
  <c r="H515" i="5"/>
  <c r="I515" i="5" s="1"/>
  <c r="H513" i="5"/>
  <c r="I513" i="5" s="1"/>
  <c r="H497" i="5"/>
  <c r="I497" i="5" s="1"/>
  <c r="H495" i="5"/>
  <c r="I495" i="5" s="1"/>
  <c r="H493" i="5"/>
  <c r="I493" i="5" s="1"/>
  <c r="H491" i="5"/>
  <c r="I491" i="5" s="1"/>
  <c r="H489" i="5"/>
  <c r="I489" i="5" s="1"/>
  <c r="H487" i="5"/>
  <c r="I487" i="5" s="1"/>
  <c r="H485" i="5"/>
  <c r="I485" i="5" s="1"/>
  <c r="H483" i="5"/>
  <c r="I483" i="5" s="1"/>
  <c r="H481" i="5"/>
  <c r="I481" i="5" s="1"/>
  <c r="H479" i="5"/>
  <c r="I479" i="5" s="1"/>
  <c r="H477" i="5"/>
  <c r="I477" i="5" s="1"/>
  <c r="H475" i="5"/>
  <c r="I475" i="5" s="1"/>
  <c r="H473" i="5"/>
  <c r="I473" i="5" s="1"/>
  <c r="H471" i="5"/>
  <c r="I471" i="5" s="1"/>
  <c r="H469" i="5"/>
  <c r="I469" i="5" s="1"/>
  <c r="H467" i="5"/>
  <c r="I467" i="5" s="1"/>
  <c r="H465" i="5"/>
  <c r="I465" i="5" s="1"/>
  <c r="H463" i="5"/>
  <c r="I463" i="5" s="1"/>
  <c r="H461" i="5"/>
  <c r="I461" i="5" s="1"/>
  <c r="H459" i="5"/>
  <c r="I459" i="5" s="1"/>
  <c r="H457" i="5"/>
  <c r="I457" i="5" s="1"/>
  <c r="H455" i="5"/>
  <c r="I455" i="5" s="1"/>
  <c r="H453" i="5"/>
  <c r="I453" i="5" s="1"/>
  <c r="H451" i="5"/>
  <c r="I451" i="5" s="1"/>
  <c r="H449" i="5"/>
  <c r="I449" i="5" s="1"/>
  <c r="H447" i="5"/>
  <c r="I447" i="5" s="1"/>
  <c r="H445" i="5"/>
  <c r="I445" i="5" s="1"/>
  <c r="H443" i="5"/>
  <c r="I443" i="5" s="1"/>
  <c r="H441" i="5"/>
  <c r="I441" i="5" s="1"/>
  <c r="H439" i="5"/>
  <c r="I439" i="5" s="1"/>
  <c r="H437" i="5"/>
  <c r="I437" i="5" s="1"/>
  <c r="H435" i="5"/>
  <c r="I435" i="5" s="1"/>
  <c r="H433" i="5"/>
  <c r="I433" i="5" s="1"/>
  <c r="H431" i="5"/>
  <c r="I431" i="5" s="1"/>
  <c r="H429" i="5"/>
  <c r="I429" i="5" s="1"/>
  <c r="H427" i="5"/>
  <c r="I427" i="5" s="1"/>
  <c r="H425" i="5"/>
  <c r="I425" i="5" s="1"/>
  <c r="H417" i="5"/>
  <c r="I417" i="5" s="1"/>
  <c r="H419" i="5"/>
  <c r="I419" i="5" s="1"/>
  <c r="H403" i="5"/>
  <c r="I403" i="5" s="1"/>
  <c r="H401" i="5"/>
  <c r="I401" i="5" s="1"/>
  <c r="H399" i="5"/>
  <c r="I399" i="5" s="1"/>
  <c r="H397" i="5"/>
  <c r="I397" i="5" s="1"/>
  <c r="H395" i="5"/>
  <c r="I395" i="5" s="1"/>
  <c r="H393" i="5"/>
  <c r="I393" i="5" s="1"/>
  <c r="H391" i="5"/>
  <c r="I391" i="5" s="1"/>
  <c r="H389" i="5"/>
  <c r="I389" i="5" s="1"/>
  <c r="H387" i="5"/>
  <c r="I387" i="5" s="1"/>
  <c r="H385" i="5"/>
  <c r="I385" i="5" s="1"/>
  <c r="H383" i="5"/>
  <c r="I383" i="5" s="1"/>
  <c r="H381" i="5"/>
  <c r="I381" i="5" s="1"/>
  <c r="H379" i="5"/>
  <c r="I379" i="5" s="1"/>
  <c r="H377" i="5"/>
  <c r="I377" i="5" s="1"/>
  <c r="H375" i="5"/>
  <c r="I375" i="5" s="1"/>
  <c r="H373" i="5"/>
  <c r="I373" i="5" s="1"/>
  <c r="H371" i="5"/>
  <c r="I371" i="5" s="1"/>
  <c r="H369" i="5"/>
  <c r="I369" i="5" s="1"/>
  <c r="H367" i="5"/>
  <c r="I367" i="5" s="1"/>
  <c r="H365" i="5"/>
  <c r="I365" i="5" s="1"/>
  <c r="H363" i="5"/>
  <c r="I363" i="5" s="1"/>
  <c r="H361" i="5"/>
  <c r="I361" i="5" s="1"/>
  <c r="H359" i="5"/>
  <c r="I359" i="5" s="1"/>
  <c r="H357" i="5"/>
  <c r="I357" i="5" s="1"/>
  <c r="H355" i="5"/>
  <c r="I355" i="5" s="1"/>
  <c r="H353" i="5"/>
  <c r="I353" i="5" s="1"/>
  <c r="H351" i="5"/>
  <c r="I351" i="5" s="1"/>
  <c r="H349" i="5"/>
  <c r="I349" i="5" s="1"/>
  <c r="H347" i="5"/>
  <c r="I347" i="5" s="1"/>
  <c r="H345" i="5"/>
  <c r="I345" i="5" s="1"/>
  <c r="H343" i="5"/>
  <c r="I343" i="5" s="1"/>
  <c r="H341" i="5"/>
  <c r="I341" i="5" s="1"/>
  <c r="H339" i="5"/>
  <c r="I339" i="5" s="1"/>
  <c r="H337" i="5"/>
  <c r="I337" i="5" s="1"/>
  <c r="H335" i="5"/>
  <c r="I335" i="5" s="1"/>
  <c r="H333" i="5"/>
  <c r="I333" i="5" s="1"/>
  <c r="H331" i="5"/>
  <c r="I331" i="5" s="1"/>
  <c r="H329" i="5"/>
  <c r="I329" i="5" s="1"/>
  <c r="H327" i="5"/>
  <c r="I327" i="5" s="1"/>
  <c r="H325" i="5"/>
  <c r="I325" i="5" s="1"/>
  <c r="H323" i="5"/>
  <c r="I323" i="5" s="1"/>
  <c r="H321" i="5"/>
  <c r="I321" i="5" s="1"/>
  <c r="H319" i="5"/>
  <c r="I319" i="5" s="1"/>
  <c r="H317" i="5"/>
  <c r="I317" i="5" s="1"/>
  <c r="H315" i="5"/>
  <c r="I315" i="5" s="1"/>
  <c r="H314" i="5"/>
  <c r="I314" i="5" s="1"/>
  <c r="H313" i="5"/>
  <c r="I313" i="5" s="1"/>
  <c r="H312" i="5"/>
  <c r="I312" i="5" s="1"/>
  <c r="H311" i="5"/>
  <c r="I311" i="5" s="1"/>
  <c r="H310" i="5"/>
  <c r="I310" i="5" s="1"/>
  <c r="H309" i="5"/>
  <c r="I309" i="5" s="1"/>
  <c r="H308" i="5"/>
  <c r="I308" i="5" s="1"/>
  <c r="H307" i="5"/>
  <c r="I307" i="5" s="1"/>
  <c r="H306" i="5"/>
  <c r="I306" i="5" s="1"/>
  <c r="H305" i="5"/>
  <c r="I305" i="5" s="1"/>
  <c r="H304" i="5"/>
  <c r="I304" i="5" s="1"/>
  <c r="H303" i="5"/>
  <c r="I303" i="5" s="1"/>
  <c r="H421" i="5"/>
  <c r="I421" i="5" s="1"/>
  <c r="H413" i="5"/>
  <c r="I413" i="5" s="1"/>
  <c r="H423" i="5"/>
  <c r="I423" i="5" s="1"/>
  <c r="H415" i="5"/>
  <c r="I415" i="5" s="1"/>
  <c r="H404" i="5"/>
  <c r="I404" i="5" s="1"/>
  <c r="H402" i="5"/>
  <c r="I402" i="5" s="1"/>
  <c r="H400" i="5"/>
  <c r="I400" i="5" s="1"/>
  <c r="H398" i="5"/>
  <c r="I398" i="5" s="1"/>
  <c r="H396" i="5"/>
  <c r="I396" i="5" s="1"/>
  <c r="H394" i="5"/>
  <c r="I394" i="5" s="1"/>
  <c r="H392" i="5"/>
  <c r="I392" i="5" s="1"/>
  <c r="H390" i="5"/>
  <c r="I390" i="5" s="1"/>
  <c r="H388" i="5"/>
  <c r="I388" i="5" s="1"/>
  <c r="H386" i="5"/>
  <c r="I386" i="5" s="1"/>
  <c r="H384" i="5"/>
  <c r="I384" i="5" s="1"/>
  <c r="H382" i="5"/>
  <c r="I382" i="5" s="1"/>
  <c r="H380" i="5"/>
  <c r="I380" i="5" s="1"/>
  <c r="H378" i="5"/>
  <c r="I378" i="5" s="1"/>
  <c r="H376" i="5"/>
  <c r="I376" i="5" s="1"/>
  <c r="H374" i="5"/>
  <c r="I374" i="5" s="1"/>
  <c r="H372" i="5"/>
  <c r="I372" i="5" s="1"/>
  <c r="H370" i="5"/>
  <c r="I370" i="5" s="1"/>
  <c r="H368" i="5"/>
  <c r="I368" i="5" s="1"/>
  <c r="H366" i="5"/>
  <c r="I366" i="5" s="1"/>
  <c r="H364" i="5"/>
  <c r="I364" i="5" s="1"/>
  <c r="H362" i="5"/>
  <c r="I362" i="5" s="1"/>
  <c r="H360" i="5"/>
  <c r="I360" i="5" s="1"/>
  <c r="H358" i="5"/>
  <c r="I358" i="5" s="1"/>
  <c r="H356" i="5"/>
  <c r="I356" i="5" s="1"/>
  <c r="H354" i="5"/>
  <c r="I354" i="5" s="1"/>
  <c r="H352" i="5"/>
  <c r="I352" i="5" s="1"/>
  <c r="H350" i="5"/>
  <c r="I350" i="5" s="1"/>
  <c r="H348" i="5"/>
  <c r="I348" i="5" s="1"/>
  <c r="H346" i="5"/>
  <c r="I346" i="5" s="1"/>
  <c r="H284" i="5"/>
  <c r="I284" i="5" s="1"/>
  <c r="H283" i="5"/>
  <c r="I283" i="5" s="1"/>
  <c r="H282" i="5"/>
  <c r="I282" i="5" s="1"/>
  <c r="H281" i="5"/>
  <c r="I281" i="5" s="1"/>
  <c r="H280" i="5"/>
  <c r="I280" i="5" s="1"/>
  <c r="H279" i="5"/>
  <c r="I279" i="5" s="1"/>
  <c r="H278" i="5"/>
  <c r="I278" i="5" s="1"/>
  <c r="H277" i="5"/>
  <c r="I277" i="5" s="1"/>
  <c r="H276" i="5"/>
  <c r="I276" i="5" s="1"/>
  <c r="H275" i="5"/>
  <c r="I275" i="5" s="1"/>
  <c r="H274" i="5"/>
  <c r="I274" i="5" s="1"/>
  <c r="H273" i="5"/>
  <c r="I273" i="5" s="1"/>
  <c r="H272" i="5"/>
  <c r="I272" i="5" s="1"/>
  <c r="H271" i="5"/>
  <c r="I271" i="5" s="1"/>
  <c r="H270" i="5"/>
  <c r="I270" i="5" s="1"/>
  <c r="H269" i="5"/>
  <c r="I269" i="5" s="1"/>
  <c r="H268" i="5"/>
  <c r="I268" i="5" s="1"/>
  <c r="H267" i="5"/>
  <c r="I267" i="5" s="1"/>
  <c r="H266" i="5"/>
  <c r="I266" i="5" s="1"/>
  <c r="H265" i="5"/>
  <c r="I265" i="5" s="1"/>
  <c r="H264" i="5"/>
  <c r="I264" i="5" s="1"/>
  <c r="H263" i="5"/>
  <c r="I263" i="5" s="1"/>
  <c r="H262" i="5"/>
  <c r="I262" i="5" s="1"/>
  <c r="H261" i="5"/>
  <c r="I261" i="5" s="1"/>
  <c r="H260" i="5"/>
  <c r="I260" i="5" s="1"/>
  <c r="H259" i="5"/>
  <c r="I259" i="5" s="1"/>
  <c r="H258" i="5"/>
  <c r="I258" i="5" s="1"/>
  <c r="H257" i="5"/>
  <c r="I257" i="5" s="1"/>
  <c r="H256" i="5"/>
  <c r="I256" i="5" s="1"/>
  <c r="H255" i="5"/>
  <c r="I255" i="5" s="1"/>
  <c r="H254" i="5"/>
  <c r="I254" i="5" s="1"/>
  <c r="H253" i="5"/>
  <c r="I253" i="5" s="1"/>
  <c r="H252" i="5"/>
  <c r="I252" i="5" s="1"/>
  <c r="H251" i="5"/>
  <c r="I251" i="5" s="1"/>
  <c r="H250" i="5"/>
  <c r="I250" i="5" s="1"/>
  <c r="H249" i="5"/>
  <c r="I249" i="5" s="1"/>
  <c r="H248" i="5"/>
  <c r="I248" i="5" s="1"/>
  <c r="H247" i="5"/>
  <c r="I247" i="5" s="1"/>
  <c r="H246" i="5"/>
  <c r="I246" i="5" s="1"/>
  <c r="H245" i="5"/>
  <c r="I245" i="5" s="1"/>
  <c r="H244" i="5"/>
  <c r="I244" i="5" s="1"/>
  <c r="H243" i="5"/>
  <c r="I243" i="5" s="1"/>
  <c r="H242" i="5"/>
  <c r="I242" i="5" s="1"/>
  <c r="H241" i="5"/>
  <c r="I241" i="5" s="1"/>
  <c r="H240" i="5"/>
  <c r="I240" i="5" s="1"/>
  <c r="H239" i="5"/>
  <c r="I239" i="5" s="1"/>
  <c r="H238" i="5"/>
  <c r="I238" i="5" s="1"/>
  <c r="H237" i="5"/>
  <c r="I237" i="5" s="1"/>
  <c r="H236" i="5"/>
  <c r="I236" i="5" s="1"/>
  <c r="H235" i="5"/>
  <c r="I235" i="5" s="1"/>
  <c r="H234" i="5"/>
  <c r="I234" i="5" s="1"/>
  <c r="H233" i="5"/>
  <c r="I233" i="5" s="1"/>
  <c r="H232" i="5"/>
  <c r="I232" i="5" s="1"/>
  <c r="H231" i="5"/>
  <c r="I231" i="5" s="1"/>
  <c r="H230" i="5"/>
  <c r="I230" i="5" s="1"/>
  <c r="H229" i="5"/>
  <c r="I229" i="5" s="1"/>
  <c r="H228" i="5"/>
  <c r="I228" i="5" s="1"/>
  <c r="H227" i="5"/>
  <c r="I227" i="5" s="1"/>
  <c r="H226" i="5"/>
  <c r="I226" i="5" s="1"/>
  <c r="H225" i="5"/>
  <c r="I225" i="5" s="1"/>
  <c r="H224" i="5"/>
  <c r="I224" i="5" s="1"/>
  <c r="H223" i="5"/>
  <c r="I223" i="5" s="1"/>
  <c r="H222" i="5"/>
  <c r="I222" i="5" s="1"/>
  <c r="H221" i="5"/>
  <c r="I221" i="5" s="1"/>
  <c r="H220" i="5"/>
  <c r="I220" i="5" s="1"/>
  <c r="H219" i="5"/>
  <c r="I219" i="5" s="1"/>
  <c r="H218" i="5"/>
  <c r="I218" i="5" s="1"/>
  <c r="H217" i="5"/>
  <c r="I217" i="5" s="1"/>
  <c r="H216" i="5"/>
  <c r="I216" i="5" s="1"/>
  <c r="H215" i="5"/>
  <c r="I215" i="5" s="1"/>
  <c r="H214" i="5"/>
  <c r="I214" i="5" s="1"/>
  <c r="H213" i="5"/>
  <c r="I213" i="5" s="1"/>
  <c r="H212" i="5"/>
  <c r="I212" i="5" s="1"/>
  <c r="H211" i="5"/>
  <c r="I211" i="5" s="1"/>
  <c r="H210" i="5"/>
  <c r="I210" i="5" s="1"/>
  <c r="H209" i="5"/>
  <c r="I209" i="5" s="1"/>
  <c r="H208" i="5"/>
  <c r="I208" i="5" s="1"/>
  <c r="H207" i="5"/>
  <c r="I207" i="5" s="1"/>
  <c r="H206" i="5"/>
  <c r="I206" i="5" s="1"/>
  <c r="H205" i="5"/>
  <c r="I205" i="5" s="1"/>
  <c r="H204" i="5"/>
  <c r="I204" i="5" s="1"/>
  <c r="H203" i="5"/>
  <c r="I203" i="5" s="1"/>
  <c r="H202" i="5"/>
  <c r="I202" i="5" s="1"/>
  <c r="H201" i="5"/>
  <c r="I201" i="5" s="1"/>
  <c r="H200" i="5"/>
  <c r="I200" i="5" s="1"/>
  <c r="H199" i="5"/>
  <c r="I199" i="5" s="1"/>
  <c r="H198" i="5"/>
  <c r="I198" i="5" s="1"/>
  <c r="H197" i="5"/>
  <c r="I197" i="5" s="1"/>
  <c r="H196" i="5"/>
  <c r="I196" i="5" s="1"/>
  <c r="H195" i="5"/>
  <c r="I195" i="5" s="1"/>
  <c r="H194" i="5"/>
  <c r="I194" i="5" s="1"/>
  <c r="H193" i="5"/>
  <c r="I193" i="5" s="1"/>
  <c r="H192" i="5"/>
  <c r="I192" i="5" s="1"/>
  <c r="H191" i="5"/>
  <c r="I191" i="5" s="1"/>
  <c r="H342" i="5"/>
  <c r="I342" i="5" s="1"/>
  <c r="H338" i="5"/>
  <c r="I338" i="5" s="1"/>
  <c r="H334" i="5"/>
  <c r="I334" i="5" s="1"/>
  <c r="H330" i="5"/>
  <c r="I330" i="5" s="1"/>
  <c r="H326" i="5"/>
  <c r="I326" i="5" s="1"/>
  <c r="H322" i="5"/>
  <c r="I322" i="5" s="1"/>
  <c r="H318" i="5"/>
  <c r="I318" i="5" s="1"/>
  <c r="H301" i="5"/>
  <c r="I301" i="5" s="1"/>
  <c r="H299" i="5"/>
  <c r="I299" i="5" s="1"/>
  <c r="H297" i="5"/>
  <c r="I297" i="5" s="1"/>
  <c r="H295" i="5"/>
  <c r="I295" i="5" s="1"/>
  <c r="H293" i="5"/>
  <c r="I293" i="5" s="1"/>
  <c r="H291" i="5"/>
  <c r="I291" i="5" s="1"/>
  <c r="H289" i="5"/>
  <c r="I289" i="5" s="1"/>
  <c r="H287" i="5"/>
  <c r="I287" i="5" s="1"/>
  <c r="H285" i="5"/>
  <c r="I285" i="5" s="1"/>
  <c r="H344" i="5"/>
  <c r="I344" i="5" s="1"/>
  <c r="H340" i="5"/>
  <c r="I340" i="5" s="1"/>
  <c r="H336" i="5"/>
  <c r="I336" i="5" s="1"/>
  <c r="H332" i="5"/>
  <c r="I332" i="5" s="1"/>
  <c r="H328" i="5"/>
  <c r="I328" i="5" s="1"/>
  <c r="H324" i="5"/>
  <c r="I324" i="5" s="1"/>
  <c r="H320" i="5"/>
  <c r="I320" i="5" s="1"/>
  <c r="H316" i="5"/>
  <c r="I316" i="5" s="1"/>
  <c r="H302" i="5"/>
  <c r="I302" i="5" s="1"/>
  <c r="H300" i="5"/>
  <c r="I300" i="5" s="1"/>
  <c r="H298" i="5"/>
  <c r="I298" i="5" s="1"/>
  <c r="H296" i="5"/>
  <c r="I296" i="5" s="1"/>
  <c r="H294" i="5"/>
  <c r="I294" i="5" s="1"/>
  <c r="H292" i="5"/>
  <c r="I292" i="5" s="1"/>
  <c r="H290" i="5"/>
  <c r="I290" i="5" s="1"/>
  <c r="H288" i="5"/>
  <c r="I288" i="5" s="1"/>
  <c r="H286" i="5"/>
  <c r="I286" i="5" s="1"/>
  <c r="H46" i="5"/>
  <c r="I46" i="5" s="1"/>
  <c r="H44" i="5"/>
  <c r="I44" i="5" s="1"/>
  <c r="H42" i="5"/>
  <c r="I42" i="5" s="1"/>
  <c r="H23" i="5"/>
  <c r="I23" i="5" s="1"/>
  <c r="H45" i="5"/>
  <c r="I45" i="5" s="1"/>
  <c r="H43" i="5"/>
  <c r="I43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2" i="5"/>
  <c r="I22" i="5" s="1"/>
  <c r="H190" i="5"/>
  <c r="I190" i="5" s="1"/>
  <c r="H189" i="5"/>
  <c r="I189" i="5" s="1"/>
  <c r="H188" i="5"/>
  <c r="I188" i="5" s="1"/>
  <c r="H187" i="5"/>
  <c r="I187" i="5" s="1"/>
  <c r="H186" i="5"/>
  <c r="I186" i="5" s="1"/>
  <c r="H185" i="5"/>
  <c r="I185" i="5" s="1"/>
  <c r="H184" i="5"/>
  <c r="I184" i="5" s="1"/>
  <c r="H183" i="5"/>
  <c r="I183" i="5" s="1"/>
  <c r="H182" i="5"/>
  <c r="I182" i="5" s="1"/>
  <c r="H181" i="5"/>
  <c r="I181" i="5" s="1"/>
  <c r="H180" i="5"/>
  <c r="I180" i="5" s="1"/>
  <c r="H179" i="5"/>
  <c r="I179" i="5" s="1"/>
  <c r="H178" i="5"/>
  <c r="I178" i="5" s="1"/>
  <c r="H177" i="5"/>
  <c r="I177" i="5" s="1"/>
  <c r="H176" i="5"/>
  <c r="I176" i="5" s="1"/>
  <c r="H175" i="5"/>
  <c r="I175" i="5" s="1"/>
  <c r="H174" i="5"/>
  <c r="I174" i="5" s="1"/>
  <c r="H173" i="5"/>
  <c r="I173" i="5" s="1"/>
  <c r="H172" i="5"/>
  <c r="I172" i="5" s="1"/>
  <c r="H171" i="5"/>
  <c r="I171" i="5" s="1"/>
  <c r="H170" i="5"/>
  <c r="I170" i="5" s="1"/>
  <c r="H169" i="5"/>
  <c r="I169" i="5" s="1"/>
  <c r="H168" i="5"/>
  <c r="I168" i="5" s="1"/>
  <c r="H167" i="5"/>
  <c r="I167" i="5" s="1"/>
  <c r="H166" i="5"/>
  <c r="I166" i="5" s="1"/>
  <c r="H165" i="5"/>
  <c r="I165" i="5" s="1"/>
  <c r="H164" i="5"/>
  <c r="I164" i="5" s="1"/>
  <c r="H163" i="5"/>
  <c r="I163" i="5" s="1"/>
  <c r="H162" i="5"/>
  <c r="I162" i="5" s="1"/>
  <c r="H161" i="5"/>
  <c r="I161" i="5" s="1"/>
  <c r="H160" i="5"/>
  <c r="I160" i="5" s="1"/>
  <c r="H159" i="5"/>
  <c r="I159" i="5" s="1"/>
  <c r="H158" i="5"/>
  <c r="I158" i="5" s="1"/>
  <c r="H157" i="5"/>
  <c r="I157" i="5" s="1"/>
  <c r="H156" i="5"/>
  <c r="I156" i="5" s="1"/>
  <c r="H155" i="5"/>
  <c r="I155" i="5" s="1"/>
  <c r="H154" i="5"/>
  <c r="I154" i="5" s="1"/>
  <c r="H153" i="5"/>
  <c r="I153" i="5" s="1"/>
  <c r="H152" i="5"/>
  <c r="I152" i="5" s="1"/>
  <c r="H151" i="5"/>
  <c r="I151" i="5" s="1"/>
  <c r="H150" i="5"/>
  <c r="I150" i="5" s="1"/>
  <c r="H149" i="5"/>
  <c r="I149" i="5" s="1"/>
  <c r="H148" i="5"/>
  <c r="I148" i="5" s="1"/>
  <c r="H147" i="5"/>
  <c r="I147" i="5" s="1"/>
  <c r="H146" i="5"/>
  <c r="I146" i="5" s="1"/>
  <c r="H145" i="5"/>
  <c r="I145" i="5" s="1"/>
  <c r="H144" i="5"/>
  <c r="I144" i="5" s="1"/>
  <c r="H143" i="5"/>
  <c r="I143" i="5" s="1"/>
  <c r="H142" i="5"/>
  <c r="I142" i="5" s="1"/>
  <c r="H141" i="5"/>
  <c r="I141" i="5" s="1"/>
  <c r="H140" i="5"/>
  <c r="I140" i="5" s="1"/>
  <c r="H139" i="5"/>
  <c r="I139" i="5" s="1"/>
  <c r="H138" i="5"/>
  <c r="I138" i="5" s="1"/>
  <c r="H137" i="5"/>
  <c r="I137" i="5" s="1"/>
  <c r="H136" i="5"/>
  <c r="I136" i="5" s="1"/>
  <c r="H135" i="5"/>
  <c r="I135" i="5" s="1"/>
  <c r="H134" i="5"/>
  <c r="I134" i="5" s="1"/>
  <c r="H133" i="5"/>
  <c r="I133" i="5" s="1"/>
  <c r="H132" i="5"/>
  <c r="I132" i="5" s="1"/>
  <c r="H131" i="5"/>
  <c r="I131" i="5" s="1"/>
  <c r="H130" i="5"/>
  <c r="I130" i="5" s="1"/>
  <c r="H129" i="5"/>
  <c r="I129" i="5" s="1"/>
  <c r="H128" i="5"/>
  <c r="I128" i="5" s="1"/>
  <c r="H127" i="5"/>
  <c r="I127" i="5" s="1"/>
  <c r="H126" i="5"/>
  <c r="I126" i="5" s="1"/>
  <c r="H125" i="5"/>
  <c r="I125" i="5" s="1"/>
  <c r="H124" i="5"/>
  <c r="I124" i="5" s="1"/>
  <c r="H123" i="5"/>
  <c r="I123" i="5" s="1"/>
  <c r="H122" i="5"/>
  <c r="I122" i="5" s="1"/>
  <c r="H121" i="5"/>
  <c r="I121" i="5" s="1"/>
  <c r="H120" i="5"/>
  <c r="I120" i="5" s="1"/>
  <c r="H119" i="5"/>
  <c r="I119" i="5" s="1"/>
  <c r="H118" i="5"/>
  <c r="I118" i="5" s="1"/>
  <c r="H117" i="5"/>
  <c r="I117" i="5" s="1"/>
  <c r="H116" i="5"/>
  <c r="I116" i="5" s="1"/>
  <c r="H115" i="5"/>
  <c r="I115" i="5" s="1"/>
  <c r="H114" i="5"/>
  <c r="I114" i="5" s="1"/>
  <c r="H113" i="5"/>
  <c r="I113" i="5" s="1"/>
  <c r="H112" i="5"/>
  <c r="I112" i="5" s="1"/>
  <c r="H111" i="5"/>
  <c r="I111" i="5" s="1"/>
  <c r="H110" i="5"/>
  <c r="I110" i="5" s="1"/>
  <c r="H109" i="5"/>
  <c r="I109" i="5" s="1"/>
  <c r="H108" i="5"/>
  <c r="I108" i="5" s="1"/>
  <c r="H107" i="5"/>
  <c r="I107" i="5" s="1"/>
  <c r="H106" i="5"/>
  <c r="I106" i="5" s="1"/>
  <c r="H105" i="5"/>
  <c r="I105" i="5" s="1"/>
  <c r="H104" i="5"/>
  <c r="I104" i="5" s="1"/>
  <c r="H103" i="5"/>
  <c r="I103" i="5" s="1"/>
  <c r="H102" i="5"/>
  <c r="I102" i="5" s="1"/>
  <c r="H101" i="5"/>
  <c r="I101" i="5" s="1"/>
  <c r="H100" i="5"/>
  <c r="I100" i="5" s="1"/>
  <c r="H99" i="5"/>
  <c r="I99" i="5" s="1"/>
  <c r="H98" i="5"/>
  <c r="I98" i="5" s="1"/>
  <c r="H97" i="5"/>
  <c r="I97" i="5" s="1"/>
  <c r="H96" i="5"/>
  <c r="I96" i="5" s="1"/>
  <c r="H95" i="5"/>
  <c r="I95" i="5" s="1"/>
  <c r="H94" i="5"/>
  <c r="I94" i="5" s="1"/>
  <c r="H93" i="5"/>
  <c r="I93" i="5" s="1"/>
  <c r="H92" i="5"/>
  <c r="I92" i="5" s="1"/>
  <c r="H91" i="5"/>
  <c r="I91" i="5" s="1"/>
  <c r="H90" i="5"/>
  <c r="I90" i="5" s="1"/>
  <c r="H89" i="5"/>
  <c r="I89" i="5" s="1"/>
  <c r="H88" i="5"/>
  <c r="I88" i="5" s="1"/>
  <c r="H87" i="5"/>
  <c r="I87" i="5" s="1"/>
  <c r="H86" i="5"/>
  <c r="I86" i="5" s="1"/>
  <c r="H85" i="5"/>
  <c r="I85" i="5" s="1"/>
  <c r="H84" i="5"/>
  <c r="I84" i="5" s="1"/>
  <c r="H83" i="5"/>
  <c r="I83" i="5" s="1"/>
  <c r="H82" i="5"/>
  <c r="I82" i="5" s="1"/>
  <c r="H81" i="5"/>
  <c r="I81" i="5" s="1"/>
  <c r="H80" i="5"/>
  <c r="I80" i="5" s="1"/>
  <c r="H79" i="5"/>
  <c r="I79" i="5" s="1"/>
  <c r="H78" i="5"/>
  <c r="I78" i="5" s="1"/>
  <c r="H77" i="5"/>
  <c r="I77" i="5" s="1"/>
  <c r="H76" i="5"/>
  <c r="I76" i="5" s="1"/>
  <c r="H75" i="5"/>
  <c r="I75" i="5" s="1"/>
  <c r="H74" i="5"/>
  <c r="I74" i="5" s="1"/>
  <c r="H73" i="5"/>
  <c r="I73" i="5" s="1"/>
  <c r="H72" i="5"/>
  <c r="I72" i="5" s="1"/>
  <c r="H71" i="5"/>
  <c r="I71" i="5" s="1"/>
  <c r="H70" i="5"/>
  <c r="I70" i="5" s="1"/>
  <c r="H69" i="5"/>
  <c r="I69" i="5" s="1"/>
  <c r="H68" i="5"/>
  <c r="I68" i="5" s="1"/>
  <c r="H67" i="5"/>
  <c r="I67" i="5" s="1"/>
  <c r="H66" i="5"/>
  <c r="I66" i="5" s="1"/>
  <c r="H65" i="5"/>
  <c r="I65" i="5" s="1"/>
  <c r="H64" i="5"/>
  <c r="I64" i="5" s="1"/>
  <c r="H63" i="5"/>
  <c r="I63" i="5" s="1"/>
  <c r="H62" i="5"/>
  <c r="I62" i="5" s="1"/>
  <c r="H61" i="5"/>
  <c r="I61" i="5" s="1"/>
  <c r="H60" i="5"/>
  <c r="I60" i="5" s="1"/>
  <c r="H59" i="5"/>
  <c r="I59" i="5" s="1"/>
  <c r="H58" i="5"/>
  <c r="I58" i="5" s="1"/>
  <c r="H57" i="5"/>
  <c r="I57" i="5" s="1"/>
  <c r="H56" i="5"/>
  <c r="I56" i="5" s="1"/>
  <c r="H55" i="5"/>
  <c r="I55" i="5" s="1"/>
  <c r="H54" i="5"/>
  <c r="I54" i="5" s="1"/>
  <c r="H53" i="5"/>
  <c r="I53" i="5" s="1"/>
  <c r="H52" i="5"/>
  <c r="I52" i="5" s="1"/>
  <c r="H51" i="5"/>
  <c r="I51" i="5" s="1"/>
  <c r="H50" i="5"/>
  <c r="I50" i="5" s="1"/>
  <c r="H49" i="5"/>
  <c r="I49" i="5" s="1"/>
  <c r="H48" i="5"/>
  <c r="I48" i="5" s="1"/>
  <c r="H47" i="5"/>
  <c r="I47" i="5" s="1"/>
  <c r="K691" i="5"/>
  <c r="L691" i="5" s="1"/>
  <c r="K690" i="5"/>
  <c r="L690" i="5" s="1"/>
  <c r="K689" i="5"/>
  <c r="L689" i="5" s="1"/>
  <c r="K687" i="5"/>
  <c r="L687" i="5" s="1"/>
  <c r="K686" i="5"/>
  <c r="L686" i="5" s="1"/>
  <c r="K685" i="5"/>
  <c r="L685" i="5" s="1"/>
  <c r="K683" i="5"/>
  <c r="L683" i="5" s="1"/>
  <c r="K681" i="5"/>
  <c r="L681" i="5" s="1"/>
  <c r="K679" i="5"/>
  <c r="L679" i="5" s="1"/>
  <c r="K675" i="5"/>
  <c r="L675" i="5" s="1"/>
  <c r="K673" i="5"/>
  <c r="L673" i="5" s="1"/>
  <c r="K671" i="5"/>
  <c r="L671" i="5" s="1"/>
  <c r="K667" i="5"/>
  <c r="L667" i="5" s="1"/>
  <c r="K665" i="5"/>
  <c r="L665" i="5" s="1"/>
  <c r="K663" i="5"/>
  <c r="L663" i="5" s="1"/>
  <c r="K659" i="5"/>
  <c r="L659" i="5" s="1"/>
  <c r="K657" i="5"/>
  <c r="L657" i="5" s="1"/>
  <c r="K655" i="5"/>
  <c r="L655" i="5" s="1"/>
  <c r="K651" i="5"/>
  <c r="L651" i="5" s="1"/>
  <c r="K680" i="5"/>
  <c r="L680" i="5" s="1"/>
  <c r="K676" i="5"/>
  <c r="L676" i="5" s="1"/>
  <c r="K668" i="5"/>
  <c r="L668" i="5" s="1"/>
  <c r="K664" i="5"/>
  <c r="L664" i="5" s="1"/>
  <c r="K660" i="5"/>
  <c r="L660" i="5" s="1"/>
  <c r="K652" i="5"/>
  <c r="L652" i="5" s="1"/>
  <c r="K648" i="5"/>
  <c r="L648" i="5" s="1"/>
  <c r="K646" i="5"/>
  <c r="L646" i="5" s="1"/>
  <c r="K642" i="5"/>
  <c r="L642" i="5" s="1"/>
  <c r="K640" i="5"/>
  <c r="L640" i="5" s="1"/>
  <c r="K638" i="5"/>
  <c r="L638" i="5" s="1"/>
  <c r="K634" i="5"/>
  <c r="L634" i="5" s="1"/>
  <c r="K632" i="5"/>
  <c r="L632" i="5" s="1"/>
  <c r="K630" i="5"/>
  <c r="L630" i="5" s="1"/>
  <c r="K626" i="5"/>
  <c r="L626" i="5" s="1"/>
  <c r="K624" i="5"/>
  <c r="L624" i="5" s="1"/>
  <c r="K622" i="5"/>
  <c r="L622" i="5" s="1"/>
  <c r="K618" i="5"/>
  <c r="L618" i="5" s="1"/>
  <c r="K616" i="5"/>
  <c r="L616" i="5" s="1"/>
  <c r="K614" i="5"/>
  <c r="L614" i="5" s="1"/>
  <c r="K666" i="5"/>
  <c r="L666" i="5" s="1"/>
  <c r="K650" i="5"/>
  <c r="L650" i="5" s="1"/>
  <c r="K647" i="5"/>
  <c r="L647" i="5" s="1"/>
  <c r="K637" i="5"/>
  <c r="L637" i="5" s="1"/>
  <c r="K633" i="5"/>
  <c r="L633" i="5" s="1"/>
  <c r="K629" i="5"/>
  <c r="L629" i="5" s="1"/>
  <c r="K621" i="5"/>
  <c r="L621" i="5" s="1"/>
  <c r="K617" i="5"/>
  <c r="L617" i="5" s="1"/>
  <c r="K613" i="5"/>
  <c r="L613" i="5" s="1"/>
  <c r="K610" i="5"/>
  <c r="L610" i="5" s="1"/>
  <c r="K603" i="5"/>
  <c r="L603" i="5" s="1"/>
  <c r="K601" i="5"/>
  <c r="L601" i="5" s="1"/>
  <c r="K597" i="5"/>
  <c r="L597" i="5" s="1"/>
  <c r="K595" i="5"/>
  <c r="L595" i="5" s="1"/>
  <c r="K670" i="5"/>
  <c r="L670" i="5" s="1"/>
  <c r="K649" i="5"/>
  <c r="L649" i="5" s="1"/>
  <c r="K641" i="5"/>
  <c r="L641" i="5" s="1"/>
  <c r="K609" i="5"/>
  <c r="L609" i="5" s="1"/>
  <c r="K674" i="5"/>
  <c r="L674" i="5" s="1"/>
  <c r="K658" i="5"/>
  <c r="L658" i="5" s="1"/>
  <c r="K643" i="5"/>
  <c r="L643" i="5" s="1"/>
  <c r="K631" i="5"/>
  <c r="L631" i="5" s="1"/>
  <c r="K627" i="5"/>
  <c r="L627" i="5" s="1"/>
  <c r="K623" i="5"/>
  <c r="L623" i="5" s="1"/>
  <c r="K615" i="5"/>
  <c r="L615" i="5" s="1"/>
  <c r="K607" i="5"/>
  <c r="L607" i="5" s="1"/>
  <c r="K606" i="5"/>
  <c r="L606" i="5" s="1"/>
  <c r="K600" i="5"/>
  <c r="L600" i="5" s="1"/>
  <c r="K598" i="5"/>
  <c r="L598" i="5" s="1"/>
  <c r="K596" i="5"/>
  <c r="L596" i="5" s="1"/>
  <c r="K593" i="5"/>
  <c r="L593" i="5" s="1"/>
  <c r="K592" i="5"/>
  <c r="L592" i="5" s="1"/>
  <c r="K591" i="5"/>
  <c r="L591" i="5" s="1"/>
  <c r="K589" i="5"/>
  <c r="L589" i="5" s="1"/>
  <c r="K588" i="5"/>
  <c r="L588" i="5" s="1"/>
  <c r="K587" i="5"/>
  <c r="L587" i="5" s="1"/>
  <c r="K585" i="5"/>
  <c r="L585" i="5" s="1"/>
  <c r="K584" i="5"/>
  <c r="L584" i="5" s="1"/>
  <c r="K583" i="5"/>
  <c r="L583" i="5" s="1"/>
  <c r="K581" i="5"/>
  <c r="L581" i="5" s="1"/>
  <c r="K580" i="5"/>
  <c r="L580" i="5" s="1"/>
  <c r="K579" i="5"/>
  <c r="L579" i="5" s="1"/>
  <c r="K662" i="5"/>
  <c r="L662" i="5" s="1"/>
  <c r="K645" i="5"/>
  <c r="L645" i="5" s="1"/>
  <c r="K612" i="5"/>
  <c r="L612" i="5" s="1"/>
  <c r="K604" i="5"/>
  <c r="L604" i="5" s="1"/>
  <c r="K542" i="5"/>
  <c r="L542" i="5" s="1"/>
  <c r="K540" i="5"/>
  <c r="L540" i="5" s="1"/>
  <c r="K536" i="5"/>
  <c r="L536" i="5" s="1"/>
  <c r="K534" i="5"/>
  <c r="L534" i="5" s="1"/>
  <c r="K532" i="5"/>
  <c r="L532" i="5" s="1"/>
  <c r="K528" i="5"/>
  <c r="L528" i="5" s="1"/>
  <c r="K526" i="5"/>
  <c r="L526" i="5" s="1"/>
  <c r="K524" i="5"/>
  <c r="L524" i="5" s="1"/>
  <c r="K521" i="5"/>
  <c r="L521" i="5" s="1"/>
  <c r="K520" i="5"/>
  <c r="L520" i="5" s="1"/>
  <c r="K519" i="5"/>
  <c r="L519" i="5" s="1"/>
  <c r="K517" i="5"/>
  <c r="L517" i="5" s="1"/>
  <c r="K516" i="5"/>
  <c r="L516" i="5" s="1"/>
  <c r="K515" i="5"/>
  <c r="L515" i="5" s="1"/>
  <c r="K513" i="5"/>
  <c r="L513" i="5" s="1"/>
  <c r="K512" i="5"/>
  <c r="L512" i="5" s="1"/>
  <c r="K511" i="5"/>
  <c r="L511" i="5" s="1"/>
  <c r="K509" i="5"/>
  <c r="L509" i="5" s="1"/>
  <c r="K508" i="5"/>
  <c r="L508" i="5" s="1"/>
  <c r="K507" i="5"/>
  <c r="L507" i="5" s="1"/>
  <c r="K505" i="5"/>
  <c r="L505" i="5" s="1"/>
  <c r="K504" i="5"/>
  <c r="L504" i="5" s="1"/>
  <c r="K503" i="5"/>
  <c r="L503" i="5" s="1"/>
  <c r="K501" i="5"/>
  <c r="L501" i="5" s="1"/>
  <c r="K500" i="5"/>
  <c r="L500" i="5" s="1"/>
  <c r="K499" i="5"/>
  <c r="L499" i="5" s="1"/>
  <c r="K541" i="5"/>
  <c r="L541" i="5" s="1"/>
  <c r="K539" i="5"/>
  <c r="L539" i="5" s="1"/>
  <c r="K537" i="5"/>
  <c r="L537" i="5" s="1"/>
  <c r="K533" i="5"/>
  <c r="L533" i="5" s="1"/>
  <c r="K531" i="5"/>
  <c r="L531" i="5" s="1"/>
  <c r="K529" i="5"/>
  <c r="L529" i="5" s="1"/>
  <c r="K525" i="5"/>
  <c r="L525" i="5" s="1"/>
  <c r="K523" i="5"/>
  <c r="L523" i="5" s="1"/>
  <c r="K578" i="5"/>
  <c r="L578" i="5" s="1"/>
  <c r="K576" i="5"/>
  <c r="L576" i="5" s="1"/>
  <c r="K575" i="5"/>
  <c r="L575" i="5" s="1"/>
  <c r="K574" i="5"/>
  <c r="L574" i="5" s="1"/>
  <c r="K572" i="5"/>
  <c r="L572" i="5" s="1"/>
  <c r="K571" i="5"/>
  <c r="L571" i="5" s="1"/>
  <c r="K570" i="5"/>
  <c r="L570" i="5" s="1"/>
  <c r="K568" i="5"/>
  <c r="L568" i="5" s="1"/>
  <c r="K567" i="5"/>
  <c r="L567" i="5" s="1"/>
  <c r="K566" i="5"/>
  <c r="L566" i="5" s="1"/>
  <c r="K564" i="5"/>
  <c r="L564" i="5" s="1"/>
  <c r="K563" i="5"/>
  <c r="L563" i="5" s="1"/>
  <c r="K562" i="5"/>
  <c r="L562" i="5" s="1"/>
  <c r="K560" i="5"/>
  <c r="L560" i="5" s="1"/>
  <c r="K559" i="5"/>
  <c r="L559" i="5" s="1"/>
  <c r="K558" i="5"/>
  <c r="L558" i="5" s="1"/>
  <c r="K556" i="5"/>
  <c r="L556" i="5" s="1"/>
  <c r="K555" i="5"/>
  <c r="L555" i="5" s="1"/>
  <c r="K554" i="5"/>
  <c r="L554" i="5" s="1"/>
  <c r="K552" i="5"/>
  <c r="L552" i="5" s="1"/>
  <c r="K551" i="5"/>
  <c r="L551" i="5" s="1"/>
  <c r="K550" i="5"/>
  <c r="L550" i="5" s="1"/>
  <c r="K548" i="5"/>
  <c r="L548" i="5" s="1"/>
  <c r="K547" i="5"/>
  <c r="L547" i="5" s="1"/>
  <c r="K546" i="5"/>
  <c r="L546" i="5" s="1"/>
  <c r="K544" i="5"/>
  <c r="L544" i="5" s="1"/>
  <c r="K543" i="5"/>
  <c r="L543" i="5" s="1"/>
  <c r="K497" i="5"/>
  <c r="L497" i="5" s="1"/>
  <c r="K493" i="5"/>
  <c r="L493" i="5" s="1"/>
  <c r="K491" i="5"/>
  <c r="L491" i="5" s="1"/>
  <c r="K489" i="5"/>
  <c r="L489" i="5" s="1"/>
  <c r="K485" i="5"/>
  <c r="L485" i="5" s="1"/>
  <c r="K483" i="5"/>
  <c r="L483" i="5" s="1"/>
  <c r="K481" i="5"/>
  <c r="L481" i="5" s="1"/>
  <c r="K477" i="5"/>
  <c r="L477" i="5" s="1"/>
  <c r="K475" i="5"/>
  <c r="L475" i="5" s="1"/>
  <c r="K473" i="5"/>
  <c r="L473" i="5" s="1"/>
  <c r="K469" i="5"/>
  <c r="L469" i="5" s="1"/>
  <c r="K467" i="5"/>
  <c r="L467" i="5" s="1"/>
  <c r="K465" i="5"/>
  <c r="L465" i="5" s="1"/>
  <c r="K461" i="5"/>
  <c r="L461" i="5" s="1"/>
  <c r="K459" i="5"/>
  <c r="L459" i="5" s="1"/>
  <c r="K457" i="5"/>
  <c r="L457" i="5" s="1"/>
  <c r="K453" i="5"/>
  <c r="L453" i="5" s="1"/>
  <c r="K451" i="5"/>
  <c r="L451" i="5" s="1"/>
  <c r="K449" i="5"/>
  <c r="L449" i="5" s="1"/>
  <c r="K445" i="5"/>
  <c r="L445" i="5" s="1"/>
  <c r="K443" i="5"/>
  <c r="L443" i="5" s="1"/>
  <c r="K441" i="5"/>
  <c r="L441" i="5" s="1"/>
  <c r="K437" i="5"/>
  <c r="L437" i="5" s="1"/>
  <c r="K435" i="5"/>
  <c r="L435" i="5" s="1"/>
  <c r="K433" i="5"/>
  <c r="L433" i="5" s="1"/>
  <c r="K429" i="5"/>
  <c r="L429" i="5" s="1"/>
  <c r="K427" i="5"/>
  <c r="L427" i="5" s="1"/>
  <c r="K425" i="5"/>
  <c r="L425" i="5" s="1"/>
  <c r="K421" i="5"/>
  <c r="L421" i="5" s="1"/>
  <c r="K419" i="5"/>
  <c r="L419" i="5" s="1"/>
  <c r="K417" i="5"/>
  <c r="L417" i="5" s="1"/>
  <c r="K413" i="5"/>
  <c r="L413" i="5" s="1"/>
  <c r="K496" i="5"/>
  <c r="L496" i="5" s="1"/>
  <c r="K494" i="5"/>
  <c r="L494" i="5" s="1"/>
  <c r="K490" i="5"/>
  <c r="L490" i="5" s="1"/>
  <c r="K488" i="5"/>
  <c r="L488" i="5" s="1"/>
  <c r="K486" i="5"/>
  <c r="L486" i="5" s="1"/>
  <c r="K482" i="5"/>
  <c r="L482" i="5" s="1"/>
  <c r="K480" i="5"/>
  <c r="L480" i="5" s="1"/>
  <c r="K478" i="5"/>
  <c r="L478" i="5" s="1"/>
  <c r="K474" i="5"/>
  <c r="L474" i="5" s="1"/>
  <c r="K472" i="5"/>
  <c r="L472" i="5" s="1"/>
  <c r="K470" i="5"/>
  <c r="L470" i="5" s="1"/>
  <c r="K466" i="5"/>
  <c r="L466" i="5" s="1"/>
  <c r="K464" i="5"/>
  <c r="L464" i="5" s="1"/>
  <c r="K462" i="5"/>
  <c r="L462" i="5" s="1"/>
  <c r="K458" i="5"/>
  <c r="L458" i="5" s="1"/>
  <c r="K456" i="5"/>
  <c r="L456" i="5" s="1"/>
  <c r="K454" i="5"/>
  <c r="L454" i="5" s="1"/>
  <c r="K450" i="5"/>
  <c r="L450" i="5" s="1"/>
  <c r="K448" i="5"/>
  <c r="L448" i="5" s="1"/>
  <c r="K446" i="5"/>
  <c r="L446" i="5" s="1"/>
  <c r="K442" i="5"/>
  <c r="L442" i="5" s="1"/>
  <c r="K440" i="5"/>
  <c r="L440" i="5" s="1"/>
  <c r="K438" i="5"/>
  <c r="L438" i="5" s="1"/>
  <c r="K434" i="5"/>
  <c r="L434" i="5" s="1"/>
  <c r="K432" i="5"/>
  <c r="L432" i="5" s="1"/>
  <c r="K430" i="5"/>
  <c r="L430" i="5" s="1"/>
  <c r="K426" i="5"/>
  <c r="L426" i="5" s="1"/>
  <c r="K422" i="5"/>
  <c r="L422" i="5" s="1"/>
  <c r="K414" i="5"/>
  <c r="L414" i="5" s="1"/>
  <c r="K401" i="5"/>
  <c r="L401" i="5" s="1"/>
  <c r="K399" i="5"/>
  <c r="L399" i="5" s="1"/>
  <c r="K397" i="5"/>
  <c r="L397" i="5" s="1"/>
  <c r="K393" i="5"/>
  <c r="L393" i="5" s="1"/>
  <c r="K391" i="5"/>
  <c r="L391" i="5" s="1"/>
  <c r="K389" i="5"/>
  <c r="L389" i="5" s="1"/>
  <c r="K385" i="5"/>
  <c r="L385" i="5" s="1"/>
  <c r="K383" i="5"/>
  <c r="L383" i="5" s="1"/>
  <c r="K381" i="5"/>
  <c r="L381" i="5" s="1"/>
  <c r="K377" i="5"/>
  <c r="L377" i="5" s="1"/>
  <c r="K375" i="5"/>
  <c r="L375" i="5" s="1"/>
  <c r="K373" i="5"/>
  <c r="L373" i="5" s="1"/>
  <c r="K369" i="5"/>
  <c r="L369" i="5" s="1"/>
  <c r="K367" i="5"/>
  <c r="L367" i="5" s="1"/>
  <c r="K365" i="5"/>
  <c r="L365" i="5" s="1"/>
  <c r="K361" i="5"/>
  <c r="L361" i="5" s="1"/>
  <c r="K359" i="5"/>
  <c r="L359" i="5" s="1"/>
  <c r="K357" i="5"/>
  <c r="L357" i="5" s="1"/>
  <c r="K353" i="5"/>
  <c r="L353" i="5" s="1"/>
  <c r="K351" i="5"/>
  <c r="L351" i="5" s="1"/>
  <c r="K349" i="5"/>
  <c r="L349" i="5" s="1"/>
  <c r="K345" i="5"/>
  <c r="L345" i="5" s="1"/>
  <c r="K343" i="5"/>
  <c r="L343" i="5" s="1"/>
  <c r="K341" i="5"/>
  <c r="L341" i="5" s="1"/>
  <c r="K337" i="5"/>
  <c r="L337" i="5" s="1"/>
  <c r="K335" i="5"/>
  <c r="L335" i="5" s="1"/>
  <c r="K333" i="5"/>
  <c r="L333" i="5" s="1"/>
  <c r="K329" i="5"/>
  <c r="L329" i="5" s="1"/>
  <c r="K327" i="5"/>
  <c r="L327" i="5" s="1"/>
  <c r="K325" i="5"/>
  <c r="L325" i="5" s="1"/>
  <c r="K321" i="5"/>
  <c r="L321" i="5" s="1"/>
  <c r="K319" i="5"/>
  <c r="L319" i="5" s="1"/>
  <c r="K317" i="5"/>
  <c r="L317" i="5" s="1"/>
  <c r="K424" i="5"/>
  <c r="L424" i="5" s="1"/>
  <c r="K416" i="5"/>
  <c r="L416" i="5" s="1"/>
  <c r="K411" i="5"/>
  <c r="L411" i="5" s="1"/>
  <c r="K408" i="5"/>
  <c r="L408" i="5" s="1"/>
  <c r="K407" i="5"/>
  <c r="L407" i="5" s="1"/>
  <c r="K406" i="5"/>
  <c r="L406" i="5" s="1"/>
  <c r="K405" i="5"/>
  <c r="L405" i="5" s="1"/>
  <c r="K418" i="5"/>
  <c r="L418" i="5" s="1"/>
  <c r="K404" i="5"/>
  <c r="L404" i="5" s="1"/>
  <c r="K402" i="5"/>
  <c r="L402" i="5" s="1"/>
  <c r="K400" i="5"/>
  <c r="L400" i="5" s="1"/>
  <c r="K398" i="5"/>
  <c r="L398" i="5" s="1"/>
  <c r="K396" i="5"/>
  <c r="L396" i="5" s="1"/>
  <c r="K394" i="5"/>
  <c r="L394" i="5" s="1"/>
  <c r="K392" i="5"/>
  <c r="L392" i="5" s="1"/>
  <c r="K390" i="5"/>
  <c r="L390" i="5" s="1"/>
  <c r="K388" i="5"/>
  <c r="L388" i="5" s="1"/>
  <c r="K386" i="5"/>
  <c r="L386" i="5" s="1"/>
  <c r="K384" i="5"/>
  <c r="L384" i="5" s="1"/>
  <c r="K382" i="5"/>
  <c r="L382" i="5" s="1"/>
  <c r="K380" i="5"/>
  <c r="L380" i="5" s="1"/>
  <c r="K378" i="5"/>
  <c r="L378" i="5" s="1"/>
  <c r="K376" i="5"/>
  <c r="L376" i="5" s="1"/>
  <c r="K374" i="5"/>
  <c r="L374" i="5" s="1"/>
  <c r="K372" i="5"/>
  <c r="L372" i="5" s="1"/>
  <c r="K370" i="5"/>
  <c r="L370" i="5" s="1"/>
  <c r="K368" i="5"/>
  <c r="L368" i="5" s="1"/>
  <c r="K366" i="5"/>
  <c r="L366" i="5" s="1"/>
  <c r="K364" i="5"/>
  <c r="L364" i="5" s="1"/>
  <c r="K362" i="5"/>
  <c r="L362" i="5" s="1"/>
  <c r="K360" i="5"/>
  <c r="L360" i="5" s="1"/>
  <c r="K358" i="5"/>
  <c r="L358" i="5" s="1"/>
  <c r="K356" i="5"/>
  <c r="L356" i="5" s="1"/>
  <c r="K354" i="5"/>
  <c r="L354" i="5" s="1"/>
  <c r="K352" i="5"/>
  <c r="L352" i="5" s="1"/>
  <c r="K350" i="5"/>
  <c r="L350" i="5" s="1"/>
  <c r="K348" i="5"/>
  <c r="L348" i="5" s="1"/>
  <c r="K346" i="5"/>
  <c r="L346" i="5" s="1"/>
  <c r="K420" i="5"/>
  <c r="L420" i="5" s="1"/>
  <c r="K412" i="5"/>
  <c r="L412" i="5" s="1"/>
  <c r="K410" i="5"/>
  <c r="L410" i="5" s="1"/>
  <c r="K342" i="5"/>
  <c r="L342" i="5" s="1"/>
  <c r="K338" i="5"/>
  <c r="L338" i="5" s="1"/>
  <c r="K334" i="5"/>
  <c r="L334" i="5" s="1"/>
  <c r="K330" i="5"/>
  <c r="L330" i="5" s="1"/>
  <c r="K326" i="5"/>
  <c r="L326" i="5" s="1"/>
  <c r="K322" i="5"/>
  <c r="L322" i="5" s="1"/>
  <c r="K318" i="5"/>
  <c r="L318" i="5" s="1"/>
  <c r="K301" i="5"/>
  <c r="L301" i="5" s="1"/>
  <c r="K299" i="5"/>
  <c r="L299" i="5" s="1"/>
  <c r="K297" i="5"/>
  <c r="L297" i="5" s="1"/>
  <c r="K295" i="5"/>
  <c r="L295" i="5" s="1"/>
  <c r="K293" i="5"/>
  <c r="L293" i="5" s="1"/>
  <c r="K291" i="5"/>
  <c r="L291" i="5" s="1"/>
  <c r="K289" i="5"/>
  <c r="L289" i="5" s="1"/>
  <c r="K287" i="5"/>
  <c r="L287" i="5" s="1"/>
  <c r="K285" i="5"/>
  <c r="L285" i="5" s="1"/>
  <c r="K314" i="5"/>
  <c r="L314" i="5" s="1"/>
  <c r="K313" i="5"/>
  <c r="L313" i="5" s="1"/>
  <c r="K312" i="5"/>
  <c r="L312" i="5" s="1"/>
  <c r="K311" i="5"/>
  <c r="L311" i="5" s="1"/>
  <c r="K310" i="5"/>
  <c r="L310" i="5" s="1"/>
  <c r="K309" i="5"/>
  <c r="L309" i="5" s="1"/>
  <c r="K308" i="5"/>
  <c r="L308" i="5" s="1"/>
  <c r="K307" i="5"/>
  <c r="L307" i="5" s="1"/>
  <c r="K306" i="5"/>
  <c r="L306" i="5" s="1"/>
  <c r="K305" i="5"/>
  <c r="L305" i="5" s="1"/>
  <c r="K304" i="5"/>
  <c r="L304" i="5" s="1"/>
  <c r="K303" i="5"/>
  <c r="L303" i="5" s="1"/>
  <c r="K344" i="5"/>
  <c r="L344" i="5" s="1"/>
  <c r="K340" i="5"/>
  <c r="L340" i="5" s="1"/>
  <c r="K336" i="5"/>
  <c r="L336" i="5" s="1"/>
  <c r="K332" i="5"/>
  <c r="L332" i="5" s="1"/>
  <c r="K328" i="5"/>
  <c r="L328" i="5" s="1"/>
  <c r="K324" i="5"/>
  <c r="L324" i="5" s="1"/>
  <c r="K320" i="5"/>
  <c r="L320" i="5" s="1"/>
  <c r="K316" i="5"/>
  <c r="L316" i="5" s="1"/>
  <c r="K302" i="5"/>
  <c r="L302" i="5" s="1"/>
  <c r="K300" i="5"/>
  <c r="L300" i="5" s="1"/>
  <c r="K298" i="5"/>
  <c r="L298" i="5" s="1"/>
  <c r="K296" i="5"/>
  <c r="L296" i="5" s="1"/>
  <c r="K294" i="5"/>
  <c r="L294" i="5" s="1"/>
  <c r="K292" i="5"/>
  <c r="L292" i="5" s="1"/>
  <c r="K290" i="5"/>
  <c r="L290" i="5" s="1"/>
  <c r="K288" i="5"/>
  <c r="L288" i="5" s="1"/>
  <c r="K286" i="5"/>
  <c r="L286" i="5" s="1"/>
  <c r="K284" i="5"/>
  <c r="L284" i="5" s="1"/>
  <c r="K283" i="5"/>
  <c r="L283" i="5" s="1"/>
  <c r="K282" i="5"/>
  <c r="L282" i="5" s="1"/>
  <c r="K281" i="5"/>
  <c r="L281" i="5" s="1"/>
  <c r="K280" i="5"/>
  <c r="L280" i="5" s="1"/>
  <c r="K279" i="5"/>
  <c r="L279" i="5" s="1"/>
  <c r="K278" i="5"/>
  <c r="L278" i="5" s="1"/>
  <c r="K277" i="5"/>
  <c r="L277" i="5" s="1"/>
  <c r="K276" i="5"/>
  <c r="L276" i="5" s="1"/>
  <c r="K275" i="5"/>
  <c r="L275" i="5" s="1"/>
  <c r="K274" i="5"/>
  <c r="L274" i="5" s="1"/>
  <c r="K273" i="5"/>
  <c r="L273" i="5" s="1"/>
  <c r="K272" i="5"/>
  <c r="L272" i="5" s="1"/>
  <c r="K271" i="5"/>
  <c r="L271" i="5" s="1"/>
  <c r="K270" i="5"/>
  <c r="L270" i="5" s="1"/>
  <c r="K269" i="5"/>
  <c r="L269" i="5" s="1"/>
  <c r="K268" i="5"/>
  <c r="L268" i="5" s="1"/>
  <c r="K267" i="5"/>
  <c r="L267" i="5" s="1"/>
  <c r="K266" i="5"/>
  <c r="L266" i="5" s="1"/>
  <c r="K265" i="5"/>
  <c r="L265" i="5" s="1"/>
  <c r="K264" i="5"/>
  <c r="L264" i="5" s="1"/>
  <c r="K263" i="5"/>
  <c r="L263" i="5" s="1"/>
  <c r="K262" i="5"/>
  <c r="L262" i="5" s="1"/>
  <c r="K261" i="5"/>
  <c r="L261" i="5" s="1"/>
  <c r="K260" i="5"/>
  <c r="L260" i="5" s="1"/>
  <c r="K259" i="5"/>
  <c r="L259" i="5" s="1"/>
  <c r="K258" i="5"/>
  <c r="L258" i="5" s="1"/>
  <c r="K257" i="5"/>
  <c r="L257" i="5" s="1"/>
  <c r="K256" i="5"/>
  <c r="L256" i="5" s="1"/>
  <c r="K255" i="5"/>
  <c r="L255" i="5" s="1"/>
  <c r="K254" i="5"/>
  <c r="L254" i="5" s="1"/>
  <c r="K253" i="5"/>
  <c r="L253" i="5" s="1"/>
  <c r="K252" i="5"/>
  <c r="L252" i="5" s="1"/>
  <c r="K251" i="5"/>
  <c r="L251" i="5" s="1"/>
  <c r="K250" i="5"/>
  <c r="L250" i="5" s="1"/>
  <c r="K249" i="5"/>
  <c r="L249" i="5" s="1"/>
  <c r="K248" i="5"/>
  <c r="L248" i="5" s="1"/>
  <c r="K247" i="5"/>
  <c r="L247" i="5" s="1"/>
  <c r="K246" i="5"/>
  <c r="L246" i="5" s="1"/>
  <c r="K245" i="5"/>
  <c r="L245" i="5" s="1"/>
  <c r="K244" i="5"/>
  <c r="L244" i="5" s="1"/>
  <c r="K243" i="5"/>
  <c r="L243" i="5" s="1"/>
  <c r="K242" i="5"/>
  <c r="L242" i="5" s="1"/>
  <c r="K241" i="5"/>
  <c r="L241" i="5" s="1"/>
  <c r="K240" i="5"/>
  <c r="L240" i="5" s="1"/>
  <c r="K239" i="5"/>
  <c r="L239" i="5" s="1"/>
  <c r="K238" i="5"/>
  <c r="L238" i="5" s="1"/>
  <c r="K237" i="5"/>
  <c r="L237" i="5" s="1"/>
  <c r="K236" i="5"/>
  <c r="L236" i="5" s="1"/>
  <c r="K235" i="5"/>
  <c r="L235" i="5" s="1"/>
  <c r="K234" i="5"/>
  <c r="L234" i="5" s="1"/>
  <c r="K233" i="5"/>
  <c r="L233" i="5" s="1"/>
  <c r="K232" i="5"/>
  <c r="L232" i="5" s="1"/>
  <c r="K231" i="5"/>
  <c r="L231" i="5" s="1"/>
  <c r="K206" i="5"/>
  <c r="L206" i="5" s="1"/>
  <c r="K204" i="5"/>
  <c r="L204" i="5" s="1"/>
  <c r="K202" i="5"/>
  <c r="L202" i="5" s="1"/>
  <c r="K200" i="5"/>
  <c r="L200" i="5" s="1"/>
  <c r="K198" i="5"/>
  <c r="L198" i="5" s="1"/>
  <c r="K196" i="5"/>
  <c r="L196" i="5" s="1"/>
  <c r="K194" i="5"/>
  <c r="L194" i="5" s="1"/>
  <c r="K192" i="5"/>
  <c r="L192" i="5" s="1"/>
  <c r="K190" i="5"/>
  <c r="L190" i="5" s="1"/>
  <c r="K189" i="5"/>
  <c r="L189" i="5" s="1"/>
  <c r="K188" i="5"/>
  <c r="L188" i="5" s="1"/>
  <c r="K187" i="5"/>
  <c r="L187" i="5" s="1"/>
  <c r="K186" i="5"/>
  <c r="L186" i="5" s="1"/>
  <c r="K185" i="5"/>
  <c r="L185" i="5" s="1"/>
  <c r="K184" i="5"/>
  <c r="L184" i="5" s="1"/>
  <c r="K183" i="5"/>
  <c r="L183" i="5" s="1"/>
  <c r="K182" i="5"/>
  <c r="L182" i="5" s="1"/>
  <c r="K181" i="5"/>
  <c r="L181" i="5" s="1"/>
  <c r="K180" i="5"/>
  <c r="L180" i="5" s="1"/>
  <c r="K179" i="5"/>
  <c r="L179" i="5" s="1"/>
  <c r="K178" i="5"/>
  <c r="L178" i="5" s="1"/>
  <c r="K177" i="5"/>
  <c r="L177" i="5" s="1"/>
  <c r="K176" i="5"/>
  <c r="L176" i="5" s="1"/>
  <c r="K175" i="5"/>
  <c r="L175" i="5" s="1"/>
  <c r="K174" i="5"/>
  <c r="L174" i="5" s="1"/>
  <c r="K173" i="5"/>
  <c r="L173" i="5" s="1"/>
  <c r="K172" i="5"/>
  <c r="L172" i="5" s="1"/>
  <c r="K171" i="5"/>
  <c r="L171" i="5" s="1"/>
  <c r="K170" i="5"/>
  <c r="L170" i="5" s="1"/>
  <c r="K169" i="5"/>
  <c r="L169" i="5" s="1"/>
  <c r="K168" i="5"/>
  <c r="L168" i="5" s="1"/>
  <c r="K167" i="5"/>
  <c r="L167" i="5" s="1"/>
  <c r="K166" i="5"/>
  <c r="L166" i="5" s="1"/>
  <c r="K165" i="5"/>
  <c r="L165" i="5" s="1"/>
  <c r="K164" i="5"/>
  <c r="L164" i="5" s="1"/>
  <c r="K163" i="5"/>
  <c r="L163" i="5" s="1"/>
  <c r="K162" i="5"/>
  <c r="L162" i="5" s="1"/>
  <c r="K161" i="5"/>
  <c r="L161" i="5" s="1"/>
  <c r="K160" i="5"/>
  <c r="L160" i="5" s="1"/>
  <c r="K159" i="5"/>
  <c r="L159" i="5" s="1"/>
  <c r="K158" i="5"/>
  <c r="L158" i="5" s="1"/>
  <c r="K157" i="5"/>
  <c r="L157" i="5" s="1"/>
  <c r="K156" i="5"/>
  <c r="L156" i="5" s="1"/>
  <c r="K155" i="5"/>
  <c r="L155" i="5" s="1"/>
  <c r="K154" i="5"/>
  <c r="L154" i="5" s="1"/>
  <c r="K153" i="5"/>
  <c r="L153" i="5" s="1"/>
  <c r="K152" i="5"/>
  <c r="L152" i="5" s="1"/>
  <c r="K151" i="5"/>
  <c r="L151" i="5" s="1"/>
  <c r="K150" i="5"/>
  <c r="L150" i="5" s="1"/>
  <c r="K149" i="5"/>
  <c r="L149" i="5" s="1"/>
  <c r="K148" i="5"/>
  <c r="L148" i="5" s="1"/>
  <c r="K147" i="5"/>
  <c r="L147" i="5" s="1"/>
  <c r="K146" i="5"/>
  <c r="L146" i="5" s="1"/>
  <c r="K145" i="5"/>
  <c r="L145" i="5" s="1"/>
  <c r="K144" i="5"/>
  <c r="L144" i="5" s="1"/>
  <c r="K143" i="5"/>
  <c r="L143" i="5" s="1"/>
  <c r="K142" i="5"/>
  <c r="L142" i="5" s="1"/>
  <c r="K141" i="5"/>
  <c r="L141" i="5" s="1"/>
  <c r="K140" i="5"/>
  <c r="L140" i="5" s="1"/>
  <c r="K139" i="5"/>
  <c r="L139" i="5" s="1"/>
  <c r="K138" i="5"/>
  <c r="L138" i="5" s="1"/>
  <c r="K137" i="5"/>
  <c r="L137" i="5" s="1"/>
  <c r="K136" i="5"/>
  <c r="L136" i="5" s="1"/>
  <c r="K135" i="5"/>
  <c r="L135" i="5" s="1"/>
  <c r="K134" i="5"/>
  <c r="L134" i="5" s="1"/>
  <c r="K133" i="5"/>
  <c r="L133" i="5" s="1"/>
  <c r="K132" i="5"/>
  <c r="L132" i="5" s="1"/>
  <c r="K131" i="5"/>
  <c r="L131" i="5" s="1"/>
  <c r="K130" i="5"/>
  <c r="L130" i="5" s="1"/>
  <c r="K129" i="5"/>
  <c r="L129" i="5" s="1"/>
  <c r="K128" i="5"/>
  <c r="L128" i="5" s="1"/>
  <c r="K127" i="5"/>
  <c r="L127" i="5" s="1"/>
  <c r="K126" i="5"/>
  <c r="L126" i="5" s="1"/>
  <c r="K125" i="5"/>
  <c r="L125" i="5" s="1"/>
  <c r="K124" i="5"/>
  <c r="L124" i="5" s="1"/>
  <c r="K123" i="5"/>
  <c r="L123" i="5" s="1"/>
  <c r="K122" i="5"/>
  <c r="L122" i="5" s="1"/>
  <c r="K121" i="5"/>
  <c r="L121" i="5" s="1"/>
  <c r="K120" i="5"/>
  <c r="L120" i="5" s="1"/>
  <c r="K119" i="5"/>
  <c r="L119" i="5" s="1"/>
  <c r="K118" i="5"/>
  <c r="L118" i="5" s="1"/>
  <c r="K117" i="5"/>
  <c r="L117" i="5" s="1"/>
  <c r="K116" i="5"/>
  <c r="L116" i="5" s="1"/>
  <c r="K115" i="5"/>
  <c r="L115" i="5" s="1"/>
  <c r="K114" i="5"/>
  <c r="L114" i="5" s="1"/>
  <c r="K113" i="5"/>
  <c r="L113" i="5" s="1"/>
  <c r="K112" i="5"/>
  <c r="L112" i="5" s="1"/>
  <c r="K111" i="5"/>
  <c r="L111" i="5" s="1"/>
  <c r="K110" i="5"/>
  <c r="L110" i="5" s="1"/>
  <c r="K109" i="5"/>
  <c r="L109" i="5" s="1"/>
  <c r="K108" i="5"/>
  <c r="L108" i="5" s="1"/>
  <c r="K107" i="5"/>
  <c r="L107" i="5" s="1"/>
  <c r="K106" i="5"/>
  <c r="L106" i="5" s="1"/>
  <c r="K105" i="5"/>
  <c r="L105" i="5" s="1"/>
  <c r="K104" i="5"/>
  <c r="L104" i="5" s="1"/>
  <c r="K103" i="5"/>
  <c r="L103" i="5" s="1"/>
  <c r="K102" i="5"/>
  <c r="L102" i="5" s="1"/>
  <c r="K101" i="5"/>
  <c r="L101" i="5" s="1"/>
  <c r="K100" i="5"/>
  <c r="L100" i="5" s="1"/>
  <c r="K99" i="5"/>
  <c r="L99" i="5" s="1"/>
  <c r="K98" i="5"/>
  <c r="L98" i="5" s="1"/>
  <c r="K97" i="5"/>
  <c r="L97" i="5" s="1"/>
  <c r="K96" i="5"/>
  <c r="L96" i="5" s="1"/>
  <c r="K95" i="5"/>
  <c r="L95" i="5" s="1"/>
  <c r="K94" i="5"/>
  <c r="L94" i="5" s="1"/>
  <c r="K93" i="5"/>
  <c r="L93" i="5" s="1"/>
  <c r="K92" i="5"/>
  <c r="L92" i="5" s="1"/>
  <c r="K91" i="5"/>
  <c r="L91" i="5" s="1"/>
  <c r="K90" i="5"/>
  <c r="L90" i="5" s="1"/>
  <c r="K89" i="5"/>
  <c r="L89" i="5" s="1"/>
  <c r="K88" i="5"/>
  <c r="L88" i="5" s="1"/>
  <c r="K87" i="5"/>
  <c r="L87" i="5" s="1"/>
  <c r="K86" i="5"/>
  <c r="L86" i="5" s="1"/>
  <c r="K85" i="5"/>
  <c r="L85" i="5" s="1"/>
  <c r="K84" i="5"/>
  <c r="L84" i="5" s="1"/>
  <c r="K83" i="5"/>
  <c r="L83" i="5" s="1"/>
  <c r="K82" i="5"/>
  <c r="L82" i="5" s="1"/>
  <c r="K81" i="5"/>
  <c r="L81" i="5" s="1"/>
  <c r="K80" i="5"/>
  <c r="L80" i="5" s="1"/>
  <c r="K79" i="5"/>
  <c r="L79" i="5" s="1"/>
  <c r="K78" i="5"/>
  <c r="L78" i="5" s="1"/>
  <c r="K77" i="5"/>
  <c r="L77" i="5" s="1"/>
  <c r="K76" i="5"/>
  <c r="L76" i="5" s="1"/>
  <c r="K75" i="5"/>
  <c r="L75" i="5" s="1"/>
  <c r="K74" i="5"/>
  <c r="L74" i="5" s="1"/>
  <c r="K73" i="5"/>
  <c r="L73" i="5" s="1"/>
  <c r="K72" i="5"/>
  <c r="L72" i="5" s="1"/>
  <c r="K71" i="5"/>
  <c r="L71" i="5" s="1"/>
  <c r="K70" i="5"/>
  <c r="L70" i="5" s="1"/>
  <c r="K69" i="5"/>
  <c r="L69" i="5" s="1"/>
  <c r="K68" i="5"/>
  <c r="L68" i="5" s="1"/>
  <c r="K67" i="5"/>
  <c r="L67" i="5" s="1"/>
  <c r="K66" i="5"/>
  <c r="L66" i="5" s="1"/>
  <c r="K65" i="5"/>
  <c r="L65" i="5" s="1"/>
  <c r="K64" i="5"/>
  <c r="L64" i="5" s="1"/>
  <c r="K63" i="5"/>
  <c r="L63" i="5" s="1"/>
  <c r="K62" i="5"/>
  <c r="L62" i="5" s="1"/>
  <c r="K61" i="5"/>
  <c r="L61" i="5" s="1"/>
  <c r="K60" i="5"/>
  <c r="L60" i="5" s="1"/>
  <c r="K59" i="5"/>
  <c r="L59" i="5" s="1"/>
  <c r="K58" i="5"/>
  <c r="L58" i="5" s="1"/>
  <c r="K57" i="5"/>
  <c r="L57" i="5" s="1"/>
  <c r="K56" i="5"/>
  <c r="L56" i="5" s="1"/>
  <c r="K55" i="5"/>
  <c r="L55" i="5" s="1"/>
  <c r="K54" i="5"/>
  <c r="L54" i="5" s="1"/>
  <c r="K53" i="5"/>
  <c r="L53" i="5" s="1"/>
  <c r="K52" i="5"/>
  <c r="L52" i="5" s="1"/>
  <c r="K51" i="5"/>
  <c r="L51" i="5" s="1"/>
  <c r="K50" i="5"/>
  <c r="L50" i="5" s="1"/>
  <c r="K49" i="5"/>
  <c r="L49" i="5" s="1"/>
  <c r="K48" i="5"/>
  <c r="L48" i="5" s="1"/>
  <c r="K47" i="5"/>
  <c r="L47" i="5" s="1"/>
  <c r="K46" i="5"/>
  <c r="L46" i="5" s="1"/>
  <c r="K45" i="5"/>
  <c r="L45" i="5" s="1"/>
  <c r="K44" i="5"/>
  <c r="L44" i="5" s="1"/>
  <c r="K43" i="5"/>
  <c r="L43" i="5" s="1"/>
  <c r="K42" i="5"/>
  <c r="L42" i="5" s="1"/>
  <c r="K41" i="5"/>
  <c r="L41" i="5" s="1"/>
  <c r="K230" i="5"/>
  <c r="L230" i="5" s="1"/>
  <c r="K229" i="5"/>
  <c r="L229" i="5" s="1"/>
  <c r="K228" i="5"/>
  <c r="L228" i="5" s="1"/>
  <c r="K227" i="5"/>
  <c r="L227" i="5" s="1"/>
  <c r="K226" i="5"/>
  <c r="L226" i="5" s="1"/>
  <c r="K225" i="5"/>
  <c r="L225" i="5" s="1"/>
  <c r="K224" i="5"/>
  <c r="L224" i="5" s="1"/>
  <c r="K223" i="5"/>
  <c r="L223" i="5" s="1"/>
  <c r="K222" i="5"/>
  <c r="L222" i="5" s="1"/>
  <c r="K221" i="5"/>
  <c r="L221" i="5" s="1"/>
  <c r="K220" i="5"/>
  <c r="L220" i="5" s="1"/>
  <c r="K219" i="5"/>
  <c r="L219" i="5" s="1"/>
  <c r="K218" i="5"/>
  <c r="L218" i="5" s="1"/>
  <c r="K217" i="5"/>
  <c r="L217" i="5" s="1"/>
  <c r="K216" i="5"/>
  <c r="L216" i="5" s="1"/>
  <c r="K215" i="5"/>
  <c r="L215" i="5" s="1"/>
  <c r="K214" i="5"/>
  <c r="L214" i="5" s="1"/>
  <c r="K213" i="5"/>
  <c r="L213" i="5" s="1"/>
  <c r="K212" i="5"/>
  <c r="L212" i="5" s="1"/>
  <c r="K211" i="5"/>
  <c r="L211" i="5" s="1"/>
  <c r="K210" i="5"/>
  <c r="L210" i="5" s="1"/>
  <c r="K209" i="5"/>
  <c r="L209" i="5" s="1"/>
  <c r="K208" i="5"/>
  <c r="L208" i="5" s="1"/>
  <c r="K207" i="5"/>
  <c r="L207" i="5" s="1"/>
  <c r="K205" i="5"/>
  <c r="L205" i="5" s="1"/>
  <c r="K203" i="5"/>
  <c r="L203" i="5" s="1"/>
  <c r="K201" i="5"/>
  <c r="L201" i="5" s="1"/>
  <c r="K199" i="5"/>
  <c r="L199" i="5" s="1"/>
  <c r="K197" i="5"/>
  <c r="L197" i="5" s="1"/>
  <c r="K195" i="5"/>
  <c r="L195" i="5" s="1"/>
  <c r="K40" i="5"/>
  <c r="L40" i="5" s="1"/>
  <c r="K39" i="5"/>
  <c r="L39" i="5" s="1"/>
  <c r="K38" i="5"/>
  <c r="L38" i="5" s="1"/>
  <c r="K37" i="5"/>
  <c r="L37" i="5" s="1"/>
  <c r="K36" i="5"/>
  <c r="L36" i="5" s="1"/>
  <c r="K35" i="5"/>
  <c r="L35" i="5" s="1"/>
  <c r="K34" i="5"/>
  <c r="L34" i="5" s="1"/>
  <c r="K33" i="5"/>
  <c r="L33" i="5" s="1"/>
  <c r="K32" i="5"/>
  <c r="L32" i="5" s="1"/>
  <c r="K31" i="5"/>
  <c r="L31" i="5" s="1"/>
  <c r="K30" i="5"/>
  <c r="L30" i="5" s="1"/>
  <c r="K29" i="5"/>
  <c r="L29" i="5" s="1"/>
  <c r="K28" i="5"/>
  <c r="L28" i="5" s="1"/>
  <c r="K27" i="5"/>
  <c r="L27" i="5" s="1"/>
  <c r="K26" i="5"/>
  <c r="L26" i="5" s="1"/>
  <c r="K25" i="5"/>
  <c r="L25" i="5" s="1"/>
  <c r="K24" i="5"/>
  <c r="L24" i="5" s="1"/>
  <c r="K23" i="5"/>
  <c r="L23" i="5" s="1"/>
  <c r="K22" i="5"/>
  <c r="L22" i="5" s="1"/>
  <c r="K21" i="5"/>
  <c r="L21" i="5" s="1"/>
  <c r="K20" i="5"/>
  <c r="L20" i="5" s="1"/>
  <c r="K193" i="5"/>
  <c r="L193" i="5" s="1"/>
  <c r="K191" i="5"/>
  <c r="L191" i="5" s="1"/>
  <c r="H21" i="5"/>
  <c r="I21" i="5" s="1"/>
  <c r="N29" i="5"/>
  <c r="O29" i="5" s="1"/>
  <c r="N30" i="5"/>
  <c r="O30" i="5" s="1"/>
  <c r="N31" i="5"/>
  <c r="O31" i="5" s="1"/>
  <c r="N32" i="5"/>
  <c r="O32" i="5" s="1"/>
  <c r="N33" i="5"/>
  <c r="O33" i="5" s="1"/>
  <c r="N34" i="5"/>
  <c r="O34" i="5" s="1"/>
  <c r="N35" i="5"/>
  <c r="O35" i="5" s="1"/>
  <c r="N36" i="5"/>
  <c r="O36" i="5" s="1"/>
  <c r="N37" i="5"/>
  <c r="O37" i="5" s="1"/>
  <c r="N38" i="5"/>
  <c r="O38" i="5" s="1"/>
  <c r="N39" i="5"/>
  <c r="O39" i="5" s="1"/>
  <c r="N40" i="5"/>
  <c r="O40" i="5" s="1"/>
  <c r="N44" i="5"/>
  <c r="O44" i="5" s="1"/>
  <c r="N46" i="5"/>
  <c r="O46" i="5" s="1"/>
  <c r="N48" i="5"/>
  <c r="O48" i="5" s="1"/>
  <c r="N51" i="5"/>
  <c r="O51" i="5" s="1"/>
  <c r="N54" i="5"/>
  <c r="O54" i="5" s="1"/>
  <c r="N56" i="5"/>
  <c r="O56" i="5" s="1"/>
  <c r="N59" i="5"/>
  <c r="O59" i="5" s="1"/>
  <c r="N61" i="5"/>
  <c r="O61" i="5" s="1"/>
  <c r="N63" i="5"/>
  <c r="O63" i="5" s="1"/>
  <c r="N65" i="5"/>
  <c r="O65" i="5" s="1"/>
  <c r="N67" i="5"/>
  <c r="O67" i="5" s="1"/>
  <c r="N70" i="5"/>
  <c r="O70" i="5" s="1"/>
  <c r="N73" i="5"/>
  <c r="O73" i="5" s="1"/>
  <c r="N75" i="5"/>
  <c r="O75" i="5" s="1"/>
  <c r="N77" i="5"/>
  <c r="O77" i="5" s="1"/>
  <c r="N79" i="5"/>
  <c r="O79" i="5" s="1"/>
  <c r="N81" i="5"/>
  <c r="O81" i="5" s="1"/>
  <c r="N83" i="5"/>
  <c r="O83" i="5" s="1"/>
  <c r="N85" i="5"/>
  <c r="O85" i="5" s="1"/>
  <c r="N87" i="5"/>
  <c r="O87" i="5" s="1"/>
  <c r="N89" i="5"/>
  <c r="O89" i="5" s="1"/>
  <c r="N91" i="5"/>
  <c r="O91" i="5" s="1"/>
  <c r="N93" i="5"/>
  <c r="O93" i="5" s="1"/>
  <c r="N95" i="5"/>
  <c r="O95" i="5" s="1"/>
  <c r="N96" i="5"/>
  <c r="O96" i="5" s="1"/>
  <c r="N97" i="5"/>
  <c r="O97" i="5" s="1"/>
  <c r="N99" i="5"/>
  <c r="O99" i="5" s="1"/>
  <c r="N100" i="5"/>
  <c r="O100" i="5" s="1"/>
  <c r="N101" i="5"/>
  <c r="O101" i="5" s="1"/>
  <c r="N102" i="5"/>
  <c r="O102" i="5" s="1"/>
  <c r="N103" i="5"/>
  <c r="O103" i="5" s="1"/>
  <c r="N104" i="5"/>
  <c r="O104" i="5" s="1"/>
  <c r="N105" i="5"/>
  <c r="O105" i="5" s="1"/>
  <c r="N106" i="5"/>
  <c r="O106" i="5" s="1"/>
  <c r="N107" i="5"/>
  <c r="O107" i="5" s="1"/>
  <c r="N108" i="5"/>
  <c r="O108" i="5" s="1"/>
  <c r="N109" i="5"/>
  <c r="O109" i="5" s="1"/>
  <c r="N110" i="5"/>
  <c r="O110" i="5" s="1"/>
  <c r="N111" i="5"/>
  <c r="O111" i="5" s="1"/>
  <c r="N113" i="5"/>
  <c r="O113" i="5" s="1"/>
  <c r="N114" i="5"/>
  <c r="O114" i="5" s="1"/>
  <c r="N115" i="5"/>
  <c r="O115" i="5" s="1"/>
  <c r="N116" i="5"/>
  <c r="O116" i="5" s="1"/>
  <c r="N117" i="5"/>
  <c r="O117" i="5" s="1"/>
  <c r="N118" i="5"/>
  <c r="O118" i="5" s="1"/>
  <c r="N119" i="5"/>
  <c r="O119" i="5" s="1"/>
  <c r="N120" i="5"/>
  <c r="O120" i="5" s="1"/>
  <c r="N121" i="5"/>
  <c r="O121" i="5" s="1"/>
  <c r="N122" i="5"/>
  <c r="O122" i="5" s="1"/>
  <c r="N123" i="5"/>
  <c r="O123" i="5" s="1"/>
  <c r="N124" i="5"/>
  <c r="O124" i="5" s="1"/>
  <c r="N125" i="5"/>
  <c r="O125" i="5" s="1"/>
  <c r="N126" i="5"/>
  <c r="O126" i="5" s="1"/>
  <c r="N127" i="5"/>
  <c r="O127" i="5" s="1"/>
  <c r="N128" i="5"/>
  <c r="O128" i="5" s="1"/>
  <c r="N129" i="5"/>
  <c r="O129" i="5" s="1"/>
  <c r="N130" i="5"/>
  <c r="O130" i="5" s="1"/>
  <c r="N131" i="5"/>
  <c r="O131" i="5" s="1"/>
  <c r="N132" i="5"/>
  <c r="O132" i="5" s="1"/>
  <c r="N133" i="5"/>
  <c r="O133" i="5" s="1"/>
  <c r="N134" i="5"/>
  <c r="O134" i="5" s="1"/>
  <c r="N135" i="5"/>
  <c r="O135" i="5" s="1"/>
  <c r="N136" i="5"/>
  <c r="O136" i="5" s="1"/>
  <c r="N137" i="5"/>
  <c r="O137" i="5" s="1"/>
  <c r="N138" i="5"/>
  <c r="O138" i="5" s="1"/>
  <c r="N139" i="5"/>
  <c r="O139" i="5" s="1"/>
  <c r="N140" i="5"/>
  <c r="O140" i="5" s="1"/>
  <c r="N141" i="5"/>
  <c r="O141" i="5" s="1"/>
  <c r="N142" i="5"/>
  <c r="O142" i="5" s="1"/>
  <c r="N143" i="5"/>
  <c r="O143" i="5" s="1"/>
  <c r="N144" i="5"/>
  <c r="O144" i="5" s="1"/>
  <c r="N145" i="5"/>
  <c r="O145" i="5" s="1"/>
  <c r="N146" i="5"/>
  <c r="O146" i="5" s="1"/>
  <c r="N147" i="5"/>
  <c r="O147" i="5" s="1"/>
  <c r="N148" i="5"/>
  <c r="O148" i="5" s="1"/>
  <c r="N149" i="5"/>
  <c r="O149" i="5" s="1"/>
  <c r="N150" i="5"/>
  <c r="O150" i="5" s="1"/>
  <c r="N151" i="5"/>
  <c r="O151" i="5" s="1"/>
  <c r="N152" i="5"/>
  <c r="O152" i="5" s="1"/>
  <c r="N153" i="5"/>
  <c r="O153" i="5" s="1"/>
  <c r="N154" i="5"/>
  <c r="O154" i="5" s="1"/>
  <c r="N155" i="5"/>
  <c r="O155" i="5" s="1"/>
  <c r="N156" i="5"/>
  <c r="O156" i="5" s="1"/>
  <c r="N157" i="5"/>
  <c r="O157" i="5" s="1"/>
  <c r="N158" i="5"/>
  <c r="O158" i="5" s="1"/>
  <c r="N159" i="5"/>
  <c r="O159" i="5" s="1"/>
  <c r="N160" i="5"/>
  <c r="O160" i="5" s="1"/>
  <c r="N161" i="5"/>
  <c r="O161" i="5" s="1"/>
  <c r="N162" i="5"/>
  <c r="O162" i="5" s="1"/>
  <c r="N163" i="5"/>
  <c r="O163" i="5" s="1"/>
  <c r="N164" i="5"/>
  <c r="O164" i="5" s="1"/>
  <c r="N165" i="5"/>
  <c r="O165" i="5" s="1"/>
  <c r="N166" i="5"/>
  <c r="O166" i="5" s="1"/>
  <c r="N167" i="5"/>
  <c r="O167" i="5" s="1"/>
  <c r="N168" i="5"/>
  <c r="O168" i="5" s="1"/>
  <c r="N169" i="5"/>
  <c r="O169" i="5" s="1"/>
  <c r="N170" i="5"/>
  <c r="O170" i="5" s="1"/>
  <c r="N171" i="5"/>
  <c r="O171" i="5" s="1"/>
  <c r="N172" i="5"/>
  <c r="O172" i="5" s="1"/>
  <c r="N173" i="5"/>
  <c r="O173" i="5" s="1"/>
  <c r="N174" i="5"/>
  <c r="O174" i="5" s="1"/>
  <c r="N175" i="5"/>
  <c r="O175" i="5" s="1"/>
  <c r="N176" i="5"/>
  <c r="O176" i="5" s="1"/>
  <c r="N177" i="5"/>
  <c r="O177" i="5" s="1"/>
  <c r="N178" i="5"/>
  <c r="O178" i="5" s="1"/>
  <c r="N179" i="5"/>
  <c r="O179" i="5" s="1"/>
  <c r="N180" i="5"/>
  <c r="O180" i="5" s="1"/>
  <c r="N181" i="5"/>
  <c r="O181" i="5" s="1"/>
  <c r="N182" i="5"/>
  <c r="O182" i="5" s="1"/>
  <c r="N183" i="5"/>
  <c r="O183" i="5" s="1"/>
  <c r="N184" i="5"/>
  <c r="O184" i="5" s="1"/>
  <c r="N185" i="5"/>
  <c r="O185" i="5" s="1"/>
  <c r="N186" i="5"/>
  <c r="O186" i="5" s="1"/>
  <c r="N187" i="5"/>
  <c r="O187" i="5" s="1"/>
  <c r="N188" i="5"/>
  <c r="O188" i="5" s="1"/>
  <c r="N691" i="5"/>
  <c r="O691" i="5" s="1"/>
  <c r="N690" i="5"/>
  <c r="O690" i="5" s="1"/>
  <c r="N689" i="5"/>
  <c r="O689" i="5" s="1"/>
  <c r="N688" i="5"/>
  <c r="O688" i="5" s="1"/>
  <c r="N687" i="5"/>
  <c r="O687" i="5" s="1"/>
  <c r="N686" i="5"/>
  <c r="O686" i="5" s="1"/>
  <c r="N685" i="5"/>
  <c r="O685" i="5" s="1"/>
  <c r="N684" i="5"/>
  <c r="O684" i="5" s="1"/>
  <c r="N683" i="5"/>
  <c r="O683" i="5" s="1"/>
  <c r="N682" i="5"/>
  <c r="O682" i="5" s="1"/>
  <c r="N680" i="5"/>
  <c r="O680" i="5" s="1"/>
  <c r="N678" i="5"/>
  <c r="O678" i="5" s="1"/>
  <c r="N676" i="5"/>
  <c r="O676" i="5" s="1"/>
  <c r="N674" i="5"/>
  <c r="O674" i="5" s="1"/>
  <c r="N672" i="5"/>
  <c r="O672" i="5" s="1"/>
  <c r="N670" i="5"/>
  <c r="O670" i="5" s="1"/>
  <c r="N668" i="5"/>
  <c r="O668" i="5" s="1"/>
  <c r="N666" i="5"/>
  <c r="O666" i="5" s="1"/>
  <c r="N664" i="5"/>
  <c r="O664" i="5" s="1"/>
  <c r="N662" i="5"/>
  <c r="O662" i="5" s="1"/>
  <c r="N660" i="5"/>
  <c r="O660" i="5" s="1"/>
  <c r="N658" i="5"/>
  <c r="O658" i="5" s="1"/>
  <c r="N656" i="5"/>
  <c r="O656" i="5" s="1"/>
  <c r="N654" i="5"/>
  <c r="O654" i="5" s="1"/>
  <c r="N652" i="5"/>
  <c r="O652" i="5" s="1"/>
  <c r="N650" i="5"/>
  <c r="O650" i="5" s="1"/>
  <c r="N649" i="5"/>
  <c r="O649" i="5" s="1"/>
  <c r="N681" i="5"/>
  <c r="O681" i="5" s="1"/>
  <c r="N677" i="5"/>
  <c r="O677" i="5" s="1"/>
  <c r="N673" i="5"/>
  <c r="O673" i="5" s="1"/>
  <c r="N669" i="5"/>
  <c r="O669" i="5" s="1"/>
  <c r="N665" i="5"/>
  <c r="O665" i="5" s="1"/>
  <c r="N661" i="5"/>
  <c r="O661" i="5" s="1"/>
  <c r="N657" i="5"/>
  <c r="O657" i="5" s="1"/>
  <c r="N653" i="5"/>
  <c r="O653" i="5" s="1"/>
  <c r="N647" i="5"/>
  <c r="O647" i="5" s="1"/>
  <c r="N645" i="5"/>
  <c r="O645" i="5" s="1"/>
  <c r="N643" i="5"/>
  <c r="O643" i="5" s="1"/>
  <c r="N641" i="5"/>
  <c r="O641" i="5" s="1"/>
  <c r="N639" i="5"/>
  <c r="O639" i="5" s="1"/>
  <c r="N637" i="5"/>
  <c r="O637" i="5" s="1"/>
  <c r="N635" i="5"/>
  <c r="O635" i="5" s="1"/>
  <c r="N633" i="5"/>
  <c r="O633" i="5" s="1"/>
  <c r="N631" i="5"/>
  <c r="O631" i="5" s="1"/>
  <c r="N629" i="5"/>
  <c r="O629" i="5" s="1"/>
  <c r="N627" i="5"/>
  <c r="O627" i="5" s="1"/>
  <c r="N625" i="5"/>
  <c r="O625" i="5" s="1"/>
  <c r="N623" i="5"/>
  <c r="O623" i="5" s="1"/>
  <c r="N621" i="5"/>
  <c r="O621" i="5" s="1"/>
  <c r="N619" i="5"/>
  <c r="O619" i="5" s="1"/>
  <c r="N617" i="5"/>
  <c r="O617" i="5" s="1"/>
  <c r="N615" i="5"/>
  <c r="O615" i="5" s="1"/>
  <c r="N613" i="5"/>
  <c r="O613" i="5" s="1"/>
  <c r="N671" i="5"/>
  <c r="O671" i="5" s="1"/>
  <c r="N655" i="5"/>
  <c r="O655" i="5" s="1"/>
  <c r="N644" i="5"/>
  <c r="O644" i="5" s="1"/>
  <c r="N634" i="5"/>
  <c r="O634" i="5" s="1"/>
  <c r="N630" i="5"/>
  <c r="O630" i="5" s="1"/>
  <c r="N626" i="5"/>
  <c r="O626" i="5" s="1"/>
  <c r="N622" i="5"/>
  <c r="O622" i="5" s="1"/>
  <c r="N618" i="5"/>
  <c r="O618" i="5" s="1"/>
  <c r="N614" i="5"/>
  <c r="O614" i="5" s="1"/>
  <c r="N608" i="5"/>
  <c r="O608" i="5" s="1"/>
  <c r="N607" i="5"/>
  <c r="O607" i="5" s="1"/>
  <c r="N602" i="5"/>
  <c r="O602" i="5" s="1"/>
  <c r="N600" i="5"/>
  <c r="O600" i="5" s="1"/>
  <c r="N598" i="5"/>
  <c r="O598" i="5" s="1"/>
  <c r="N596" i="5"/>
  <c r="O596" i="5" s="1"/>
  <c r="N594" i="5"/>
  <c r="O594" i="5" s="1"/>
  <c r="N593" i="5"/>
  <c r="O593" i="5" s="1"/>
  <c r="N592" i="5"/>
  <c r="O592" i="5" s="1"/>
  <c r="N591" i="5"/>
  <c r="O591" i="5" s="1"/>
  <c r="N590" i="5"/>
  <c r="O590" i="5" s="1"/>
  <c r="N589" i="5"/>
  <c r="O589" i="5" s="1"/>
  <c r="N588" i="5"/>
  <c r="O588" i="5" s="1"/>
  <c r="N587" i="5"/>
  <c r="O587" i="5" s="1"/>
  <c r="N586" i="5"/>
  <c r="O586" i="5" s="1"/>
  <c r="N585" i="5"/>
  <c r="O585" i="5" s="1"/>
  <c r="N584" i="5"/>
  <c r="O584" i="5" s="1"/>
  <c r="N583" i="5"/>
  <c r="O583" i="5" s="1"/>
  <c r="N582" i="5"/>
  <c r="O582" i="5" s="1"/>
  <c r="N581" i="5"/>
  <c r="O581" i="5" s="1"/>
  <c r="N580" i="5"/>
  <c r="O580" i="5" s="1"/>
  <c r="N579" i="5"/>
  <c r="O579" i="5" s="1"/>
  <c r="N578" i="5"/>
  <c r="O578" i="5" s="1"/>
  <c r="N577" i="5"/>
  <c r="O577" i="5" s="1"/>
  <c r="N576" i="5"/>
  <c r="O576" i="5" s="1"/>
  <c r="N575" i="5"/>
  <c r="O575" i="5" s="1"/>
  <c r="N574" i="5"/>
  <c r="O574" i="5" s="1"/>
  <c r="N573" i="5"/>
  <c r="O573" i="5" s="1"/>
  <c r="N572" i="5"/>
  <c r="O572" i="5" s="1"/>
  <c r="N571" i="5"/>
  <c r="O571" i="5" s="1"/>
  <c r="N570" i="5"/>
  <c r="O570" i="5" s="1"/>
  <c r="N569" i="5"/>
  <c r="O569" i="5" s="1"/>
  <c r="N568" i="5"/>
  <c r="O568" i="5" s="1"/>
  <c r="N567" i="5"/>
  <c r="O567" i="5" s="1"/>
  <c r="N566" i="5"/>
  <c r="O566" i="5" s="1"/>
  <c r="N565" i="5"/>
  <c r="O565" i="5" s="1"/>
  <c r="N564" i="5"/>
  <c r="O564" i="5" s="1"/>
  <c r="N563" i="5"/>
  <c r="O563" i="5" s="1"/>
  <c r="N562" i="5"/>
  <c r="O562" i="5" s="1"/>
  <c r="N561" i="5"/>
  <c r="O561" i="5" s="1"/>
  <c r="N560" i="5"/>
  <c r="O560" i="5" s="1"/>
  <c r="N559" i="5"/>
  <c r="O559" i="5" s="1"/>
  <c r="N558" i="5"/>
  <c r="O558" i="5" s="1"/>
  <c r="N557" i="5"/>
  <c r="O557" i="5" s="1"/>
  <c r="N556" i="5"/>
  <c r="O556" i="5" s="1"/>
  <c r="N555" i="5"/>
  <c r="O555" i="5" s="1"/>
  <c r="N554" i="5"/>
  <c r="O554" i="5" s="1"/>
  <c r="N553" i="5"/>
  <c r="O553" i="5" s="1"/>
  <c r="N552" i="5"/>
  <c r="O552" i="5" s="1"/>
  <c r="N551" i="5"/>
  <c r="O551" i="5" s="1"/>
  <c r="N550" i="5"/>
  <c r="O550" i="5" s="1"/>
  <c r="N549" i="5"/>
  <c r="O549" i="5" s="1"/>
  <c r="N548" i="5"/>
  <c r="O548" i="5" s="1"/>
  <c r="N547" i="5"/>
  <c r="O547" i="5" s="1"/>
  <c r="N546" i="5"/>
  <c r="O546" i="5" s="1"/>
  <c r="N545" i="5"/>
  <c r="O545" i="5" s="1"/>
  <c r="N544" i="5"/>
  <c r="O544" i="5" s="1"/>
  <c r="N543" i="5"/>
  <c r="O543" i="5" s="1"/>
  <c r="N542" i="5"/>
  <c r="O542" i="5" s="1"/>
  <c r="N541" i="5"/>
  <c r="O541" i="5" s="1"/>
  <c r="N540" i="5"/>
  <c r="O540" i="5" s="1"/>
  <c r="N539" i="5"/>
  <c r="O539" i="5" s="1"/>
  <c r="N538" i="5"/>
  <c r="O538" i="5" s="1"/>
  <c r="N537" i="5"/>
  <c r="O537" i="5" s="1"/>
  <c r="N536" i="5"/>
  <c r="O536" i="5" s="1"/>
  <c r="N535" i="5"/>
  <c r="O535" i="5" s="1"/>
  <c r="N534" i="5"/>
  <c r="O534" i="5" s="1"/>
  <c r="N533" i="5"/>
  <c r="O533" i="5" s="1"/>
  <c r="N532" i="5"/>
  <c r="O532" i="5" s="1"/>
  <c r="N531" i="5"/>
  <c r="O531" i="5" s="1"/>
  <c r="N530" i="5"/>
  <c r="O530" i="5" s="1"/>
  <c r="N529" i="5"/>
  <c r="O529" i="5" s="1"/>
  <c r="N528" i="5"/>
  <c r="O528" i="5" s="1"/>
  <c r="N527" i="5"/>
  <c r="O527" i="5" s="1"/>
  <c r="N526" i="5"/>
  <c r="O526" i="5" s="1"/>
  <c r="N525" i="5"/>
  <c r="O525" i="5" s="1"/>
  <c r="N524" i="5"/>
  <c r="O524" i="5" s="1"/>
  <c r="N523" i="5"/>
  <c r="O523" i="5" s="1"/>
  <c r="N675" i="5"/>
  <c r="O675" i="5" s="1"/>
  <c r="N659" i="5"/>
  <c r="O659" i="5" s="1"/>
  <c r="N646" i="5"/>
  <c r="O646" i="5" s="1"/>
  <c r="N638" i="5"/>
  <c r="O638" i="5" s="1"/>
  <c r="N606" i="5"/>
  <c r="O606" i="5" s="1"/>
  <c r="N605" i="5"/>
  <c r="O605" i="5" s="1"/>
  <c r="N679" i="5"/>
  <c r="O679" i="5" s="1"/>
  <c r="N663" i="5"/>
  <c r="O663" i="5" s="1"/>
  <c r="N648" i="5"/>
  <c r="O648" i="5" s="1"/>
  <c r="N640" i="5"/>
  <c r="O640" i="5" s="1"/>
  <c r="N636" i="5"/>
  <c r="O636" i="5" s="1"/>
  <c r="N632" i="5"/>
  <c r="O632" i="5" s="1"/>
  <c r="N628" i="5"/>
  <c r="O628" i="5" s="1"/>
  <c r="N624" i="5"/>
  <c r="O624" i="5" s="1"/>
  <c r="N620" i="5"/>
  <c r="O620" i="5" s="1"/>
  <c r="N616" i="5"/>
  <c r="O616" i="5" s="1"/>
  <c r="N612" i="5"/>
  <c r="O612" i="5" s="1"/>
  <c r="N611" i="5"/>
  <c r="O611" i="5" s="1"/>
  <c r="N604" i="5"/>
  <c r="O604" i="5" s="1"/>
  <c r="N603" i="5"/>
  <c r="O603" i="5" s="1"/>
  <c r="N601" i="5"/>
  <c r="O601" i="5" s="1"/>
  <c r="N599" i="5"/>
  <c r="O599" i="5" s="1"/>
  <c r="N597" i="5"/>
  <c r="O597" i="5" s="1"/>
  <c r="N595" i="5"/>
  <c r="O595" i="5" s="1"/>
  <c r="N667" i="5"/>
  <c r="O667" i="5" s="1"/>
  <c r="N651" i="5"/>
  <c r="O651" i="5" s="1"/>
  <c r="N642" i="5"/>
  <c r="O642" i="5" s="1"/>
  <c r="N610" i="5"/>
  <c r="O610" i="5" s="1"/>
  <c r="N609" i="5"/>
  <c r="O609" i="5" s="1"/>
  <c r="N522" i="5"/>
  <c r="O522" i="5" s="1"/>
  <c r="N521" i="5"/>
  <c r="O521" i="5" s="1"/>
  <c r="N520" i="5"/>
  <c r="O520" i="5" s="1"/>
  <c r="N519" i="5"/>
  <c r="O519" i="5" s="1"/>
  <c r="N518" i="5"/>
  <c r="O518" i="5" s="1"/>
  <c r="N516" i="5"/>
  <c r="O516" i="5" s="1"/>
  <c r="N514" i="5"/>
  <c r="O514" i="5" s="1"/>
  <c r="N512" i="5"/>
  <c r="O512" i="5" s="1"/>
  <c r="N511" i="5"/>
  <c r="O511" i="5" s="1"/>
  <c r="N510" i="5"/>
  <c r="O510" i="5" s="1"/>
  <c r="N509" i="5"/>
  <c r="O509" i="5" s="1"/>
  <c r="N508" i="5"/>
  <c r="O508" i="5" s="1"/>
  <c r="N507" i="5"/>
  <c r="O507" i="5" s="1"/>
  <c r="N506" i="5"/>
  <c r="O506" i="5" s="1"/>
  <c r="N505" i="5"/>
  <c r="O505" i="5" s="1"/>
  <c r="N504" i="5"/>
  <c r="O504" i="5" s="1"/>
  <c r="N503" i="5"/>
  <c r="O503" i="5" s="1"/>
  <c r="N502" i="5"/>
  <c r="O502" i="5" s="1"/>
  <c r="N501" i="5"/>
  <c r="O501" i="5" s="1"/>
  <c r="N500" i="5"/>
  <c r="O500" i="5" s="1"/>
  <c r="N499" i="5"/>
  <c r="O499" i="5" s="1"/>
  <c r="N498" i="5"/>
  <c r="O498" i="5" s="1"/>
  <c r="N497" i="5"/>
  <c r="O497" i="5" s="1"/>
  <c r="N495" i="5"/>
  <c r="O495" i="5" s="1"/>
  <c r="N493" i="5"/>
  <c r="O493" i="5" s="1"/>
  <c r="N491" i="5"/>
  <c r="O491" i="5" s="1"/>
  <c r="N489" i="5"/>
  <c r="O489" i="5" s="1"/>
  <c r="N487" i="5"/>
  <c r="O487" i="5" s="1"/>
  <c r="N485" i="5"/>
  <c r="O485" i="5" s="1"/>
  <c r="N483" i="5"/>
  <c r="O483" i="5" s="1"/>
  <c r="N481" i="5"/>
  <c r="O481" i="5" s="1"/>
  <c r="N479" i="5"/>
  <c r="O479" i="5" s="1"/>
  <c r="N477" i="5"/>
  <c r="O477" i="5" s="1"/>
  <c r="N475" i="5"/>
  <c r="O475" i="5" s="1"/>
  <c r="N473" i="5"/>
  <c r="O473" i="5" s="1"/>
  <c r="N471" i="5"/>
  <c r="O471" i="5" s="1"/>
  <c r="N469" i="5"/>
  <c r="O469" i="5" s="1"/>
  <c r="N467" i="5"/>
  <c r="O467" i="5" s="1"/>
  <c r="N465" i="5"/>
  <c r="O465" i="5" s="1"/>
  <c r="N463" i="5"/>
  <c r="O463" i="5" s="1"/>
  <c r="N461" i="5"/>
  <c r="O461" i="5" s="1"/>
  <c r="N459" i="5"/>
  <c r="O459" i="5" s="1"/>
  <c r="N457" i="5"/>
  <c r="O457" i="5" s="1"/>
  <c r="N455" i="5"/>
  <c r="O455" i="5" s="1"/>
  <c r="N453" i="5"/>
  <c r="O453" i="5" s="1"/>
  <c r="N451" i="5"/>
  <c r="O451" i="5" s="1"/>
  <c r="N449" i="5"/>
  <c r="O449" i="5" s="1"/>
  <c r="N447" i="5"/>
  <c r="O447" i="5" s="1"/>
  <c r="N445" i="5"/>
  <c r="O445" i="5" s="1"/>
  <c r="N443" i="5"/>
  <c r="O443" i="5" s="1"/>
  <c r="N441" i="5"/>
  <c r="O441" i="5" s="1"/>
  <c r="N439" i="5"/>
  <c r="O439" i="5" s="1"/>
  <c r="N437" i="5"/>
  <c r="O437" i="5" s="1"/>
  <c r="N435" i="5"/>
  <c r="O435" i="5" s="1"/>
  <c r="N433" i="5"/>
  <c r="O433" i="5" s="1"/>
  <c r="N431" i="5"/>
  <c r="O431" i="5" s="1"/>
  <c r="N429" i="5"/>
  <c r="O429" i="5" s="1"/>
  <c r="N427" i="5"/>
  <c r="O427" i="5" s="1"/>
  <c r="N425" i="5"/>
  <c r="O425" i="5" s="1"/>
  <c r="N423" i="5"/>
  <c r="O423" i="5" s="1"/>
  <c r="N421" i="5"/>
  <c r="O421" i="5" s="1"/>
  <c r="N419" i="5"/>
  <c r="O419" i="5" s="1"/>
  <c r="N417" i="5"/>
  <c r="O417" i="5" s="1"/>
  <c r="N415" i="5"/>
  <c r="O415" i="5" s="1"/>
  <c r="N413" i="5"/>
  <c r="O413" i="5" s="1"/>
  <c r="N411" i="5"/>
  <c r="O411" i="5" s="1"/>
  <c r="N410" i="5"/>
  <c r="O410" i="5" s="1"/>
  <c r="N409" i="5"/>
  <c r="O409" i="5" s="1"/>
  <c r="N408" i="5"/>
  <c r="O408" i="5" s="1"/>
  <c r="N407" i="5"/>
  <c r="O407" i="5" s="1"/>
  <c r="N406" i="5"/>
  <c r="O406" i="5" s="1"/>
  <c r="N405" i="5"/>
  <c r="O405" i="5" s="1"/>
  <c r="N517" i="5"/>
  <c r="O517" i="5" s="1"/>
  <c r="N515" i="5"/>
  <c r="O515" i="5" s="1"/>
  <c r="N513" i="5"/>
  <c r="O513" i="5" s="1"/>
  <c r="N496" i="5"/>
  <c r="O496" i="5" s="1"/>
  <c r="N494" i="5"/>
  <c r="O494" i="5" s="1"/>
  <c r="N492" i="5"/>
  <c r="O492" i="5" s="1"/>
  <c r="N490" i="5"/>
  <c r="O490" i="5" s="1"/>
  <c r="N488" i="5"/>
  <c r="O488" i="5" s="1"/>
  <c r="N486" i="5"/>
  <c r="O486" i="5" s="1"/>
  <c r="N484" i="5"/>
  <c r="O484" i="5" s="1"/>
  <c r="N482" i="5"/>
  <c r="O482" i="5" s="1"/>
  <c r="N480" i="5"/>
  <c r="O480" i="5" s="1"/>
  <c r="N478" i="5"/>
  <c r="O478" i="5" s="1"/>
  <c r="N476" i="5"/>
  <c r="O476" i="5" s="1"/>
  <c r="N474" i="5"/>
  <c r="O474" i="5" s="1"/>
  <c r="N472" i="5"/>
  <c r="O472" i="5" s="1"/>
  <c r="N470" i="5"/>
  <c r="O470" i="5" s="1"/>
  <c r="N468" i="5"/>
  <c r="O468" i="5" s="1"/>
  <c r="N466" i="5"/>
  <c r="O466" i="5" s="1"/>
  <c r="N464" i="5"/>
  <c r="O464" i="5" s="1"/>
  <c r="N462" i="5"/>
  <c r="O462" i="5" s="1"/>
  <c r="N460" i="5"/>
  <c r="O460" i="5" s="1"/>
  <c r="N458" i="5"/>
  <c r="O458" i="5" s="1"/>
  <c r="N456" i="5"/>
  <c r="O456" i="5" s="1"/>
  <c r="N454" i="5"/>
  <c r="O454" i="5" s="1"/>
  <c r="N452" i="5"/>
  <c r="O452" i="5" s="1"/>
  <c r="N450" i="5"/>
  <c r="O450" i="5" s="1"/>
  <c r="N448" i="5"/>
  <c r="O448" i="5" s="1"/>
  <c r="N446" i="5"/>
  <c r="O446" i="5" s="1"/>
  <c r="N444" i="5"/>
  <c r="O444" i="5" s="1"/>
  <c r="N442" i="5"/>
  <c r="O442" i="5" s="1"/>
  <c r="N440" i="5"/>
  <c r="O440" i="5" s="1"/>
  <c r="N438" i="5"/>
  <c r="O438" i="5" s="1"/>
  <c r="N436" i="5"/>
  <c r="O436" i="5" s="1"/>
  <c r="N434" i="5"/>
  <c r="O434" i="5" s="1"/>
  <c r="N432" i="5"/>
  <c r="O432" i="5" s="1"/>
  <c r="N430" i="5"/>
  <c r="O430" i="5" s="1"/>
  <c r="N428" i="5"/>
  <c r="O428" i="5" s="1"/>
  <c r="N426" i="5"/>
  <c r="O426" i="5" s="1"/>
  <c r="N424" i="5"/>
  <c r="O424" i="5" s="1"/>
  <c r="N422" i="5"/>
  <c r="O422" i="5" s="1"/>
  <c r="N420" i="5"/>
  <c r="O420" i="5" s="1"/>
  <c r="N418" i="5"/>
  <c r="O418" i="5" s="1"/>
  <c r="N416" i="5"/>
  <c r="O416" i="5" s="1"/>
  <c r="N414" i="5"/>
  <c r="O414" i="5" s="1"/>
  <c r="N412" i="5"/>
  <c r="O412" i="5" s="1"/>
  <c r="N404" i="5"/>
  <c r="O404" i="5" s="1"/>
  <c r="N402" i="5"/>
  <c r="O402" i="5" s="1"/>
  <c r="N400" i="5"/>
  <c r="O400" i="5" s="1"/>
  <c r="N398" i="5"/>
  <c r="O398" i="5" s="1"/>
  <c r="N396" i="5"/>
  <c r="O396" i="5" s="1"/>
  <c r="N394" i="5"/>
  <c r="O394" i="5" s="1"/>
  <c r="N392" i="5"/>
  <c r="O392" i="5" s="1"/>
  <c r="N390" i="5"/>
  <c r="O390" i="5" s="1"/>
  <c r="N388" i="5"/>
  <c r="O388" i="5" s="1"/>
  <c r="N386" i="5"/>
  <c r="O386" i="5" s="1"/>
  <c r="N384" i="5"/>
  <c r="O384" i="5" s="1"/>
  <c r="N382" i="5"/>
  <c r="O382" i="5" s="1"/>
  <c r="N380" i="5"/>
  <c r="O380" i="5" s="1"/>
  <c r="N378" i="5"/>
  <c r="O378" i="5" s="1"/>
  <c r="N376" i="5"/>
  <c r="O376" i="5" s="1"/>
  <c r="N374" i="5"/>
  <c r="O374" i="5" s="1"/>
  <c r="N372" i="5"/>
  <c r="O372" i="5" s="1"/>
  <c r="N370" i="5"/>
  <c r="O370" i="5" s="1"/>
  <c r="N368" i="5"/>
  <c r="O368" i="5" s="1"/>
  <c r="N366" i="5"/>
  <c r="O366" i="5" s="1"/>
  <c r="N364" i="5"/>
  <c r="O364" i="5" s="1"/>
  <c r="N362" i="5"/>
  <c r="O362" i="5" s="1"/>
  <c r="N360" i="5"/>
  <c r="O360" i="5" s="1"/>
  <c r="N358" i="5"/>
  <c r="O358" i="5" s="1"/>
  <c r="N356" i="5"/>
  <c r="O356" i="5" s="1"/>
  <c r="N354" i="5"/>
  <c r="O354" i="5" s="1"/>
  <c r="N352" i="5"/>
  <c r="O352" i="5" s="1"/>
  <c r="N350" i="5"/>
  <c r="O350" i="5" s="1"/>
  <c r="N348" i="5"/>
  <c r="O348" i="5" s="1"/>
  <c r="N346" i="5"/>
  <c r="O346" i="5" s="1"/>
  <c r="N344" i="5"/>
  <c r="O344" i="5" s="1"/>
  <c r="N342" i="5"/>
  <c r="O342" i="5" s="1"/>
  <c r="N340" i="5"/>
  <c r="O340" i="5" s="1"/>
  <c r="N338" i="5"/>
  <c r="O338" i="5" s="1"/>
  <c r="N336" i="5"/>
  <c r="O336" i="5" s="1"/>
  <c r="N334" i="5"/>
  <c r="O334" i="5" s="1"/>
  <c r="N332" i="5"/>
  <c r="O332" i="5" s="1"/>
  <c r="N330" i="5"/>
  <c r="O330" i="5" s="1"/>
  <c r="N328" i="5"/>
  <c r="O328" i="5" s="1"/>
  <c r="N326" i="5"/>
  <c r="O326" i="5" s="1"/>
  <c r="N324" i="5"/>
  <c r="O324" i="5" s="1"/>
  <c r="N322" i="5"/>
  <c r="O322" i="5" s="1"/>
  <c r="N320" i="5"/>
  <c r="O320" i="5" s="1"/>
  <c r="N318" i="5"/>
  <c r="O318" i="5" s="1"/>
  <c r="N316" i="5"/>
  <c r="O316" i="5" s="1"/>
  <c r="N314" i="5"/>
  <c r="O314" i="5" s="1"/>
  <c r="N313" i="5"/>
  <c r="O313" i="5" s="1"/>
  <c r="N312" i="5"/>
  <c r="O312" i="5" s="1"/>
  <c r="N311" i="5"/>
  <c r="O311" i="5" s="1"/>
  <c r="N310" i="5"/>
  <c r="O310" i="5" s="1"/>
  <c r="N309" i="5"/>
  <c r="O309" i="5" s="1"/>
  <c r="N308" i="5"/>
  <c r="O308" i="5" s="1"/>
  <c r="N307" i="5"/>
  <c r="O307" i="5" s="1"/>
  <c r="N306" i="5"/>
  <c r="O306" i="5" s="1"/>
  <c r="N305" i="5"/>
  <c r="O305" i="5" s="1"/>
  <c r="N304" i="5"/>
  <c r="O304" i="5" s="1"/>
  <c r="N303" i="5"/>
  <c r="O303" i="5" s="1"/>
  <c r="N403" i="5"/>
  <c r="O403" i="5" s="1"/>
  <c r="N401" i="5"/>
  <c r="O401" i="5" s="1"/>
  <c r="N399" i="5"/>
  <c r="O399" i="5" s="1"/>
  <c r="N397" i="5"/>
  <c r="O397" i="5" s="1"/>
  <c r="N395" i="5"/>
  <c r="O395" i="5" s="1"/>
  <c r="N393" i="5"/>
  <c r="O393" i="5" s="1"/>
  <c r="N391" i="5"/>
  <c r="O391" i="5" s="1"/>
  <c r="N389" i="5"/>
  <c r="O389" i="5" s="1"/>
  <c r="N387" i="5"/>
  <c r="O387" i="5" s="1"/>
  <c r="N385" i="5"/>
  <c r="O385" i="5" s="1"/>
  <c r="N383" i="5"/>
  <c r="O383" i="5" s="1"/>
  <c r="N381" i="5"/>
  <c r="O381" i="5" s="1"/>
  <c r="N379" i="5"/>
  <c r="O379" i="5" s="1"/>
  <c r="N377" i="5"/>
  <c r="O377" i="5" s="1"/>
  <c r="N375" i="5"/>
  <c r="O375" i="5" s="1"/>
  <c r="N373" i="5"/>
  <c r="O373" i="5" s="1"/>
  <c r="N371" i="5"/>
  <c r="O371" i="5" s="1"/>
  <c r="N369" i="5"/>
  <c r="O369" i="5" s="1"/>
  <c r="N367" i="5"/>
  <c r="O367" i="5" s="1"/>
  <c r="N365" i="5"/>
  <c r="O365" i="5" s="1"/>
  <c r="N363" i="5"/>
  <c r="O363" i="5" s="1"/>
  <c r="N361" i="5"/>
  <c r="O361" i="5" s="1"/>
  <c r="N359" i="5"/>
  <c r="O359" i="5" s="1"/>
  <c r="N357" i="5"/>
  <c r="O357" i="5" s="1"/>
  <c r="N355" i="5"/>
  <c r="O355" i="5" s="1"/>
  <c r="N353" i="5"/>
  <c r="O353" i="5" s="1"/>
  <c r="N351" i="5"/>
  <c r="O351" i="5" s="1"/>
  <c r="N349" i="5"/>
  <c r="O349" i="5" s="1"/>
  <c r="N347" i="5"/>
  <c r="O347" i="5" s="1"/>
  <c r="N345" i="5"/>
  <c r="O345" i="5" s="1"/>
  <c r="N343" i="5"/>
  <c r="O343" i="5" s="1"/>
  <c r="N339" i="5"/>
  <c r="O339" i="5" s="1"/>
  <c r="N335" i="5"/>
  <c r="O335" i="5" s="1"/>
  <c r="N331" i="5"/>
  <c r="O331" i="5" s="1"/>
  <c r="N327" i="5"/>
  <c r="O327" i="5" s="1"/>
  <c r="N323" i="5"/>
  <c r="O323" i="5" s="1"/>
  <c r="N319" i="5"/>
  <c r="O319" i="5" s="1"/>
  <c r="N315" i="5"/>
  <c r="O315" i="5" s="1"/>
  <c r="N302" i="5"/>
  <c r="O302" i="5" s="1"/>
  <c r="N300" i="5"/>
  <c r="O300" i="5" s="1"/>
  <c r="N298" i="5"/>
  <c r="O298" i="5" s="1"/>
  <c r="N296" i="5"/>
  <c r="O296" i="5" s="1"/>
  <c r="N294" i="5"/>
  <c r="O294" i="5" s="1"/>
  <c r="N292" i="5"/>
  <c r="O292" i="5" s="1"/>
  <c r="N290" i="5"/>
  <c r="O290" i="5" s="1"/>
  <c r="N288" i="5"/>
  <c r="O288" i="5" s="1"/>
  <c r="N286" i="5"/>
  <c r="O286" i="5" s="1"/>
  <c r="N284" i="5"/>
  <c r="O284" i="5" s="1"/>
  <c r="N283" i="5"/>
  <c r="O283" i="5" s="1"/>
  <c r="N282" i="5"/>
  <c r="O282" i="5" s="1"/>
  <c r="N281" i="5"/>
  <c r="O281" i="5" s="1"/>
  <c r="N280" i="5"/>
  <c r="O280" i="5" s="1"/>
  <c r="N279" i="5"/>
  <c r="O279" i="5" s="1"/>
  <c r="N278" i="5"/>
  <c r="O278" i="5" s="1"/>
  <c r="N277" i="5"/>
  <c r="O277" i="5" s="1"/>
  <c r="N276" i="5"/>
  <c r="O276" i="5" s="1"/>
  <c r="N275" i="5"/>
  <c r="O275" i="5" s="1"/>
  <c r="N274" i="5"/>
  <c r="O274" i="5" s="1"/>
  <c r="N273" i="5"/>
  <c r="O273" i="5" s="1"/>
  <c r="N272" i="5"/>
  <c r="O272" i="5" s="1"/>
  <c r="N271" i="5"/>
  <c r="O271" i="5" s="1"/>
  <c r="N270" i="5"/>
  <c r="O270" i="5" s="1"/>
  <c r="N269" i="5"/>
  <c r="O269" i="5" s="1"/>
  <c r="N268" i="5"/>
  <c r="O268" i="5" s="1"/>
  <c r="N267" i="5"/>
  <c r="O267" i="5" s="1"/>
  <c r="N266" i="5"/>
  <c r="O266" i="5" s="1"/>
  <c r="N265" i="5"/>
  <c r="O265" i="5" s="1"/>
  <c r="N264" i="5"/>
  <c r="O264" i="5" s="1"/>
  <c r="N263" i="5"/>
  <c r="O263" i="5" s="1"/>
  <c r="N262" i="5"/>
  <c r="O262" i="5" s="1"/>
  <c r="N261" i="5"/>
  <c r="O261" i="5" s="1"/>
  <c r="N260" i="5"/>
  <c r="O260" i="5" s="1"/>
  <c r="N259" i="5"/>
  <c r="O259" i="5" s="1"/>
  <c r="N258" i="5"/>
  <c r="O258" i="5" s="1"/>
  <c r="N257" i="5"/>
  <c r="O257" i="5" s="1"/>
  <c r="N256" i="5"/>
  <c r="O256" i="5" s="1"/>
  <c r="N255" i="5"/>
  <c r="O255" i="5" s="1"/>
  <c r="N254" i="5"/>
  <c r="O254" i="5" s="1"/>
  <c r="N253" i="5"/>
  <c r="O253" i="5" s="1"/>
  <c r="N252" i="5"/>
  <c r="O252" i="5" s="1"/>
  <c r="N251" i="5"/>
  <c r="O251" i="5" s="1"/>
  <c r="N250" i="5"/>
  <c r="O250" i="5" s="1"/>
  <c r="N249" i="5"/>
  <c r="O249" i="5" s="1"/>
  <c r="N248" i="5"/>
  <c r="O248" i="5" s="1"/>
  <c r="N247" i="5"/>
  <c r="O247" i="5" s="1"/>
  <c r="N246" i="5"/>
  <c r="O246" i="5" s="1"/>
  <c r="N245" i="5"/>
  <c r="O245" i="5" s="1"/>
  <c r="N244" i="5"/>
  <c r="O244" i="5" s="1"/>
  <c r="N243" i="5"/>
  <c r="O243" i="5" s="1"/>
  <c r="N242" i="5"/>
  <c r="O242" i="5" s="1"/>
  <c r="N241" i="5"/>
  <c r="O241" i="5" s="1"/>
  <c r="N240" i="5"/>
  <c r="O240" i="5" s="1"/>
  <c r="N239" i="5"/>
  <c r="O239" i="5" s="1"/>
  <c r="N238" i="5"/>
  <c r="O238" i="5" s="1"/>
  <c r="N237" i="5"/>
  <c r="O237" i="5" s="1"/>
  <c r="N236" i="5"/>
  <c r="O236" i="5" s="1"/>
  <c r="N235" i="5"/>
  <c r="O235" i="5" s="1"/>
  <c r="N234" i="5"/>
  <c r="O234" i="5" s="1"/>
  <c r="N233" i="5"/>
  <c r="O233" i="5" s="1"/>
  <c r="N232" i="5"/>
  <c r="O232" i="5" s="1"/>
  <c r="N231" i="5"/>
  <c r="O231" i="5" s="1"/>
  <c r="N230" i="5"/>
  <c r="O230" i="5" s="1"/>
  <c r="N229" i="5"/>
  <c r="O229" i="5" s="1"/>
  <c r="N228" i="5"/>
  <c r="O228" i="5" s="1"/>
  <c r="N227" i="5"/>
  <c r="O227" i="5" s="1"/>
  <c r="N226" i="5"/>
  <c r="O226" i="5" s="1"/>
  <c r="N225" i="5"/>
  <c r="O225" i="5" s="1"/>
  <c r="N224" i="5"/>
  <c r="O224" i="5" s="1"/>
  <c r="N223" i="5"/>
  <c r="O223" i="5" s="1"/>
  <c r="N222" i="5"/>
  <c r="O222" i="5" s="1"/>
  <c r="N221" i="5"/>
  <c r="O221" i="5" s="1"/>
  <c r="N220" i="5"/>
  <c r="O220" i="5" s="1"/>
  <c r="N219" i="5"/>
  <c r="O219" i="5" s="1"/>
  <c r="N218" i="5"/>
  <c r="O218" i="5" s="1"/>
  <c r="N217" i="5"/>
  <c r="O217" i="5" s="1"/>
  <c r="N216" i="5"/>
  <c r="O216" i="5" s="1"/>
  <c r="N215" i="5"/>
  <c r="O215" i="5" s="1"/>
  <c r="N214" i="5"/>
  <c r="O214" i="5" s="1"/>
  <c r="N213" i="5"/>
  <c r="O213" i="5" s="1"/>
  <c r="N212" i="5"/>
  <c r="O212" i="5" s="1"/>
  <c r="N211" i="5"/>
  <c r="O211" i="5" s="1"/>
  <c r="N210" i="5"/>
  <c r="O210" i="5" s="1"/>
  <c r="N209" i="5"/>
  <c r="O209" i="5" s="1"/>
  <c r="N208" i="5"/>
  <c r="O208" i="5" s="1"/>
  <c r="N207" i="5"/>
  <c r="O207" i="5" s="1"/>
  <c r="N206" i="5"/>
  <c r="O206" i="5" s="1"/>
  <c r="N205" i="5"/>
  <c r="O205" i="5" s="1"/>
  <c r="N204" i="5"/>
  <c r="O204" i="5" s="1"/>
  <c r="N203" i="5"/>
  <c r="O203" i="5" s="1"/>
  <c r="N202" i="5"/>
  <c r="O202" i="5" s="1"/>
  <c r="N201" i="5"/>
  <c r="O201" i="5" s="1"/>
  <c r="N200" i="5"/>
  <c r="O200" i="5" s="1"/>
  <c r="N199" i="5"/>
  <c r="O199" i="5" s="1"/>
  <c r="N198" i="5"/>
  <c r="O198" i="5" s="1"/>
  <c r="N197" i="5"/>
  <c r="O197" i="5" s="1"/>
  <c r="N196" i="5"/>
  <c r="O196" i="5" s="1"/>
  <c r="N195" i="5"/>
  <c r="O195" i="5" s="1"/>
  <c r="N194" i="5"/>
  <c r="O194" i="5" s="1"/>
  <c r="N193" i="5"/>
  <c r="O193" i="5" s="1"/>
  <c r="N192" i="5"/>
  <c r="O192" i="5" s="1"/>
  <c r="N191" i="5"/>
  <c r="O191" i="5" s="1"/>
  <c r="N190" i="5"/>
  <c r="O190" i="5" s="1"/>
  <c r="N341" i="5"/>
  <c r="O341" i="5" s="1"/>
  <c r="N337" i="5"/>
  <c r="O337" i="5" s="1"/>
  <c r="N333" i="5"/>
  <c r="O333" i="5" s="1"/>
  <c r="N329" i="5"/>
  <c r="O329" i="5" s="1"/>
  <c r="N325" i="5"/>
  <c r="O325" i="5" s="1"/>
  <c r="N321" i="5"/>
  <c r="O321" i="5" s="1"/>
  <c r="N317" i="5"/>
  <c r="O317" i="5" s="1"/>
  <c r="N301" i="5"/>
  <c r="O301" i="5" s="1"/>
  <c r="N299" i="5"/>
  <c r="O299" i="5" s="1"/>
  <c r="N297" i="5"/>
  <c r="O297" i="5" s="1"/>
  <c r="N295" i="5"/>
  <c r="O295" i="5" s="1"/>
  <c r="N293" i="5"/>
  <c r="O293" i="5" s="1"/>
  <c r="N291" i="5"/>
  <c r="O291" i="5" s="1"/>
  <c r="N289" i="5"/>
  <c r="O289" i="5" s="1"/>
  <c r="N287" i="5"/>
  <c r="O287" i="5" s="1"/>
  <c r="N285" i="5"/>
  <c r="O285" i="5" s="1"/>
  <c r="N42" i="5"/>
  <c r="O42" i="5" s="1"/>
  <c r="N47" i="5"/>
  <c r="O47" i="5" s="1"/>
  <c r="N49" i="5"/>
  <c r="O49" i="5" s="1"/>
  <c r="N50" i="5"/>
  <c r="O50" i="5" s="1"/>
  <c r="N52" i="5"/>
  <c r="O52" i="5" s="1"/>
  <c r="N53" i="5"/>
  <c r="O53" i="5" s="1"/>
  <c r="N55" i="5"/>
  <c r="O55" i="5" s="1"/>
  <c r="N57" i="5"/>
  <c r="O57" i="5" s="1"/>
  <c r="N58" i="5"/>
  <c r="O58" i="5" s="1"/>
  <c r="N60" i="5"/>
  <c r="O60" i="5" s="1"/>
  <c r="N62" i="5"/>
  <c r="O62" i="5" s="1"/>
  <c r="N64" i="5"/>
  <c r="O64" i="5" s="1"/>
  <c r="N66" i="5"/>
  <c r="O66" i="5" s="1"/>
  <c r="N68" i="5"/>
  <c r="O68" i="5" s="1"/>
  <c r="N69" i="5"/>
  <c r="O69" i="5" s="1"/>
  <c r="N71" i="5"/>
  <c r="O71" i="5" s="1"/>
  <c r="N72" i="5"/>
  <c r="O72" i="5" s="1"/>
  <c r="N74" i="5"/>
  <c r="O74" i="5" s="1"/>
  <c r="N76" i="5"/>
  <c r="O76" i="5" s="1"/>
  <c r="N78" i="5"/>
  <c r="O78" i="5" s="1"/>
  <c r="N80" i="5"/>
  <c r="O80" i="5" s="1"/>
  <c r="N82" i="5"/>
  <c r="O82" i="5" s="1"/>
  <c r="N84" i="5"/>
  <c r="O84" i="5" s="1"/>
  <c r="N86" i="5"/>
  <c r="O86" i="5" s="1"/>
  <c r="N88" i="5"/>
  <c r="O88" i="5" s="1"/>
  <c r="N90" i="5"/>
  <c r="O90" i="5" s="1"/>
  <c r="N92" i="5"/>
  <c r="O92" i="5" s="1"/>
  <c r="N94" i="5"/>
  <c r="O94" i="5" s="1"/>
  <c r="N98" i="5"/>
  <c r="O98" i="5" s="1"/>
  <c r="N112" i="5"/>
  <c r="O112" i="5" s="1"/>
  <c r="N20" i="1"/>
  <c r="O20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7" i="1"/>
  <c r="F177" i="1" s="1"/>
  <c r="E179" i="1"/>
  <c r="F179" i="1" s="1"/>
  <c r="E181" i="1"/>
  <c r="F181" i="1" s="1"/>
  <c r="E183" i="1"/>
  <c r="F183" i="1" s="1"/>
  <c r="E185" i="1"/>
  <c r="F185" i="1" s="1"/>
  <c r="E187" i="1"/>
  <c r="F187" i="1" s="1"/>
  <c r="E189" i="1"/>
  <c r="F189" i="1" s="1"/>
  <c r="E191" i="1"/>
  <c r="F191" i="1" s="1"/>
  <c r="E176" i="1"/>
  <c r="F176" i="1" s="1"/>
  <c r="E178" i="1"/>
  <c r="F178" i="1" s="1"/>
  <c r="E180" i="1"/>
  <c r="F180" i="1" s="1"/>
  <c r="E182" i="1"/>
  <c r="F182" i="1" s="1"/>
  <c r="E184" i="1"/>
  <c r="F184" i="1" s="1"/>
  <c r="E186" i="1"/>
  <c r="F186" i="1" s="1"/>
  <c r="E188" i="1"/>
  <c r="F188" i="1" s="1"/>
  <c r="E190" i="1"/>
  <c r="F190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239" i="1"/>
  <c r="F239" i="1" s="1"/>
  <c r="E310" i="1"/>
  <c r="F310" i="1" s="1"/>
  <c r="E312" i="1"/>
  <c r="F312" i="1" s="1"/>
  <c r="E314" i="1"/>
  <c r="F314" i="1" s="1"/>
  <c r="E316" i="1"/>
  <c r="F316" i="1" s="1"/>
  <c r="E318" i="1"/>
  <c r="F318" i="1" s="1"/>
  <c r="E320" i="1"/>
  <c r="F320" i="1" s="1"/>
  <c r="E322" i="1"/>
  <c r="F322" i="1" s="1"/>
  <c r="E324" i="1"/>
  <c r="F324" i="1" s="1"/>
  <c r="E326" i="1"/>
  <c r="F326" i="1" s="1"/>
  <c r="E328" i="1"/>
  <c r="F328" i="1" s="1"/>
  <c r="E330" i="1"/>
  <c r="F330" i="1" s="1"/>
  <c r="E332" i="1"/>
  <c r="F332" i="1" s="1"/>
  <c r="E334" i="1"/>
  <c r="F334" i="1" s="1"/>
  <c r="E336" i="1"/>
  <c r="F336" i="1" s="1"/>
  <c r="E338" i="1"/>
  <c r="F338" i="1" s="1"/>
  <c r="E340" i="1"/>
  <c r="F340" i="1" s="1"/>
  <c r="E342" i="1"/>
  <c r="F342" i="1" s="1"/>
  <c r="E344" i="1"/>
  <c r="F344" i="1" s="1"/>
  <c r="E346" i="1"/>
  <c r="F346" i="1" s="1"/>
  <c r="E348" i="1"/>
  <c r="F348" i="1" s="1"/>
  <c r="E350" i="1"/>
  <c r="F350" i="1" s="1"/>
  <c r="E352" i="1"/>
  <c r="F352" i="1" s="1"/>
  <c r="E354" i="1"/>
  <c r="F354" i="1" s="1"/>
  <c r="E356" i="1"/>
  <c r="F356" i="1" s="1"/>
  <c r="E358" i="1"/>
  <c r="F358" i="1" s="1"/>
  <c r="E360" i="1"/>
  <c r="F360" i="1" s="1"/>
  <c r="E362" i="1"/>
  <c r="F362" i="1" s="1"/>
  <c r="E364" i="1"/>
  <c r="F364" i="1" s="1"/>
  <c r="E366" i="1"/>
  <c r="F366" i="1" s="1"/>
  <c r="E368" i="1"/>
  <c r="F368" i="1" s="1"/>
  <c r="E370" i="1"/>
  <c r="F370" i="1" s="1"/>
  <c r="E309" i="1"/>
  <c r="F309" i="1" s="1"/>
  <c r="E311" i="1"/>
  <c r="F311" i="1" s="1"/>
  <c r="E313" i="1"/>
  <c r="F313" i="1" s="1"/>
  <c r="E315" i="1"/>
  <c r="F315" i="1" s="1"/>
  <c r="E317" i="1"/>
  <c r="F317" i="1" s="1"/>
  <c r="E319" i="1"/>
  <c r="F319" i="1" s="1"/>
  <c r="E321" i="1"/>
  <c r="F321" i="1" s="1"/>
  <c r="E323" i="1"/>
  <c r="F323" i="1" s="1"/>
  <c r="E325" i="1"/>
  <c r="F325" i="1" s="1"/>
  <c r="E327" i="1"/>
  <c r="F327" i="1" s="1"/>
  <c r="E329" i="1"/>
  <c r="F329" i="1" s="1"/>
  <c r="E331" i="1"/>
  <c r="F331" i="1" s="1"/>
  <c r="E333" i="1"/>
  <c r="F333" i="1" s="1"/>
  <c r="E335" i="1"/>
  <c r="F335" i="1" s="1"/>
  <c r="E337" i="1"/>
  <c r="F337" i="1" s="1"/>
  <c r="E339" i="1"/>
  <c r="F339" i="1" s="1"/>
  <c r="E341" i="1"/>
  <c r="F341" i="1" s="1"/>
  <c r="E343" i="1"/>
  <c r="F343" i="1" s="1"/>
  <c r="E345" i="1"/>
  <c r="F345" i="1" s="1"/>
  <c r="E347" i="1"/>
  <c r="F347" i="1" s="1"/>
  <c r="E349" i="1"/>
  <c r="F349" i="1" s="1"/>
  <c r="E351" i="1"/>
  <c r="F351" i="1" s="1"/>
  <c r="E353" i="1"/>
  <c r="F353" i="1" s="1"/>
  <c r="E355" i="1"/>
  <c r="F355" i="1" s="1"/>
  <c r="E357" i="1"/>
  <c r="F357" i="1" s="1"/>
  <c r="E359" i="1"/>
  <c r="F359" i="1" s="1"/>
  <c r="E361" i="1"/>
  <c r="F361" i="1" s="1"/>
  <c r="E363" i="1"/>
  <c r="F363" i="1" s="1"/>
  <c r="E365" i="1"/>
  <c r="F365" i="1" s="1"/>
  <c r="E367" i="1"/>
  <c r="F367" i="1" s="1"/>
  <c r="E369" i="1"/>
  <c r="F369" i="1" s="1"/>
  <c r="E372" i="1"/>
  <c r="F372" i="1" s="1"/>
  <c r="E374" i="1"/>
  <c r="F374" i="1" s="1"/>
  <c r="E376" i="1"/>
  <c r="F376" i="1" s="1"/>
  <c r="E378" i="1"/>
  <c r="F378" i="1" s="1"/>
  <c r="E380" i="1"/>
  <c r="F380" i="1" s="1"/>
  <c r="E382" i="1"/>
  <c r="F382" i="1" s="1"/>
  <c r="E384" i="1"/>
  <c r="F384" i="1" s="1"/>
  <c r="E371" i="1"/>
  <c r="F371" i="1" s="1"/>
  <c r="E373" i="1"/>
  <c r="F373" i="1" s="1"/>
  <c r="E375" i="1"/>
  <c r="F375" i="1" s="1"/>
  <c r="E377" i="1"/>
  <c r="F377" i="1" s="1"/>
  <c r="E379" i="1"/>
  <c r="F379" i="1" s="1"/>
  <c r="E381" i="1"/>
  <c r="F381" i="1" s="1"/>
  <c r="E383" i="1"/>
  <c r="F383" i="1" s="1"/>
  <c r="E385" i="1"/>
  <c r="F385" i="1" s="1"/>
  <c r="E387" i="1"/>
  <c r="F387" i="1" s="1"/>
  <c r="E389" i="1"/>
  <c r="F389" i="1" s="1"/>
  <c r="E391" i="1"/>
  <c r="F391" i="1" s="1"/>
  <c r="E393" i="1"/>
  <c r="F393" i="1" s="1"/>
  <c r="E395" i="1"/>
  <c r="F395" i="1" s="1"/>
  <c r="E397" i="1"/>
  <c r="F397" i="1" s="1"/>
  <c r="E399" i="1"/>
  <c r="F399" i="1" s="1"/>
  <c r="E401" i="1"/>
  <c r="F401" i="1" s="1"/>
  <c r="E403" i="1"/>
  <c r="F403" i="1" s="1"/>
  <c r="E405" i="1"/>
  <c r="F405" i="1" s="1"/>
  <c r="E407" i="1"/>
  <c r="F407" i="1" s="1"/>
  <c r="E409" i="1"/>
  <c r="F409" i="1" s="1"/>
  <c r="E411" i="1"/>
  <c r="F411" i="1" s="1"/>
  <c r="E413" i="1"/>
  <c r="F413" i="1" s="1"/>
  <c r="E415" i="1"/>
  <c r="F415" i="1" s="1"/>
  <c r="E417" i="1"/>
  <c r="F417" i="1" s="1"/>
  <c r="E419" i="1"/>
  <c r="F419" i="1" s="1"/>
  <c r="E421" i="1"/>
  <c r="F421" i="1" s="1"/>
  <c r="E423" i="1"/>
  <c r="F423" i="1" s="1"/>
  <c r="E425" i="1"/>
  <c r="F425" i="1" s="1"/>
  <c r="E427" i="1"/>
  <c r="F427" i="1" s="1"/>
  <c r="E429" i="1"/>
  <c r="F429" i="1" s="1"/>
  <c r="E431" i="1"/>
  <c r="F431" i="1" s="1"/>
  <c r="E433" i="1"/>
  <c r="F433" i="1" s="1"/>
  <c r="E435" i="1"/>
  <c r="F435" i="1" s="1"/>
  <c r="E437" i="1"/>
  <c r="F437" i="1" s="1"/>
  <c r="E439" i="1"/>
  <c r="F439" i="1" s="1"/>
  <c r="E441" i="1"/>
  <c r="F441" i="1" s="1"/>
  <c r="E443" i="1"/>
  <c r="F443" i="1" s="1"/>
  <c r="E445" i="1"/>
  <c r="F445" i="1" s="1"/>
  <c r="E447" i="1"/>
  <c r="F447" i="1" s="1"/>
  <c r="E386" i="1"/>
  <c r="F386" i="1" s="1"/>
  <c r="E450" i="1"/>
  <c r="F450" i="1" s="1"/>
  <c r="E452" i="1"/>
  <c r="F452" i="1" s="1"/>
  <c r="E453" i="1"/>
  <c r="F453" i="1" s="1"/>
  <c r="E457" i="1"/>
  <c r="F457" i="1" s="1"/>
  <c r="E459" i="1"/>
  <c r="F459" i="1" s="1"/>
  <c r="E461" i="1"/>
  <c r="F461" i="1" s="1"/>
  <c r="E463" i="1"/>
  <c r="F463" i="1" s="1"/>
  <c r="E465" i="1"/>
  <c r="F465" i="1" s="1"/>
  <c r="E467" i="1"/>
  <c r="F467" i="1" s="1"/>
  <c r="E388" i="1"/>
  <c r="F388" i="1" s="1"/>
  <c r="E392" i="1"/>
  <c r="F392" i="1" s="1"/>
  <c r="E396" i="1"/>
  <c r="F396" i="1" s="1"/>
  <c r="E400" i="1"/>
  <c r="F400" i="1" s="1"/>
  <c r="E404" i="1"/>
  <c r="F404" i="1" s="1"/>
  <c r="E408" i="1"/>
  <c r="F408" i="1" s="1"/>
  <c r="E412" i="1"/>
  <c r="F412" i="1" s="1"/>
  <c r="E416" i="1"/>
  <c r="F416" i="1" s="1"/>
  <c r="E420" i="1"/>
  <c r="F420" i="1" s="1"/>
  <c r="E424" i="1"/>
  <c r="F424" i="1" s="1"/>
  <c r="E428" i="1"/>
  <c r="F428" i="1" s="1"/>
  <c r="E432" i="1"/>
  <c r="F432" i="1" s="1"/>
  <c r="E436" i="1"/>
  <c r="F436" i="1" s="1"/>
  <c r="E440" i="1"/>
  <c r="F440" i="1" s="1"/>
  <c r="E444" i="1"/>
  <c r="F444" i="1" s="1"/>
  <c r="E448" i="1"/>
  <c r="F448" i="1" s="1"/>
  <c r="E454" i="1"/>
  <c r="F454" i="1" s="1"/>
  <c r="E455" i="1"/>
  <c r="F455" i="1" s="1"/>
  <c r="E449" i="1"/>
  <c r="F449" i="1" s="1"/>
  <c r="E456" i="1"/>
  <c r="F456" i="1" s="1"/>
  <c r="E458" i="1"/>
  <c r="F458" i="1" s="1"/>
  <c r="E460" i="1"/>
  <c r="F460" i="1" s="1"/>
  <c r="E462" i="1"/>
  <c r="F462" i="1" s="1"/>
  <c r="E464" i="1"/>
  <c r="F464" i="1" s="1"/>
  <c r="E466" i="1"/>
  <c r="F466" i="1" s="1"/>
  <c r="E390" i="1"/>
  <c r="F390" i="1" s="1"/>
  <c r="E406" i="1"/>
  <c r="F406" i="1" s="1"/>
  <c r="E422" i="1"/>
  <c r="F422" i="1" s="1"/>
  <c r="E438" i="1"/>
  <c r="F438" i="1" s="1"/>
  <c r="E451" i="1"/>
  <c r="F451" i="1" s="1"/>
  <c r="E468" i="1"/>
  <c r="F468" i="1" s="1"/>
  <c r="E470" i="1"/>
  <c r="F470" i="1" s="1"/>
  <c r="E472" i="1"/>
  <c r="F472" i="1" s="1"/>
  <c r="E474" i="1"/>
  <c r="F474" i="1" s="1"/>
  <c r="E476" i="1"/>
  <c r="F476" i="1" s="1"/>
  <c r="E478" i="1"/>
  <c r="F478" i="1" s="1"/>
  <c r="E480" i="1"/>
  <c r="F480" i="1" s="1"/>
  <c r="E482" i="1"/>
  <c r="F482" i="1" s="1"/>
  <c r="E484" i="1"/>
  <c r="F484" i="1" s="1"/>
  <c r="E486" i="1"/>
  <c r="F486" i="1" s="1"/>
  <c r="E488" i="1"/>
  <c r="F488" i="1" s="1"/>
  <c r="E490" i="1"/>
  <c r="F490" i="1" s="1"/>
  <c r="E492" i="1"/>
  <c r="F492" i="1" s="1"/>
  <c r="E494" i="1"/>
  <c r="F494" i="1" s="1"/>
  <c r="E496" i="1"/>
  <c r="F496" i="1" s="1"/>
  <c r="E498" i="1"/>
  <c r="F498" i="1" s="1"/>
  <c r="E500" i="1"/>
  <c r="F500" i="1" s="1"/>
  <c r="E502" i="1"/>
  <c r="F502" i="1" s="1"/>
  <c r="E504" i="1"/>
  <c r="F504" i="1" s="1"/>
  <c r="E506" i="1"/>
  <c r="F506" i="1" s="1"/>
  <c r="E508" i="1"/>
  <c r="F508" i="1" s="1"/>
  <c r="E510" i="1"/>
  <c r="F510" i="1" s="1"/>
  <c r="E512" i="1"/>
  <c r="F512" i="1" s="1"/>
  <c r="E514" i="1"/>
  <c r="F514" i="1" s="1"/>
  <c r="E516" i="1"/>
  <c r="F516" i="1" s="1"/>
  <c r="E518" i="1"/>
  <c r="F518" i="1" s="1"/>
  <c r="E520" i="1"/>
  <c r="F520" i="1" s="1"/>
  <c r="E522" i="1"/>
  <c r="F522" i="1" s="1"/>
  <c r="E524" i="1"/>
  <c r="F524" i="1" s="1"/>
  <c r="E526" i="1"/>
  <c r="F526" i="1" s="1"/>
  <c r="E528" i="1"/>
  <c r="F528" i="1" s="1"/>
  <c r="E530" i="1"/>
  <c r="F530" i="1" s="1"/>
  <c r="E532" i="1"/>
  <c r="F532" i="1" s="1"/>
  <c r="E534" i="1"/>
  <c r="F534" i="1" s="1"/>
  <c r="E536" i="1"/>
  <c r="F536" i="1" s="1"/>
  <c r="E538" i="1"/>
  <c r="F538" i="1" s="1"/>
  <c r="E540" i="1"/>
  <c r="F540" i="1" s="1"/>
  <c r="E542" i="1"/>
  <c r="F542" i="1" s="1"/>
  <c r="E544" i="1"/>
  <c r="F544" i="1" s="1"/>
  <c r="E546" i="1"/>
  <c r="F546" i="1" s="1"/>
  <c r="E548" i="1"/>
  <c r="F548" i="1" s="1"/>
  <c r="E550" i="1"/>
  <c r="F550" i="1" s="1"/>
  <c r="E552" i="1"/>
  <c r="F552" i="1" s="1"/>
  <c r="E554" i="1"/>
  <c r="F554" i="1" s="1"/>
  <c r="E556" i="1"/>
  <c r="F556" i="1" s="1"/>
  <c r="E558" i="1"/>
  <c r="F558" i="1" s="1"/>
  <c r="E560" i="1"/>
  <c r="F560" i="1" s="1"/>
  <c r="E562" i="1"/>
  <c r="F562" i="1" s="1"/>
  <c r="E564" i="1"/>
  <c r="F564" i="1" s="1"/>
  <c r="E566" i="1"/>
  <c r="F566" i="1" s="1"/>
  <c r="E568" i="1"/>
  <c r="F568" i="1" s="1"/>
  <c r="E570" i="1"/>
  <c r="F570" i="1" s="1"/>
  <c r="E572" i="1"/>
  <c r="F572" i="1" s="1"/>
  <c r="E574" i="1"/>
  <c r="F574" i="1" s="1"/>
  <c r="E576" i="1"/>
  <c r="F576" i="1" s="1"/>
  <c r="E578" i="1"/>
  <c r="F578" i="1" s="1"/>
  <c r="E580" i="1"/>
  <c r="F580" i="1" s="1"/>
  <c r="E582" i="1"/>
  <c r="F582" i="1" s="1"/>
  <c r="E584" i="1"/>
  <c r="F584" i="1" s="1"/>
  <c r="E586" i="1"/>
  <c r="F586" i="1" s="1"/>
  <c r="E588" i="1"/>
  <c r="F588" i="1" s="1"/>
  <c r="E590" i="1"/>
  <c r="F590" i="1" s="1"/>
  <c r="E592" i="1"/>
  <c r="F592" i="1" s="1"/>
  <c r="E594" i="1"/>
  <c r="F594" i="1" s="1"/>
  <c r="E596" i="1"/>
  <c r="F596" i="1" s="1"/>
  <c r="E598" i="1"/>
  <c r="F598" i="1" s="1"/>
  <c r="E600" i="1"/>
  <c r="F600" i="1" s="1"/>
  <c r="E602" i="1"/>
  <c r="F602" i="1" s="1"/>
  <c r="E619" i="1"/>
  <c r="F619" i="1" s="1"/>
  <c r="E621" i="1"/>
  <c r="F621" i="1" s="1"/>
  <c r="E623" i="1"/>
  <c r="F623" i="1" s="1"/>
  <c r="E625" i="1"/>
  <c r="F625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402" i="1"/>
  <c r="F402" i="1" s="1"/>
  <c r="E394" i="1"/>
  <c r="F394" i="1" s="1"/>
  <c r="E410" i="1"/>
  <c r="F410" i="1" s="1"/>
  <c r="E426" i="1"/>
  <c r="F426" i="1" s="1"/>
  <c r="E442" i="1"/>
  <c r="F442" i="1" s="1"/>
  <c r="E434" i="1"/>
  <c r="F434" i="1" s="1"/>
  <c r="E398" i="1"/>
  <c r="F398" i="1" s="1"/>
  <c r="E414" i="1"/>
  <c r="F414" i="1" s="1"/>
  <c r="E430" i="1"/>
  <c r="F430" i="1" s="1"/>
  <c r="E446" i="1"/>
  <c r="F446" i="1" s="1"/>
  <c r="E469" i="1"/>
  <c r="F469" i="1" s="1"/>
  <c r="E471" i="1"/>
  <c r="F471" i="1" s="1"/>
  <c r="E473" i="1"/>
  <c r="F473" i="1" s="1"/>
  <c r="E475" i="1"/>
  <c r="F475" i="1" s="1"/>
  <c r="E477" i="1"/>
  <c r="F477" i="1" s="1"/>
  <c r="E479" i="1"/>
  <c r="F479" i="1" s="1"/>
  <c r="E481" i="1"/>
  <c r="F481" i="1" s="1"/>
  <c r="E483" i="1"/>
  <c r="F483" i="1" s="1"/>
  <c r="E485" i="1"/>
  <c r="F485" i="1" s="1"/>
  <c r="E487" i="1"/>
  <c r="F487" i="1" s="1"/>
  <c r="E489" i="1"/>
  <c r="F489" i="1" s="1"/>
  <c r="E491" i="1"/>
  <c r="F491" i="1" s="1"/>
  <c r="E493" i="1"/>
  <c r="F493" i="1" s="1"/>
  <c r="E495" i="1"/>
  <c r="F495" i="1" s="1"/>
  <c r="E497" i="1"/>
  <c r="F497" i="1" s="1"/>
  <c r="E499" i="1"/>
  <c r="F499" i="1" s="1"/>
  <c r="E501" i="1"/>
  <c r="F501" i="1" s="1"/>
  <c r="E503" i="1"/>
  <c r="F503" i="1" s="1"/>
  <c r="E505" i="1"/>
  <c r="F505" i="1" s="1"/>
  <c r="E507" i="1"/>
  <c r="F507" i="1" s="1"/>
  <c r="E509" i="1"/>
  <c r="F509" i="1" s="1"/>
  <c r="E511" i="1"/>
  <c r="F511" i="1" s="1"/>
  <c r="E513" i="1"/>
  <c r="F513" i="1" s="1"/>
  <c r="E515" i="1"/>
  <c r="F515" i="1" s="1"/>
  <c r="E517" i="1"/>
  <c r="F517" i="1" s="1"/>
  <c r="E519" i="1"/>
  <c r="F519" i="1" s="1"/>
  <c r="E521" i="1"/>
  <c r="F521" i="1" s="1"/>
  <c r="E523" i="1"/>
  <c r="F523" i="1" s="1"/>
  <c r="E525" i="1"/>
  <c r="F525" i="1" s="1"/>
  <c r="E527" i="1"/>
  <c r="F527" i="1" s="1"/>
  <c r="E529" i="1"/>
  <c r="F529" i="1" s="1"/>
  <c r="E531" i="1"/>
  <c r="F531" i="1" s="1"/>
  <c r="E533" i="1"/>
  <c r="F533" i="1" s="1"/>
  <c r="E535" i="1"/>
  <c r="F535" i="1" s="1"/>
  <c r="E537" i="1"/>
  <c r="F537" i="1" s="1"/>
  <c r="E539" i="1"/>
  <c r="F539" i="1" s="1"/>
  <c r="E541" i="1"/>
  <c r="F541" i="1" s="1"/>
  <c r="E543" i="1"/>
  <c r="F543" i="1" s="1"/>
  <c r="E545" i="1"/>
  <c r="F545" i="1" s="1"/>
  <c r="E547" i="1"/>
  <c r="F547" i="1" s="1"/>
  <c r="E549" i="1"/>
  <c r="F549" i="1" s="1"/>
  <c r="E551" i="1"/>
  <c r="F551" i="1" s="1"/>
  <c r="E553" i="1"/>
  <c r="F553" i="1" s="1"/>
  <c r="E555" i="1"/>
  <c r="F555" i="1" s="1"/>
  <c r="E557" i="1"/>
  <c r="F557" i="1" s="1"/>
  <c r="E559" i="1"/>
  <c r="F559" i="1" s="1"/>
  <c r="E561" i="1"/>
  <c r="F561" i="1" s="1"/>
  <c r="E563" i="1"/>
  <c r="F563" i="1" s="1"/>
  <c r="E565" i="1"/>
  <c r="F565" i="1" s="1"/>
  <c r="E567" i="1"/>
  <c r="F567" i="1" s="1"/>
  <c r="E569" i="1"/>
  <c r="F569" i="1" s="1"/>
  <c r="E571" i="1"/>
  <c r="F571" i="1" s="1"/>
  <c r="E573" i="1"/>
  <c r="F573" i="1" s="1"/>
  <c r="E575" i="1"/>
  <c r="F575" i="1" s="1"/>
  <c r="E577" i="1"/>
  <c r="F577" i="1" s="1"/>
  <c r="E579" i="1"/>
  <c r="F579" i="1" s="1"/>
  <c r="E581" i="1"/>
  <c r="F581" i="1" s="1"/>
  <c r="E583" i="1"/>
  <c r="F583" i="1" s="1"/>
  <c r="E585" i="1"/>
  <c r="F585" i="1" s="1"/>
  <c r="E587" i="1"/>
  <c r="F587" i="1" s="1"/>
  <c r="E589" i="1"/>
  <c r="F589" i="1" s="1"/>
  <c r="E591" i="1"/>
  <c r="F591" i="1" s="1"/>
  <c r="E593" i="1"/>
  <c r="F593" i="1" s="1"/>
  <c r="E595" i="1"/>
  <c r="F595" i="1" s="1"/>
  <c r="E597" i="1"/>
  <c r="F597" i="1" s="1"/>
  <c r="E599" i="1"/>
  <c r="F599" i="1" s="1"/>
  <c r="E601" i="1"/>
  <c r="F601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20" i="1"/>
  <c r="F620" i="1" s="1"/>
  <c r="E622" i="1"/>
  <c r="F622" i="1" s="1"/>
  <c r="E624" i="1"/>
  <c r="F624" i="1" s="1"/>
  <c r="E626" i="1"/>
  <c r="F626" i="1" s="1"/>
  <c r="E418" i="1"/>
  <c r="F418" i="1" s="1"/>
  <c r="H620" i="1"/>
  <c r="I620" i="1" s="1"/>
  <c r="H618" i="1"/>
  <c r="I618" i="1" s="1"/>
  <c r="K601" i="1"/>
  <c r="L601" i="1" s="1"/>
  <c r="K595" i="1"/>
  <c r="L595" i="1" s="1"/>
  <c r="K589" i="1"/>
  <c r="L589" i="1" s="1"/>
  <c r="K583" i="1"/>
  <c r="L583" i="1" s="1"/>
  <c r="K577" i="1"/>
  <c r="L577" i="1" s="1"/>
  <c r="K571" i="1"/>
  <c r="L571" i="1" s="1"/>
  <c r="K565" i="1"/>
  <c r="L565" i="1" s="1"/>
  <c r="K559" i="1"/>
  <c r="L559" i="1" s="1"/>
  <c r="K553" i="1"/>
  <c r="L553" i="1" s="1"/>
  <c r="K547" i="1"/>
  <c r="L547" i="1" s="1"/>
  <c r="K539" i="1"/>
  <c r="L539" i="1" s="1"/>
  <c r="K533" i="1"/>
  <c r="L533" i="1" s="1"/>
  <c r="K525" i="1"/>
  <c r="L525" i="1" s="1"/>
  <c r="K511" i="1"/>
  <c r="L511" i="1" s="1"/>
  <c r="K20" i="1"/>
  <c r="L20" i="1" s="1"/>
  <c r="H691" i="1"/>
  <c r="I691" i="1" s="1"/>
  <c r="N689" i="1"/>
  <c r="O689" i="1" s="1"/>
  <c r="N688" i="1"/>
  <c r="O688" i="1" s="1"/>
  <c r="H688" i="1"/>
  <c r="I688" i="1" s="1"/>
  <c r="H687" i="1"/>
  <c r="I687" i="1" s="1"/>
  <c r="H686" i="1"/>
  <c r="I686" i="1" s="1"/>
  <c r="N684" i="1"/>
  <c r="O684" i="1" s="1"/>
  <c r="N683" i="1"/>
  <c r="O683" i="1" s="1"/>
  <c r="N682" i="1"/>
  <c r="O682" i="1" s="1"/>
  <c r="N681" i="1"/>
  <c r="O681" i="1" s="1"/>
  <c r="H681" i="1"/>
  <c r="I681" i="1" s="1"/>
  <c r="H680" i="1"/>
  <c r="I680" i="1" s="1"/>
  <c r="N679" i="1"/>
  <c r="O679" i="1" s="1"/>
  <c r="N678" i="1"/>
  <c r="O678" i="1" s="1"/>
  <c r="H678" i="1"/>
  <c r="I678" i="1" s="1"/>
  <c r="N677" i="1"/>
  <c r="O677" i="1" s="1"/>
  <c r="H677" i="1"/>
  <c r="I677" i="1" s="1"/>
  <c r="N676" i="1"/>
  <c r="O676" i="1" s="1"/>
  <c r="H676" i="1"/>
  <c r="I676" i="1" s="1"/>
  <c r="N675" i="1"/>
  <c r="O675" i="1" s="1"/>
  <c r="N674" i="1"/>
  <c r="O674" i="1" s="1"/>
  <c r="H674" i="1"/>
  <c r="I674" i="1" s="1"/>
  <c r="N673" i="1"/>
  <c r="O673" i="1" s="1"/>
  <c r="H673" i="1"/>
  <c r="I673" i="1" s="1"/>
  <c r="N672" i="1"/>
  <c r="O672" i="1" s="1"/>
  <c r="H672" i="1"/>
  <c r="I672" i="1" s="1"/>
  <c r="N671" i="1"/>
  <c r="O671" i="1" s="1"/>
  <c r="H671" i="1"/>
  <c r="I671" i="1" s="1"/>
  <c r="N670" i="1"/>
  <c r="O670" i="1" s="1"/>
  <c r="H670" i="1"/>
  <c r="I670" i="1" s="1"/>
  <c r="N669" i="1"/>
  <c r="O669" i="1" s="1"/>
  <c r="H669" i="1"/>
  <c r="I669" i="1" s="1"/>
  <c r="N668" i="1"/>
  <c r="O668" i="1" s="1"/>
  <c r="H668" i="1"/>
  <c r="I668" i="1" s="1"/>
  <c r="N667" i="1"/>
  <c r="O667" i="1" s="1"/>
  <c r="H667" i="1"/>
  <c r="I667" i="1" s="1"/>
  <c r="N666" i="1"/>
  <c r="O666" i="1" s="1"/>
  <c r="H666" i="1"/>
  <c r="I666" i="1" s="1"/>
  <c r="N665" i="1"/>
  <c r="O665" i="1" s="1"/>
  <c r="H665" i="1"/>
  <c r="I665" i="1" s="1"/>
  <c r="N664" i="1"/>
  <c r="O664" i="1" s="1"/>
  <c r="H664" i="1"/>
  <c r="I664" i="1" s="1"/>
  <c r="N663" i="1"/>
  <c r="O663" i="1" s="1"/>
  <c r="H663" i="1"/>
  <c r="I663" i="1" s="1"/>
  <c r="N662" i="1"/>
  <c r="O662" i="1" s="1"/>
  <c r="H662" i="1"/>
  <c r="I662" i="1" s="1"/>
  <c r="N661" i="1"/>
  <c r="O661" i="1" s="1"/>
  <c r="H661" i="1"/>
  <c r="I661" i="1" s="1"/>
  <c r="N660" i="1"/>
  <c r="O660" i="1" s="1"/>
  <c r="H660" i="1"/>
  <c r="I660" i="1" s="1"/>
  <c r="N659" i="1"/>
  <c r="O659" i="1" s="1"/>
  <c r="H659" i="1"/>
  <c r="I659" i="1" s="1"/>
  <c r="N658" i="1"/>
  <c r="O658" i="1" s="1"/>
  <c r="H658" i="1"/>
  <c r="I658" i="1" s="1"/>
  <c r="N657" i="1"/>
  <c r="O657" i="1" s="1"/>
  <c r="H657" i="1"/>
  <c r="I657" i="1" s="1"/>
  <c r="N656" i="1"/>
  <c r="O656" i="1" s="1"/>
  <c r="H656" i="1"/>
  <c r="I656" i="1" s="1"/>
  <c r="N655" i="1"/>
  <c r="O655" i="1" s="1"/>
  <c r="H655" i="1"/>
  <c r="I655" i="1" s="1"/>
  <c r="N654" i="1"/>
  <c r="O654" i="1" s="1"/>
  <c r="H654" i="1"/>
  <c r="I654" i="1" s="1"/>
  <c r="N653" i="1"/>
  <c r="O653" i="1" s="1"/>
  <c r="H653" i="1"/>
  <c r="I653" i="1" s="1"/>
  <c r="N652" i="1"/>
  <c r="O652" i="1" s="1"/>
  <c r="H652" i="1"/>
  <c r="I652" i="1" s="1"/>
  <c r="N651" i="1"/>
  <c r="O651" i="1" s="1"/>
  <c r="H651" i="1"/>
  <c r="I651" i="1" s="1"/>
  <c r="N650" i="1"/>
  <c r="O650" i="1" s="1"/>
  <c r="H650" i="1"/>
  <c r="I650" i="1" s="1"/>
  <c r="N649" i="1"/>
  <c r="O649" i="1" s="1"/>
  <c r="H649" i="1"/>
  <c r="I649" i="1" s="1"/>
  <c r="N648" i="1"/>
  <c r="O648" i="1" s="1"/>
  <c r="H648" i="1"/>
  <c r="I648" i="1" s="1"/>
  <c r="N647" i="1"/>
  <c r="O647" i="1" s="1"/>
  <c r="H647" i="1"/>
  <c r="I647" i="1" s="1"/>
  <c r="N646" i="1"/>
  <c r="O646" i="1" s="1"/>
  <c r="H646" i="1"/>
  <c r="I646" i="1" s="1"/>
  <c r="N645" i="1"/>
  <c r="O645" i="1" s="1"/>
  <c r="H645" i="1"/>
  <c r="I645" i="1" s="1"/>
  <c r="N644" i="1"/>
  <c r="O644" i="1" s="1"/>
  <c r="H644" i="1"/>
  <c r="I644" i="1" s="1"/>
  <c r="N643" i="1"/>
  <c r="O643" i="1" s="1"/>
  <c r="H643" i="1"/>
  <c r="I643" i="1" s="1"/>
  <c r="N642" i="1"/>
  <c r="O642" i="1" s="1"/>
  <c r="H642" i="1"/>
  <c r="I642" i="1" s="1"/>
  <c r="N641" i="1"/>
  <c r="O641" i="1" s="1"/>
  <c r="H641" i="1"/>
  <c r="I641" i="1" s="1"/>
  <c r="N640" i="1"/>
  <c r="O640" i="1" s="1"/>
  <c r="H640" i="1"/>
  <c r="I640" i="1" s="1"/>
  <c r="N639" i="1"/>
  <c r="O639" i="1" s="1"/>
  <c r="H639" i="1"/>
  <c r="I639" i="1" s="1"/>
  <c r="N638" i="1"/>
  <c r="O638" i="1" s="1"/>
  <c r="H638" i="1"/>
  <c r="I638" i="1" s="1"/>
  <c r="N637" i="1"/>
  <c r="O637" i="1" s="1"/>
  <c r="H637" i="1"/>
  <c r="I637" i="1" s="1"/>
  <c r="N636" i="1"/>
  <c r="O636" i="1" s="1"/>
  <c r="H636" i="1"/>
  <c r="I636" i="1" s="1"/>
  <c r="N635" i="1"/>
  <c r="O635" i="1" s="1"/>
  <c r="H635" i="1"/>
  <c r="I635" i="1" s="1"/>
  <c r="N634" i="1"/>
  <c r="O634" i="1" s="1"/>
  <c r="H634" i="1"/>
  <c r="I634" i="1" s="1"/>
  <c r="N633" i="1"/>
  <c r="O633" i="1" s="1"/>
  <c r="H633" i="1"/>
  <c r="I633" i="1" s="1"/>
  <c r="N632" i="1"/>
  <c r="O632" i="1" s="1"/>
  <c r="H632" i="1"/>
  <c r="I632" i="1" s="1"/>
  <c r="N631" i="1"/>
  <c r="O631" i="1" s="1"/>
  <c r="H631" i="1"/>
  <c r="I631" i="1" s="1"/>
  <c r="N630" i="1"/>
  <c r="O630" i="1" s="1"/>
  <c r="H630" i="1"/>
  <c r="I630" i="1" s="1"/>
  <c r="N629" i="1"/>
  <c r="O629" i="1" s="1"/>
  <c r="H629" i="1"/>
  <c r="I629" i="1" s="1"/>
  <c r="N628" i="1"/>
  <c r="O628" i="1" s="1"/>
  <c r="H628" i="1"/>
  <c r="I628" i="1" s="1"/>
  <c r="N627" i="1"/>
  <c r="O627" i="1" s="1"/>
  <c r="H627" i="1"/>
  <c r="I627" i="1" s="1"/>
  <c r="N626" i="1"/>
  <c r="O626" i="1" s="1"/>
  <c r="N624" i="1"/>
  <c r="O624" i="1" s="1"/>
  <c r="N622" i="1"/>
  <c r="O622" i="1" s="1"/>
  <c r="N620" i="1"/>
  <c r="O620" i="1" s="1"/>
  <c r="N618" i="1"/>
  <c r="O618" i="1" s="1"/>
  <c r="H464" i="1"/>
  <c r="I464" i="1" s="1"/>
  <c r="K461" i="1"/>
  <c r="L461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3" i="1"/>
  <c r="I43" i="1" s="1"/>
  <c r="H45" i="1"/>
  <c r="I45" i="1" s="1"/>
  <c r="H47" i="1"/>
  <c r="I47" i="1" s="1"/>
  <c r="H49" i="1"/>
  <c r="I49" i="1" s="1"/>
  <c r="H51" i="1"/>
  <c r="I51" i="1" s="1"/>
  <c r="H53" i="1"/>
  <c r="I53" i="1" s="1"/>
  <c r="H55" i="1"/>
  <c r="I55" i="1" s="1"/>
  <c r="H57" i="1"/>
  <c r="I57" i="1" s="1"/>
  <c r="H59" i="1"/>
  <c r="I59" i="1" s="1"/>
  <c r="H61" i="1"/>
  <c r="I61" i="1" s="1"/>
  <c r="H42" i="1"/>
  <c r="I42" i="1" s="1"/>
  <c r="H44" i="1"/>
  <c r="I44" i="1" s="1"/>
  <c r="H46" i="1"/>
  <c r="I46" i="1" s="1"/>
  <c r="H48" i="1"/>
  <c r="I48" i="1" s="1"/>
  <c r="H50" i="1"/>
  <c r="I50" i="1" s="1"/>
  <c r="H52" i="1"/>
  <c r="I52" i="1" s="1"/>
  <c r="H54" i="1"/>
  <c r="I54" i="1" s="1"/>
  <c r="H56" i="1"/>
  <c r="I56" i="1" s="1"/>
  <c r="H58" i="1"/>
  <c r="I58" i="1" s="1"/>
  <c r="H60" i="1"/>
  <c r="I60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70" i="1"/>
  <c r="I70" i="1" s="1"/>
  <c r="H72" i="1"/>
  <c r="I72" i="1" s="1"/>
  <c r="H74" i="1"/>
  <c r="I74" i="1" s="1"/>
  <c r="H76" i="1"/>
  <c r="I76" i="1" s="1"/>
  <c r="H78" i="1"/>
  <c r="I78" i="1" s="1"/>
  <c r="H80" i="1"/>
  <c r="I80" i="1" s="1"/>
  <c r="H82" i="1"/>
  <c r="I82" i="1" s="1"/>
  <c r="H84" i="1"/>
  <c r="I84" i="1" s="1"/>
  <c r="H86" i="1"/>
  <c r="I86" i="1" s="1"/>
  <c r="H88" i="1"/>
  <c r="I88" i="1" s="1"/>
  <c r="H90" i="1"/>
  <c r="I90" i="1" s="1"/>
  <c r="H92" i="1"/>
  <c r="I92" i="1" s="1"/>
  <c r="H94" i="1"/>
  <c r="I94" i="1" s="1"/>
  <c r="H96" i="1"/>
  <c r="I96" i="1" s="1"/>
  <c r="H98" i="1"/>
  <c r="I98" i="1" s="1"/>
  <c r="H100" i="1"/>
  <c r="I100" i="1" s="1"/>
  <c r="H102" i="1"/>
  <c r="I102" i="1" s="1"/>
  <c r="H104" i="1"/>
  <c r="I104" i="1" s="1"/>
  <c r="H106" i="1"/>
  <c r="I106" i="1" s="1"/>
  <c r="H108" i="1"/>
  <c r="I108" i="1" s="1"/>
  <c r="H110" i="1"/>
  <c r="I110" i="1" s="1"/>
  <c r="H112" i="1"/>
  <c r="I112" i="1" s="1"/>
  <c r="H114" i="1"/>
  <c r="I114" i="1" s="1"/>
  <c r="H116" i="1"/>
  <c r="I116" i="1" s="1"/>
  <c r="H118" i="1"/>
  <c r="I118" i="1" s="1"/>
  <c r="H120" i="1"/>
  <c r="I120" i="1" s="1"/>
  <c r="H69" i="1"/>
  <c r="I69" i="1" s="1"/>
  <c r="H71" i="1"/>
  <c r="I71" i="1" s="1"/>
  <c r="H73" i="1"/>
  <c r="I73" i="1" s="1"/>
  <c r="H75" i="1"/>
  <c r="I75" i="1" s="1"/>
  <c r="H77" i="1"/>
  <c r="I77" i="1" s="1"/>
  <c r="H79" i="1"/>
  <c r="I79" i="1" s="1"/>
  <c r="H81" i="1"/>
  <c r="I81" i="1" s="1"/>
  <c r="H83" i="1"/>
  <c r="I83" i="1" s="1"/>
  <c r="H85" i="1"/>
  <c r="I85" i="1" s="1"/>
  <c r="H87" i="1"/>
  <c r="I87" i="1" s="1"/>
  <c r="H89" i="1"/>
  <c r="I89" i="1" s="1"/>
  <c r="H91" i="1"/>
  <c r="I91" i="1" s="1"/>
  <c r="H93" i="1"/>
  <c r="I93" i="1" s="1"/>
  <c r="H95" i="1"/>
  <c r="I95" i="1" s="1"/>
  <c r="H97" i="1"/>
  <c r="I97" i="1" s="1"/>
  <c r="H99" i="1"/>
  <c r="I99" i="1" s="1"/>
  <c r="H101" i="1"/>
  <c r="I101" i="1" s="1"/>
  <c r="H103" i="1"/>
  <c r="I103" i="1" s="1"/>
  <c r="H105" i="1"/>
  <c r="I105" i="1" s="1"/>
  <c r="H107" i="1"/>
  <c r="I107" i="1" s="1"/>
  <c r="H109" i="1"/>
  <c r="I109" i="1" s="1"/>
  <c r="H111" i="1"/>
  <c r="I111" i="1" s="1"/>
  <c r="H113" i="1"/>
  <c r="I113" i="1" s="1"/>
  <c r="H119" i="1"/>
  <c r="I119" i="1" s="1"/>
  <c r="H121" i="1"/>
  <c r="I121" i="1" s="1"/>
  <c r="H123" i="1"/>
  <c r="I123" i="1" s="1"/>
  <c r="H125" i="1"/>
  <c r="I125" i="1" s="1"/>
  <c r="H127" i="1"/>
  <c r="I127" i="1" s="1"/>
  <c r="H129" i="1"/>
  <c r="I129" i="1" s="1"/>
  <c r="H131" i="1"/>
  <c r="I131" i="1" s="1"/>
  <c r="H133" i="1"/>
  <c r="I133" i="1" s="1"/>
  <c r="H135" i="1"/>
  <c r="I135" i="1" s="1"/>
  <c r="H137" i="1"/>
  <c r="I137" i="1" s="1"/>
  <c r="H139" i="1"/>
  <c r="I139" i="1" s="1"/>
  <c r="H141" i="1"/>
  <c r="I141" i="1" s="1"/>
  <c r="H143" i="1"/>
  <c r="I143" i="1" s="1"/>
  <c r="H145" i="1"/>
  <c r="I145" i="1" s="1"/>
  <c r="H147" i="1"/>
  <c r="I147" i="1" s="1"/>
  <c r="H149" i="1"/>
  <c r="I149" i="1" s="1"/>
  <c r="H151" i="1"/>
  <c r="I151" i="1" s="1"/>
  <c r="H153" i="1"/>
  <c r="I153" i="1" s="1"/>
  <c r="H155" i="1"/>
  <c r="I155" i="1" s="1"/>
  <c r="H157" i="1"/>
  <c r="I157" i="1" s="1"/>
  <c r="H115" i="1"/>
  <c r="I115" i="1" s="1"/>
  <c r="H124" i="1"/>
  <c r="I124" i="1" s="1"/>
  <c r="H132" i="1"/>
  <c r="I132" i="1" s="1"/>
  <c r="H136" i="1"/>
  <c r="I136" i="1" s="1"/>
  <c r="H140" i="1"/>
  <c r="I140" i="1" s="1"/>
  <c r="H144" i="1"/>
  <c r="I144" i="1" s="1"/>
  <c r="H148" i="1"/>
  <c r="I148" i="1" s="1"/>
  <c r="H152" i="1"/>
  <c r="I152" i="1" s="1"/>
  <c r="H156" i="1"/>
  <c r="I156" i="1" s="1"/>
  <c r="H164" i="1"/>
  <c r="I164" i="1" s="1"/>
  <c r="H165" i="1"/>
  <c r="I165" i="1" s="1"/>
  <c r="H172" i="1"/>
  <c r="I172" i="1" s="1"/>
  <c r="H173" i="1"/>
  <c r="I173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122" i="1"/>
  <c r="I122" i="1" s="1"/>
  <c r="H130" i="1"/>
  <c r="I130" i="1" s="1"/>
  <c r="H159" i="1"/>
  <c r="I159" i="1" s="1"/>
  <c r="H166" i="1"/>
  <c r="I166" i="1" s="1"/>
  <c r="H167" i="1"/>
  <c r="I167" i="1" s="1"/>
  <c r="H174" i="1"/>
  <c r="I174" i="1" s="1"/>
  <c r="H175" i="1"/>
  <c r="I175" i="1" s="1"/>
  <c r="H177" i="1"/>
  <c r="I177" i="1" s="1"/>
  <c r="H179" i="1"/>
  <c r="I179" i="1" s="1"/>
  <c r="H181" i="1"/>
  <c r="I181" i="1" s="1"/>
  <c r="H183" i="1"/>
  <c r="I183" i="1" s="1"/>
  <c r="H185" i="1"/>
  <c r="I185" i="1" s="1"/>
  <c r="H187" i="1"/>
  <c r="I187" i="1" s="1"/>
  <c r="H189" i="1"/>
  <c r="I189" i="1" s="1"/>
  <c r="H191" i="1"/>
  <c r="I191" i="1" s="1"/>
  <c r="H128" i="1"/>
  <c r="I128" i="1" s="1"/>
  <c r="H134" i="1"/>
  <c r="I134" i="1" s="1"/>
  <c r="H138" i="1"/>
  <c r="I138" i="1" s="1"/>
  <c r="H142" i="1"/>
  <c r="I142" i="1" s="1"/>
  <c r="H146" i="1"/>
  <c r="I146" i="1" s="1"/>
  <c r="H150" i="1"/>
  <c r="I150" i="1" s="1"/>
  <c r="H154" i="1"/>
  <c r="I154" i="1" s="1"/>
  <c r="H158" i="1"/>
  <c r="I158" i="1" s="1"/>
  <c r="H160" i="1"/>
  <c r="I160" i="1" s="1"/>
  <c r="H161" i="1"/>
  <c r="I161" i="1" s="1"/>
  <c r="H168" i="1"/>
  <c r="I168" i="1" s="1"/>
  <c r="H169" i="1"/>
  <c r="I169" i="1" s="1"/>
  <c r="H126" i="1"/>
  <c r="I126" i="1" s="1"/>
  <c r="H171" i="1"/>
  <c r="I171" i="1" s="1"/>
  <c r="H180" i="1"/>
  <c r="I180" i="1" s="1"/>
  <c r="H188" i="1"/>
  <c r="I188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9" i="1"/>
  <c r="I239" i="1" s="1"/>
  <c r="H117" i="1"/>
  <c r="I117" i="1" s="1"/>
  <c r="H178" i="1"/>
  <c r="I178" i="1" s="1"/>
  <c r="H186" i="1"/>
  <c r="I186" i="1" s="1"/>
  <c r="H162" i="1"/>
  <c r="I162" i="1" s="1"/>
  <c r="H176" i="1"/>
  <c r="I176" i="1" s="1"/>
  <c r="H184" i="1"/>
  <c r="I184" i="1" s="1"/>
  <c r="H238" i="1"/>
  <c r="I238" i="1" s="1"/>
  <c r="H163" i="1"/>
  <c r="I163" i="1" s="1"/>
  <c r="H240" i="1"/>
  <c r="I240" i="1" s="1"/>
  <c r="H242" i="1"/>
  <c r="I242" i="1" s="1"/>
  <c r="H244" i="1"/>
  <c r="I244" i="1" s="1"/>
  <c r="H246" i="1"/>
  <c r="I246" i="1" s="1"/>
  <c r="H248" i="1"/>
  <c r="I248" i="1" s="1"/>
  <c r="H250" i="1"/>
  <c r="I250" i="1" s="1"/>
  <c r="H252" i="1"/>
  <c r="I252" i="1" s="1"/>
  <c r="H254" i="1"/>
  <c r="I254" i="1" s="1"/>
  <c r="H256" i="1"/>
  <c r="I256" i="1" s="1"/>
  <c r="H258" i="1"/>
  <c r="I258" i="1" s="1"/>
  <c r="H260" i="1"/>
  <c r="I260" i="1" s="1"/>
  <c r="H262" i="1"/>
  <c r="I262" i="1" s="1"/>
  <c r="H264" i="1"/>
  <c r="I264" i="1" s="1"/>
  <c r="H266" i="1"/>
  <c r="I266" i="1" s="1"/>
  <c r="H268" i="1"/>
  <c r="I268" i="1" s="1"/>
  <c r="H270" i="1"/>
  <c r="I270" i="1" s="1"/>
  <c r="H272" i="1"/>
  <c r="I272" i="1" s="1"/>
  <c r="H274" i="1"/>
  <c r="I274" i="1" s="1"/>
  <c r="H276" i="1"/>
  <c r="I276" i="1" s="1"/>
  <c r="H278" i="1"/>
  <c r="I278" i="1" s="1"/>
  <c r="H280" i="1"/>
  <c r="I280" i="1" s="1"/>
  <c r="H282" i="1"/>
  <c r="I282" i="1" s="1"/>
  <c r="H284" i="1"/>
  <c r="I284" i="1" s="1"/>
  <c r="H286" i="1"/>
  <c r="I286" i="1" s="1"/>
  <c r="H288" i="1"/>
  <c r="I288" i="1" s="1"/>
  <c r="H290" i="1"/>
  <c r="I290" i="1" s="1"/>
  <c r="H292" i="1"/>
  <c r="I292" i="1" s="1"/>
  <c r="H294" i="1"/>
  <c r="I294" i="1" s="1"/>
  <c r="H296" i="1"/>
  <c r="I296" i="1" s="1"/>
  <c r="H309" i="1"/>
  <c r="I309" i="1" s="1"/>
  <c r="H311" i="1"/>
  <c r="I311" i="1" s="1"/>
  <c r="H313" i="1"/>
  <c r="I313" i="1" s="1"/>
  <c r="H315" i="1"/>
  <c r="I315" i="1" s="1"/>
  <c r="H317" i="1"/>
  <c r="I317" i="1" s="1"/>
  <c r="H319" i="1"/>
  <c r="I319" i="1" s="1"/>
  <c r="H321" i="1"/>
  <c r="I321" i="1" s="1"/>
  <c r="H323" i="1"/>
  <c r="I323" i="1" s="1"/>
  <c r="H325" i="1"/>
  <c r="I325" i="1" s="1"/>
  <c r="H327" i="1"/>
  <c r="I327" i="1" s="1"/>
  <c r="H329" i="1"/>
  <c r="I329" i="1" s="1"/>
  <c r="H331" i="1"/>
  <c r="I331" i="1" s="1"/>
  <c r="H333" i="1"/>
  <c r="I333" i="1" s="1"/>
  <c r="H335" i="1"/>
  <c r="I335" i="1" s="1"/>
  <c r="H337" i="1"/>
  <c r="I337" i="1" s="1"/>
  <c r="H339" i="1"/>
  <c r="I339" i="1" s="1"/>
  <c r="H341" i="1"/>
  <c r="I341" i="1" s="1"/>
  <c r="H343" i="1"/>
  <c r="I343" i="1" s="1"/>
  <c r="H345" i="1"/>
  <c r="I345" i="1" s="1"/>
  <c r="H347" i="1"/>
  <c r="I347" i="1" s="1"/>
  <c r="H349" i="1"/>
  <c r="I349" i="1" s="1"/>
  <c r="H351" i="1"/>
  <c r="I351" i="1" s="1"/>
  <c r="H353" i="1"/>
  <c r="I353" i="1" s="1"/>
  <c r="H355" i="1"/>
  <c r="I355" i="1" s="1"/>
  <c r="H357" i="1"/>
  <c r="I357" i="1" s="1"/>
  <c r="H359" i="1"/>
  <c r="I359" i="1" s="1"/>
  <c r="H361" i="1"/>
  <c r="I361" i="1" s="1"/>
  <c r="H363" i="1"/>
  <c r="I363" i="1" s="1"/>
  <c r="H365" i="1"/>
  <c r="I365" i="1" s="1"/>
  <c r="H367" i="1"/>
  <c r="I367" i="1" s="1"/>
  <c r="H369" i="1"/>
  <c r="I369" i="1" s="1"/>
  <c r="H190" i="1"/>
  <c r="I19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170" i="1"/>
  <c r="I170" i="1" s="1"/>
  <c r="H182" i="1"/>
  <c r="I182" i="1" s="1"/>
  <c r="H241" i="1"/>
  <c r="I241" i="1" s="1"/>
  <c r="H243" i="1"/>
  <c r="I243" i="1" s="1"/>
  <c r="H245" i="1"/>
  <c r="I245" i="1" s="1"/>
  <c r="H247" i="1"/>
  <c r="I247" i="1" s="1"/>
  <c r="H249" i="1"/>
  <c r="I249" i="1" s="1"/>
  <c r="H251" i="1"/>
  <c r="I251" i="1" s="1"/>
  <c r="H253" i="1"/>
  <c r="I253" i="1" s="1"/>
  <c r="H255" i="1"/>
  <c r="I255" i="1" s="1"/>
  <c r="H257" i="1"/>
  <c r="I257" i="1" s="1"/>
  <c r="H259" i="1"/>
  <c r="I259" i="1" s="1"/>
  <c r="H261" i="1"/>
  <c r="I261" i="1" s="1"/>
  <c r="H263" i="1"/>
  <c r="I263" i="1" s="1"/>
  <c r="H265" i="1"/>
  <c r="I265" i="1" s="1"/>
  <c r="H267" i="1"/>
  <c r="I267" i="1" s="1"/>
  <c r="H269" i="1"/>
  <c r="I269" i="1" s="1"/>
  <c r="H271" i="1"/>
  <c r="I271" i="1" s="1"/>
  <c r="H273" i="1"/>
  <c r="I273" i="1" s="1"/>
  <c r="H275" i="1"/>
  <c r="I275" i="1" s="1"/>
  <c r="H277" i="1"/>
  <c r="I277" i="1" s="1"/>
  <c r="H279" i="1"/>
  <c r="I279" i="1" s="1"/>
  <c r="H281" i="1"/>
  <c r="I281" i="1" s="1"/>
  <c r="H283" i="1"/>
  <c r="I283" i="1" s="1"/>
  <c r="H285" i="1"/>
  <c r="I285" i="1" s="1"/>
  <c r="H287" i="1"/>
  <c r="I287" i="1" s="1"/>
  <c r="H289" i="1"/>
  <c r="I289" i="1" s="1"/>
  <c r="H291" i="1"/>
  <c r="I291" i="1" s="1"/>
  <c r="H293" i="1"/>
  <c r="I293" i="1" s="1"/>
  <c r="H295" i="1"/>
  <c r="I295" i="1" s="1"/>
  <c r="H310" i="1"/>
  <c r="I310" i="1" s="1"/>
  <c r="H312" i="1"/>
  <c r="I312" i="1" s="1"/>
  <c r="H314" i="1"/>
  <c r="I314" i="1" s="1"/>
  <c r="H316" i="1"/>
  <c r="I316" i="1" s="1"/>
  <c r="H318" i="1"/>
  <c r="I318" i="1" s="1"/>
  <c r="H320" i="1"/>
  <c r="I320" i="1" s="1"/>
  <c r="H322" i="1"/>
  <c r="I322" i="1" s="1"/>
  <c r="H324" i="1"/>
  <c r="I324" i="1" s="1"/>
  <c r="H326" i="1"/>
  <c r="I326" i="1" s="1"/>
  <c r="H328" i="1"/>
  <c r="I328" i="1" s="1"/>
  <c r="H330" i="1"/>
  <c r="I330" i="1" s="1"/>
  <c r="H332" i="1"/>
  <c r="I332" i="1" s="1"/>
  <c r="H334" i="1"/>
  <c r="I334" i="1" s="1"/>
  <c r="H336" i="1"/>
  <c r="I336" i="1" s="1"/>
  <c r="H338" i="1"/>
  <c r="I338" i="1" s="1"/>
  <c r="H340" i="1"/>
  <c r="I340" i="1" s="1"/>
  <c r="H342" i="1"/>
  <c r="I342" i="1" s="1"/>
  <c r="H344" i="1"/>
  <c r="I344" i="1" s="1"/>
  <c r="H346" i="1"/>
  <c r="I346" i="1" s="1"/>
  <c r="H348" i="1"/>
  <c r="I348" i="1" s="1"/>
  <c r="H350" i="1"/>
  <c r="I350" i="1" s="1"/>
  <c r="H352" i="1"/>
  <c r="I352" i="1" s="1"/>
  <c r="H354" i="1"/>
  <c r="I354" i="1" s="1"/>
  <c r="H356" i="1"/>
  <c r="I356" i="1" s="1"/>
  <c r="H358" i="1"/>
  <c r="I358" i="1" s="1"/>
  <c r="H360" i="1"/>
  <c r="I360" i="1" s="1"/>
  <c r="H362" i="1"/>
  <c r="I362" i="1" s="1"/>
  <c r="H364" i="1"/>
  <c r="I364" i="1" s="1"/>
  <c r="H366" i="1"/>
  <c r="I366" i="1" s="1"/>
  <c r="H368" i="1"/>
  <c r="I368" i="1" s="1"/>
  <c r="H370" i="1"/>
  <c r="I370" i="1" s="1"/>
  <c r="H299" i="1"/>
  <c r="I299" i="1" s="1"/>
  <c r="H303" i="1"/>
  <c r="I303" i="1" s="1"/>
  <c r="H307" i="1"/>
  <c r="I307" i="1" s="1"/>
  <c r="H300" i="1"/>
  <c r="I300" i="1" s="1"/>
  <c r="H304" i="1"/>
  <c r="I304" i="1" s="1"/>
  <c r="H308" i="1"/>
  <c r="I308" i="1" s="1"/>
  <c r="H297" i="1"/>
  <c r="I297" i="1" s="1"/>
  <c r="H301" i="1"/>
  <c r="I301" i="1" s="1"/>
  <c r="H305" i="1"/>
  <c r="I305" i="1" s="1"/>
  <c r="H298" i="1"/>
  <c r="I298" i="1" s="1"/>
  <c r="H302" i="1"/>
  <c r="I302" i="1" s="1"/>
  <c r="H306" i="1"/>
  <c r="I306" i="1" s="1"/>
  <c r="H452" i="1"/>
  <c r="I452" i="1" s="1"/>
  <c r="H454" i="1"/>
  <c r="I454" i="1" s="1"/>
  <c r="H451" i="1"/>
  <c r="I451" i="1" s="1"/>
  <c r="H450" i="1"/>
  <c r="I450" i="1" s="1"/>
  <c r="H453" i="1"/>
  <c r="I453" i="1" s="1"/>
  <c r="H457" i="1"/>
  <c r="I457" i="1" s="1"/>
  <c r="H459" i="1"/>
  <c r="I459" i="1" s="1"/>
  <c r="H461" i="1"/>
  <c r="I461" i="1" s="1"/>
  <c r="H463" i="1"/>
  <c r="I463" i="1" s="1"/>
  <c r="H465" i="1"/>
  <c r="I465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455" i="1"/>
  <c r="I455" i="1" s="1"/>
  <c r="H626" i="1"/>
  <c r="I626" i="1" s="1"/>
  <c r="H624" i="1"/>
  <c r="I624" i="1" s="1"/>
  <c r="H622" i="1"/>
  <c r="I622" i="1" s="1"/>
  <c r="K597" i="1"/>
  <c r="L597" i="1" s="1"/>
  <c r="K591" i="1"/>
  <c r="L591" i="1" s="1"/>
  <c r="K587" i="1"/>
  <c r="L587" i="1" s="1"/>
  <c r="K581" i="1"/>
  <c r="L581" i="1" s="1"/>
  <c r="K575" i="1"/>
  <c r="L575" i="1" s="1"/>
  <c r="K569" i="1"/>
  <c r="L569" i="1" s="1"/>
  <c r="K563" i="1"/>
  <c r="L563" i="1" s="1"/>
  <c r="K557" i="1"/>
  <c r="L557" i="1" s="1"/>
  <c r="K551" i="1"/>
  <c r="L551" i="1" s="1"/>
  <c r="K545" i="1"/>
  <c r="L545" i="1" s="1"/>
  <c r="K541" i="1"/>
  <c r="L541" i="1" s="1"/>
  <c r="K535" i="1"/>
  <c r="L535" i="1" s="1"/>
  <c r="K529" i="1"/>
  <c r="L529" i="1" s="1"/>
  <c r="K523" i="1"/>
  <c r="L523" i="1" s="1"/>
  <c r="K519" i="1"/>
  <c r="L519" i="1" s="1"/>
  <c r="K515" i="1"/>
  <c r="L515" i="1" s="1"/>
  <c r="K509" i="1"/>
  <c r="L509" i="1" s="1"/>
  <c r="K505" i="1"/>
  <c r="L505" i="1" s="1"/>
  <c r="K501" i="1"/>
  <c r="L501" i="1" s="1"/>
  <c r="K497" i="1"/>
  <c r="L497" i="1" s="1"/>
  <c r="K493" i="1"/>
  <c r="L493" i="1" s="1"/>
  <c r="K489" i="1"/>
  <c r="L489" i="1" s="1"/>
  <c r="K485" i="1"/>
  <c r="L485" i="1" s="1"/>
  <c r="K481" i="1"/>
  <c r="L481" i="1" s="1"/>
  <c r="K477" i="1"/>
  <c r="L477" i="1" s="1"/>
  <c r="K473" i="1"/>
  <c r="L473" i="1" s="1"/>
  <c r="K469" i="1"/>
  <c r="L469" i="1" s="1"/>
  <c r="K459" i="1"/>
  <c r="L459" i="1" s="1"/>
  <c r="N453" i="1"/>
  <c r="O453" i="1" s="1"/>
  <c r="H449" i="1"/>
  <c r="I449" i="1" s="1"/>
  <c r="K626" i="1"/>
  <c r="L626" i="1" s="1"/>
  <c r="H625" i="1"/>
  <c r="I625" i="1" s="1"/>
  <c r="K624" i="1"/>
  <c r="L624" i="1" s="1"/>
  <c r="H623" i="1"/>
  <c r="I623" i="1" s="1"/>
  <c r="K622" i="1"/>
  <c r="L622" i="1" s="1"/>
  <c r="H621" i="1"/>
  <c r="I621" i="1" s="1"/>
  <c r="K620" i="1"/>
  <c r="L620" i="1" s="1"/>
  <c r="H619" i="1"/>
  <c r="I619" i="1" s="1"/>
  <c r="K618" i="1"/>
  <c r="L618" i="1" s="1"/>
  <c r="K602" i="1"/>
  <c r="L602" i="1" s="1"/>
  <c r="K600" i="1"/>
  <c r="L600" i="1" s="1"/>
  <c r="K598" i="1"/>
  <c r="L598" i="1" s="1"/>
  <c r="K596" i="1"/>
  <c r="L596" i="1" s="1"/>
  <c r="K594" i="1"/>
  <c r="L594" i="1" s="1"/>
  <c r="K592" i="1"/>
  <c r="L592" i="1" s="1"/>
  <c r="K590" i="1"/>
  <c r="L590" i="1" s="1"/>
  <c r="K588" i="1"/>
  <c r="L588" i="1" s="1"/>
  <c r="K586" i="1"/>
  <c r="L586" i="1" s="1"/>
  <c r="K584" i="1"/>
  <c r="L584" i="1" s="1"/>
  <c r="K582" i="1"/>
  <c r="L582" i="1" s="1"/>
  <c r="K580" i="1"/>
  <c r="L580" i="1" s="1"/>
  <c r="K578" i="1"/>
  <c r="L578" i="1" s="1"/>
  <c r="K576" i="1"/>
  <c r="L576" i="1" s="1"/>
  <c r="K574" i="1"/>
  <c r="L574" i="1" s="1"/>
  <c r="K572" i="1"/>
  <c r="L572" i="1" s="1"/>
  <c r="K570" i="1"/>
  <c r="L570" i="1" s="1"/>
  <c r="K568" i="1"/>
  <c r="L568" i="1" s="1"/>
  <c r="K566" i="1"/>
  <c r="L566" i="1" s="1"/>
  <c r="K564" i="1"/>
  <c r="L564" i="1" s="1"/>
  <c r="K562" i="1"/>
  <c r="L562" i="1" s="1"/>
  <c r="K560" i="1"/>
  <c r="L560" i="1" s="1"/>
  <c r="K558" i="1"/>
  <c r="L558" i="1" s="1"/>
  <c r="K556" i="1"/>
  <c r="L556" i="1" s="1"/>
  <c r="K554" i="1"/>
  <c r="L554" i="1" s="1"/>
  <c r="K552" i="1"/>
  <c r="L552" i="1" s="1"/>
  <c r="K550" i="1"/>
  <c r="L550" i="1" s="1"/>
  <c r="K548" i="1"/>
  <c r="L548" i="1" s="1"/>
  <c r="K546" i="1"/>
  <c r="L546" i="1" s="1"/>
  <c r="K544" i="1"/>
  <c r="L544" i="1" s="1"/>
  <c r="K542" i="1"/>
  <c r="L542" i="1" s="1"/>
  <c r="K540" i="1"/>
  <c r="L540" i="1" s="1"/>
  <c r="K538" i="1"/>
  <c r="L538" i="1" s="1"/>
  <c r="K536" i="1"/>
  <c r="L536" i="1" s="1"/>
  <c r="K534" i="1"/>
  <c r="L534" i="1" s="1"/>
  <c r="K532" i="1"/>
  <c r="L532" i="1" s="1"/>
  <c r="K530" i="1"/>
  <c r="L530" i="1" s="1"/>
  <c r="K528" i="1"/>
  <c r="L528" i="1" s="1"/>
  <c r="K526" i="1"/>
  <c r="L526" i="1" s="1"/>
  <c r="K524" i="1"/>
  <c r="L524" i="1" s="1"/>
  <c r="K522" i="1"/>
  <c r="L522" i="1" s="1"/>
  <c r="K520" i="1"/>
  <c r="L520" i="1" s="1"/>
  <c r="K518" i="1"/>
  <c r="L518" i="1" s="1"/>
  <c r="K516" i="1"/>
  <c r="L516" i="1" s="1"/>
  <c r="K514" i="1"/>
  <c r="L514" i="1" s="1"/>
  <c r="K512" i="1"/>
  <c r="L512" i="1" s="1"/>
  <c r="K510" i="1"/>
  <c r="L510" i="1" s="1"/>
  <c r="K508" i="1"/>
  <c r="L508" i="1" s="1"/>
  <c r="K506" i="1"/>
  <c r="L506" i="1" s="1"/>
  <c r="K504" i="1"/>
  <c r="L504" i="1" s="1"/>
  <c r="K502" i="1"/>
  <c r="L502" i="1" s="1"/>
  <c r="K500" i="1"/>
  <c r="L500" i="1" s="1"/>
  <c r="K498" i="1"/>
  <c r="L498" i="1" s="1"/>
  <c r="K496" i="1"/>
  <c r="L496" i="1" s="1"/>
  <c r="K494" i="1"/>
  <c r="L494" i="1" s="1"/>
  <c r="K492" i="1"/>
  <c r="L492" i="1" s="1"/>
  <c r="K490" i="1"/>
  <c r="L490" i="1" s="1"/>
  <c r="K488" i="1"/>
  <c r="L488" i="1" s="1"/>
  <c r="K486" i="1"/>
  <c r="L486" i="1" s="1"/>
  <c r="K484" i="1"/>
  <c r="L484" i="1" s="1"/>
  <c r="K482" i="1"/>
  <c r="L482" i="1" s="1"/>
  <c r="K480" i="1"/>
  <c r="L480" i="1" s="1"/>
  <c r="K478" i="1"/>
  <c r="L478" i="1" s="1"/>
  <c r="K476" i="1"/>
  <c r="L476" i="1" s="1"/>
  <c r="K474" i="1"/>
  <c r="L474" i="1" s="1"/>
  <c r="K472" i="1"/>
  <c r="L472" i="1" s="1"/>
  <c r="K470" i="1"/>
  <c r="L470" i="1" s="1"/>
  <c r="K468" i="1"/>
  <c r="L468" i="1" s="1"/>
  <c r="H466" i="1"/>
  <c r="I466" i="1" s="1"/>
  <c r="H458" i="1"/>
  <c r="I458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6" i="1"/>
  <c r="L176" i="1" s="1"/>
  <c r="K178" i="1"/>
  <c r="L178" i="1" s="1"/>
  <c r="K180" i="1"/>
  <c r="L180" i="1" s="1"/>
  <c r="K182" i="1"/>
  <c r="L182" i="1" s="1"/>
  <c r="K184" i="1"/>
  <c r="L184" i="1" s="1"/>
  <c r="K186" i="1"/>
  <c r="L186" i="1" s="1"/>
  <c r="K188" i="1"/>
  <c r="L188" i="1" s="1"/>
  <c r="K190" i="1"/>
  <c r="L190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177" i="1"/>
  <c r="L177" i="1" s="1"/>
  <c r="K185" i="1"/>
  <c r="L185" i="1" s="1"/>
  <c r="K175" i="1"/>
  <c r="L175" i="1" s="1"/>
  <c r="K183" i="1"/>
  <c r="L183" i="1" s="1"/>
  <c r="K191" i="1"/>
  <c r="L191" i="1" s="1"/>
  <c r="K237" i="1"/>
  <c r="L237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181" i="1"/>
  <c r="L181" i="1" s="1"/>
  <c r="K189" i="1"/>
  <c r="L189" i="1" s="1"/>
  <c r="K187" i="1"/>
  <c r="L187" i="1" s="1"/>
  <c r="K179" i="1"/>
  <c r="L179" i="1" s="1"/>
  <c r="K238" i="1"/>
  <c r="L238" i="1" s="1"/>
  <c r="K309" i="1"/>
  <c r="L309" i="1" s="1"/>
  <c r="K311" i="1"/>
  <c r="L311" i="1" s="1"/>
  <c r="K313" i="1"/>
  <c r="L313" i="1" s="1"/>
  <c r="K315" i="1"/>
  <c r="L315" i="1" s="1"/>
  <c r="K317" i="1"/>
  <c r="L317" i="1" s="1"/>
  <c r="K319" i="1"/>
  <c r="L319" i="1" s="1"/>
  <c r="K321" i="1"/>
  <c r="L321" i="1" s="1"/>
  <c r="K323" i="1"/>
  <c r="L323" i="1" s="1"/>
  <c r="K325" i="1"/>
  <c r="L325" i="1" s="1"/>
  <c r="K327" i="1"/>
  <c r="L327" i="1" s="1"/>
  <c r="K329" i="1"/>
  <c r="L329" i="1" s="1"/>
  <c r="K331" i="1"/>
  <c r="L331" i="1" s="1"/>
  <c r="K333" i="1"/>
  <c r="L333" i="1" s="1"/>
  <c r="K335" i="1"/>
  <c r="L335" i="1" s="1"/>
  <c r="K337" i="1"/>
  <c r="L337" i="1" s="1"/>
  <c r="K339" i="1"/>
  <c r="L339" i="1" s="1"/>
  <c r="K341" i="1"/>
  <c r="L341" i="1" s="1"/>
  <c r="K343" i="1"/>
  <c r="L343" i="1" s="1"/>
  <c r="K345" i="1"/>
  <c r="L345" i="1" s="1"/>
  <c r="K347" i="1"/>
  <c r="L347" i="1" s="1"/>
  <c r="K349" i="1"/>
  <c r="L349" i="1" s="1"/>
  <c r="K351" i="1"/>
  <c r="L351" i="1" s="1"/>
  <c r="K353" i="1"/>
  <c r="L353" i="1" s="1"/>
  <c r="K355" i="1"/>
  <c r="L355" i="1" s="1"/>
  <c r="K357" i="1"/>
  <c r="L357" i="1" s="1"/>
  <c r="K359" i="1"/>
  <c r="L359" i="1" s="1"/>
  <c r="K361" i="1"/>
  <c r="L361" i="1" s="1"/>
  <c r="K363" i="1"/>
  <c r="L363" i="1" s="1"/>
  <c r="K365" i="1"/>
  <c r="L365" i="1" s="1"/>
  <c r="K367" i="1"/>
  <c r="L367" i="1" s="1"/>
  <c r="K369" i="1"/>
  <c r="L369" i="1" s="1"/>
  <c r="K310" i="1"/>
  <c r="L310" i="1" s="1"/>
  <c r="K318" i="1"/>
  <c r="L318" i="1" s="1"/>
  <c r="K326" i="1"/>
  <c r="L326" i="1" s="1"/>
  <c r="K334" i="1"/>
  <c r="L334" i="1" s="1"/>
  <c r="K342" i="1"/>
  <c r="L342" i="1" s="1"/>
  <c r="K350" i="1"/>
  <c r="L350" i="1" s="1"/>
  <c r="K358" i="1"/>
  <c r="L358" i="1" s="1"/>
  <c r="K366" i="1"/>
  <c r="L366" i="1" s="1"/>
  <c r="K371" i="1"/>
  <c r="L371" i="1" s="1"/>
  <c r="K373" i="1"/>
  <c r="L373" i="1" s="1"/>
  <c r="K375" i="1"/>
  <c r="L375" i="1" s="1"/>
  <c r="K377" i="1"/>
  <c r="L377" i="1" s="1"/>
  <c r="K379" i="1"/>
  <c r="L379" i="1" s="1"/>
  <c r="K381" i="1"/>
  <c r="L381" i="1" s="1"/>
  <c r="K383" i="1"/>
  <c r="L383" i="1" s="1"/>
  <c r="K385" i="1"/>
  <c r="L385" i="1" s="1"/>
  <c r="K387" i="1"/>
  <c r="L387" i="1" s="1"/>
  <c r="K316" i="1"/>
  <c r="L316" i="1" s="1"/>
  <c r="K324" i="1"/>
  <c r="L324" i="1" s="1"/>
  <c r="K332" i="1"/>
  <c r="L332" i="1" s="1"/>
  <c r="K340" i="1"/>
  <c r="L340" i="1" s="1"/>
  <c r="K348" i="1"/>
  <c r="L348" i="1" s="1"/>
  <c r="K356" i="1"/>
  <c r="L356" i="1" s="1"/>
  <c r="K364" i="1"/>
  <c r="L364" i="1" s="1"/>
  <c r="K314" i="1"/>
  <c r="L314" i="1" s="1"/>
  <c r="K322" i="1"/>
  <c r="L322" i="1" s="1"/>
  <c r="K330" i="1"/>
  <c r="L330" i="1" s="1"/>
  <c r="K338" i="1"/>
  <c r="L338" i="1" s="1"/>
  <c r="K346" i="1"/>
  <c r="L346" i="1" s="1"/>
  <c r="K354" i="1"/>
  <c r="L354" i="1" s="1"/>
  <c r="K362" i="1"/>
  <c r="L362" i="1" s="1"/>
  <c r="K370" i="1"/>
  <c r="L370" i="1" s="1"/>
  <c r="K372" i="1"/>
  <c r="L372" i="1" s="1"/>
  <c r="K374" i="1"/>
  <c r="L374" i="1" s="1"/>
  <c r="K376" i="1"/>
  <c r="L376" i="1" s="1"/>
  <c r="K378" i="1"/>
  <c r="L378" i="1" s="1"/>
  <c r="K380" i="1"/>
  <c r="L380" i="1" s="1"/>
  <c r="K382" i="1"/>
  <c r="L382" i="1" s="1"/>
  <c r="K384" i="1"/>
  <c r="L384" i="1" s="1"/>
  <c r="K386" i="1"/>
  <c r="L386" i="1" s="1"/>
  <c r="K388" i="1"/>
  <c r="L388" i="1" s="1"/>
  <c r="K390" i="1"/>
  <c r="L390" i="1" s="1"/>
  <c r="K392" i="1"/>
  <c r="L392" i="1" s="1"/>
  <c r="K394" i="1"/>
  <c r="L394" i="1" s="1"/>
  <c r="K396" i="1"/>
  <c r="L396" i="1" s="1"/>
  <c r="K398" i="1"/>
  <c r="L398" i="1" s="1"/>
  <c r="K400" i="1"/>
  <c r="L400" i="1" s="1"/>
  <c r="K402" i="1"/>
  <c r="L402" i="1" s="1"/>
  <c r="K404" i="1"/>
  <c r="L404" i="1" s="1"/>
  <c r="K406" i="1"/>
  <c r="L406" i="1" s="1"/>
  <c r="K408" i="1"/>
  <c r="L408" i="1" s="1"/>
  <c r="K410" i="1"/>
  <c r="L410" i="1" s="1"/>
  <c r="K412" i="1"/>
  <c r="L412" i="1" s="1"/>
  <c r="K414" i="1"/>
  <c r="L414" i="1" s="1"/>
  <c r="K416" i="1"/>
  <c r="L416" i="1" s="1"/>
  <c r="K418" i="1"/>
  <c r="L418" i="1" s="1"/>
  <c r="K420" i="1"/>
  <c r="L420" i="1" s="1"/>
  <c r="K422" i="1"/>
  <c r="L422" i="1" s="1"/>
  <c r="K424" i="1"/>
  <c r="L424" i="1" s="1"/>
  <c r="K426" i="1"/>
  <c r="L426" i="1" s="1"/>
  <c r="K428" i="1"/>
  <c r="L428" i="1" s="1"/>
  <c r="K430" i="1"/>
  <c r="L430" i="1" s="1"/>
  <c r="K432" i="1"/>
  <c r="L432" i="1" s="1"/>
  <c r="K434" i="1"/>
  <c r="L434" i="1" s="1"/>
  <c r="K436" i="1"/>
  <c r="L436" i="1" s="1"/>
  <c r="K438" i="1"/>
  <c r="L438" i="1" s="1"/>
  <c r="K440" i="1"/>
  <c r="L440" i="1" s="1"/>
  <c r="K442" i="1"/>
  <c r="L442" i="1" s="1"/>
  <c r="K444" i="1"/>
  <c r="L444" i="1" s="1"/>
  <c r="K446" i="1"/>
  <c r="L446" i="1" s="1"/>
  <c r="K448" i="1"/>
  <c r="L448" i="1" s="1"/>
  <c r="K449" i="1"/>
  <c r="L449" i="1" s="1"/>
  <c r="K312" i="1"/>
  <c r="L312" i="1" s="1"/>
  <c r="K320" i="1"/>
  <c r="L320" i="1" s="1"/>
  <c r="K328" i="1"/>
  <c r="L328" i="1" s="1"/>
  <c r="K336" i="1"/>
  <c r="L336" i="1" s="1"/>
  <c r="K344" i="1"/>
  <c r="L344" i="1" s="1"/>
  <c r="K352" i="1"/>
  <c r="L352" i="1" s="1"/>
  <c r="K360" i="1"/>
  <c r="L360" i="1" s="1"/>
  <c r="K368" i="1"/>
  <c r="L368" i="1" s="1"/>
  <c r="K451" i="1"/>
  <c r="L451" i="1" s="1"/>
  <c r="K453" i="1"/>
  <c r="L453" i="1" s="1"/>
  <c r="K455" i="1"/>
  <c r="L455" i="1" s="1"/>
  <c r="K391" i="1"/>
  <c r="L391" i="1" s="1"/>
  <c r="K395" i="1"/>
  <c r="L395" i="1" s="1"/>
  <c r="K399" i="1"/>
  <c r="L399" i="1" s="1"/>
  <c r="K403" i="1"/>
  <c r="L403" i="1" s="1"/>
  <c r="K407" i="1"/>
  <c r="L407" i="1" s="1"/>
  <c r="K411" i="1"/>
  <c r="L411" i="1" s="1"/>
  <c r="K415" i="1"/>
  <c r="L415" i="1" s="1"/>
  <c r="K419" i="1"/>
  <c r="L419" i="1" s="1"/>
  <c r="K423" i="1"/>
  <c r="L423" i="1" s="1"/>
  <c r="K427" i="1"/>
  <c r="L427" i="1" s="1"/>
  <c r="K431" i="1"/>
  <c r="L431" i="1" s="1"/>
  <c r="K435" i="1"/>
  <c r="L435" i="1" s="1"/>
  <c r="K439" i="1"/>
  <c r="L439" i="1" s="1"/>
  <c r="K443" i="1"/>
  <c r="L443" i="1" s="1"/>
  <c r="K447" i="1"/>
  <c r="L447" i="1" s="1"/>
  <c r="K456" i="1"/>
  <c r="L456" i="1" s="1"/>
  <c r="K458" i="1"/>
  <c r="L458" i="1" s="1"/>
  <c r="K460" i="1"/>
  <c r="L460" i="1" s="1"/>
  <c r="K462" i="1"/>
  <c r="L462" i="1" s="1"/>
  <c r="K464" i="1"/>
  <c r="L464" i="1" s="1"/>
  <c r="K466" i="1"/>
  <c r="L466" i="1" s="1"/>
  <c r="K389" i="1"/>
  <c r="L389" i="1" s="1"/>
  <c r="K393" i="1"/>
  <c r="L393" i="1" s="1"/>
  <c r="K397" i="1"/>
  <c r="L397" i="1" s="1"/>
  <c r="K401" i="1"/>
  <c r="L401" i="1" s="1"/>
  <c r="K405" i="1"/>
  <c r="L405" i="1" s="1"/>
  <c r="K409" i="1"/>
  <c r="L409" i="1" s="1"/>
  <c r="K413" i="1"/>
  <c r="L413" i="1" s="1"/>
  <c r="K417" i="1"/>
  <c r="L417" i="1" s="1"/>
  <c r="K421" i="1"/>
  <c r="L421" i="1" s="1"/>
  <c r="K425" i="1"/>
  <c r="L425" i="1" s="1"/>
  <c r="K429" i="1"/>
  <c r="L429" i="1" s="1"/>
  <c r="K433" i="1"/>
  <c r="L433" i="1" s="1"/>
  <c r="K437" i="1"/>
  <c r="L437" i="1" s="1"/>
  <c r="K441" i="1"/>
  <c r="L441" i="1" s="1"/>
  <c r="K445" i="1"/>
  <c r="L445" i="1" s="1"/>
  <c r="K450" i="1"/>
  <c r="L450" i="1" s="1"/>
  <c r="K452" i="1"/>
  <c r="L452" i="1" s="1"/>
  <c r="K625" i="1"/>
  <c r="L625" i="1" s="1"/>
  <c r="K623" i="1"/>
  <c r="L623" i="1" s="1"/>
  <c r="K621" i="1"/>
  <c r="L621" i="1" s="1"/>
  <c r="K619" i="1"/>
  <c r="L619" i="1" s="1"/>
  <c r="K599" i="1"/>
  <c r="L599" i="1" s="1"/>
  <c r="K593" i="1"/>
  <c r="L593" i="1" s="1"/>
  <c r="K585" i="1"/>
  <c r="L585" i="1" s="1"/>
  <c r="K579" i="1"/>
  <c r="L579" i="1" s="1"/>
  <c r="K573" i="1"/>
  <c r="L573" i="1" s="1"/>
  <c r="K567" i="1"/>
  <c r="L567" i="1" s="1"/>
  <c r="K561" i="1"/>
  <c r="L561" i="1" s="1"/>
  <c r="K555" i="1"/>
  <c r="L555" i="1" s="1"/>
  <c r="K549" i="1"/>
  <c r="L549" i="1" s="1"/>
  <c r="K543" i="1"/>
  <c r="L543" i="1" s="1"/>
  <c r="K537" i="1"/>
  <c r="L537" i="1" s="1"/>
  <c r="K531" i="1"/>
  <c r="L531" i="1" s="1"/>
  <c r="K527" i="1"/>
  <c r="L527" i="1" s="1"/>
  <c r="K521" i="1"/>
  <c r="L521" i="1" s="1"/>
  <c r="K517" i="1"/>
  <c r="L517" i="1" s="1"/>
  <c r="K513" i="1"/>
  <c r="L513" i="1" s="1"/>
  <c r="K507" i="1"/>
  <c r="L507" i="1" s="1"/>
  <c r="K503" i="1"/>
  <c r="L503" i="1" s="1"/>
  <c r="K499" i="1"/>
  <c r="L499" i="1" s="1"/>
  <c r="K495" i="1"/>
  <c r="L495" i="1" s="1"/>
  <c r="K491" i="1"/>
  <c r="L491" i="1" s="1"/>
  <c r="K487" i="1"/>
  <c r="L487" i="1" s="1"/>
  <c r="K483" i="1"/>
  <c r="L483" i="1" s="1"/>
  <c r="K479" i="1"/>
  <c r="L479" i="1" s="1"/>
  <c r="K475" i="1"/>
  <c r="L475" i="1" s="1"/>
  <c r="K471" i="1"/>
  <c r="L471" i="1" s="1"/>
  <c r="K467" i="1"/>
  <c r="L467" i="1" s="1"/>
  <c r="H462" i="1"/>
  <c r="I462" i="1" s="1"/>
  <c r="H20" i="1"/>
  <c r="I20" i="1" s="1"/>
  <c r="N691" i="1"/>
  <c r="O691" i="1" s="1"/>
  <c r="N690" i="1"/>
  <c r="O690" i="1" s="1"/>
  <c r="H690" i="1"/>
  <c r="I690" i="1" s="1"/>
  <c r="H689" i="1"/>
  <c r="I689" i="1" s="1"/>
  <c r="N687" i="1"/>
  <c r="O687" i="1" s="1"/>
  <c r="N686" i="1"/>
  <c r="O686" i="1" s="1"/>
  <c r="N685" i="1"/>
  <c r="O685" i="1" s="1"/>
  <c r="H685" i="1"/>
  <c r="I685" i="1" s="1"/>
  <c r="H684" i="1"/>
  <c r="I684" i="1" s="1"/>
  <c r="H683" i="1"/>
  <c r="I683" i="1" s="1"/>
  <c r="H682" i="1"/>
  <c r="I682" i="1" s="1"/>
  <c r="N680" i="1"/>
  <c r="O680" i="1" s="1"/>
  <c r="H679" i="1"/>
  <c r="I679" i="1" s="1"/>
  <c r="H675" i="1"/>
  <c r="I675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2" i="1"/>
  <c r="O42" i="1" s="1"/>
  <c r="N44" i="1"/>
  <c r="O44" i="1" s="1"/>
  <c r="N46" i="1"/>
  <c r="O46" i="1" s="1"/>
  <c r="N48" i="1"/>
  <c r="O48" i="1" s="1"/>
  <c r="N50" i="1"/>
  <c r="O50" i="1" s="1"/>
  <c r="N52" i="1"/>
  <c r="O52" i="1" s="1"/>
  <c r="N54" i="1"/>
  <c r="O54" i="1" s="1"/>
  <c r="N56" i="1"/>
  <c r="O56" i="1" s="1"/>
  <c r="N58" i="1"/>
  <c r="O58" i="1" s="1"/>
  <c r="N60" i="1"/>
  <c r="O60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41" i="1"/>
  <c r="O41" i="1" s="1"/>
  <c r="N49" i="1"/>
  <c r="O49" i="1" s="1"/>
  <c r="N57" i="1"/>
  <c r="O57" i="1" s="1"/>
  <c r="N47" i="1"/>
  <c r="O47" i="1" s="1"/>
  <c r="N55" i="1"/>
  <c r="O55" i="1" s="1"/>
  <c r="N69" i="1"/>
  <c r="O69" i="1" s="1"/>
  <c r="N71" i="1"/>
  <c r="O71" i="1" s="1"/>
  <c r="N73" i="1"/>
  <c r="O73" i="1" s="1"/>
  <c r="N75" i="1"/>
  <c r="O75" i="1" s="1"/>
  <c r="N77" i="1"/>
  <c r="O77" i="1" s="1"/>
  <c r="N79" i="1"/>
  <c r="O79" i="1" s="1"/>
  <c r="N81" i="1"/>
  <c r="O81" i="1" s="1"/>
  <c r="N83" i="1"/>
  <c r="O83" i="1" s="1"/>
  <c r="N85" i="1"/>
  <c r="O85" i="1" s="1"/>
  <c r="N87" i="1"/>
  <c r="O87" i="1" s="1"/>
  <c r="N89" i="1"/>
  <c r="O89" i="1" s="1"/>
  <c r="N91" i="1"/>
  <c r="O91" i="1" s="1"/>
  <c r="N93" i="1"/>
  <c r="O93" i="1" s="1"/>
  <c r="N95" i="1"/>
  <c r="O95" i="1" s="1"/>
  <c r="N97" i="1"/>
  <c r="O97" i="1" s="1"/>
  <c r="N99" i="1"/>
  <c r="O99" i="1" s="1"/>
  <c r="N101" i="1"/>
  <c r="O101" i="1" s="1"/>
  <c r="N103" i="1"/>
  <c r="O103" i="1" s="1"/>
  <c r="N105" i="1"/>
  <c r="O105" i="1" s="1"/>
  <c r="N107" i="1"/>
  <c r="O107" i="1" s="1"/>
  <c r="N109" i="1"/>
  <c r="O109" i="1" s="1"/>
  <c r="N111" i="1"/>
  <c r="O111" i="1" s="1"/>
  <c r="N113" i="1"/>
  <c r="O113" i="1" s="1"/>
  <c r="N45" i="1"/>
  <c r="O45" i="1" s="1"/>
  <c r="N53" i="1"/>
  <c r="O53" i="1" s="1"/>
  <c r="N61" i="1"/>
  <c r="O61" i="1" s="1"/>
  <c r="N51" i="1"/>
  <c r="O51" i="1" s="1"/>
  <c r="N74" i="1"/>
  <c r="O74" i="1" s="1"/>
  <c r="N82" i="1"/>
  <c r="O82" i="1" s="1"/>
  <c r="N90" i="1"/>
  <c r="O90" i="1" s="1"/>
  <c r="N98" i="1"/>
  <c r="O98" i="1" s="1"/>
  <c r="N106" i="1"/>
  <c r="O106" i="1" s="1"/>
  <c r="N114" i="1"/>
  <c r="O114" i="1" s="1"/>
  <c r="N115" i="1"/>
  <c r="O115" i="1" s="1"/>
  <c r="N121" i="1"/>
  <c r="O121" i="1" s="1"/>
  <c r="N123" i="1"/>
  <c r="O123" i="1" s="1"/>
  <c r="N125" i="1"/>
  <c r="O125" i="1" s="1"/>
  <c r="N127" i="1"/>
  <c r="O127" i="1" s="1"/>
  <c r="N129" i="1"/>
  <c r="O129" i="1" s="1"/>
  <c r="N131" i="1"/>
  <c r="O131" i="1" s="1"/>
  <c r="N133" i="1"/>
  <c r="O133" i="1" s="1"/>
  <c r="N135" i="1"/>
  <c r="O135" i="1" s="1"/>
  <c r="N137" i="1"/>
  <c r="O137" i="1" s="1"/>
  <c r="N139" i="1"/>
  <c r="O139" i="1" s="1"/>
  <c r="N141" i="1"/>
  <c r="O141" i="1" s="1"/>
  <c r="N143" i="1"/>
  <c r="O143" i="1" s="1"/>
  <c r="N145" i="1"/>
  <c r="O145" i="1" s="1"/>
  <c r="N147" i="1"/>
  <c r="O147" i="1" s="1"/>
  <c r="N149" i="1"/>
  <c r="O149" i="1" s="1"/>
  <c r="N151" i="1"/>
  <c r="O151" i="1" s="1"/>
  <c r="N153" i="1"/>
  <c r="O153" i="1" s="1"/>
  <c r="N155" i="1"/>
  <c r="O155" i="1" s="1"/>
  <c r="N157" i="1"/>
  <c r="O157" i="1" s="1"/>
  <c r="N159" i="1"/>
  <c r="O159" i="1" s="1"/>
  <c r="N161" i="1"/>
  <c r="O161" i="1" s="1"/>
  <c r="N163" i="1"/>
  <c r="O163" i="1" s="1"/>
  <c r="N165" i="1"/>
  <c r="O165" i="1" s="1"/>
  <c r="N167" i="1"/>
  <c r="O167" i="1" s="1"/>
  <c r="N169" i="1"/>
  <c r="O169" i="1" s="1"/>
  <c r="N171" i="1"/>
  <c r="O171" i="1" s="1"/>
  <c r="N173" i="1"/>
  <c r="O173" i="1" s="1"/>
  <c r="N43" i="1"/>
  <c r="O43" i="1" s="1"/>
  <c r="N72" i="1"/>
  <c r="O72" i="1" s="1"/>
  <c r="N80" i="1"/>
  <c r="O80" i="1" s="1"/>
  <c r="N88" i="1"/>
  <c r="O88" i="1" s="1"/>
  <c r="N96" i="1"/>
  <c r="O96" i="1" s="1"/>
  <c r="N104" i="1"/>
  <c r="O104" i="1" s="1"/>
  <c r="N112" i="1"/>
  <c r="O112" i="1" s="1"/>
  <c r="N116" i="1"/>
  <c r="O116" i="1" s="1"/>
  <c r="N117" i="1"/>
  <c r="O117" i="1" s="1"/>
  <c r="N70" i="1"/>
  <c r="O70" i="1" s="1"/>
  <c r="N78" i="1"/>
  <c r="O78" i="1" s="1"/>
  <c r="N86" i="1"/>
  <c r="O86" i="1" s="1"/>
  <c r="N94" i="1"/>
  <c r="O94" i="1" s="1"/>
  <c r="N102" i="1"/>
  <c r="O102" i="1" s="1"/>
  <c r="N110" i="1"/>
  <c r="O110" i="1" s="1"/>
  <c r="N118" i="1"/>
  <c r="O118" i="1" s="1"/>
  <c r="N119" i="1"/>
  <c r="O119" i="1" s="1"/>
  <c r="N122" i="1"/>
  <c r="O122" i="1" s="1"/>
  <c r="N124" i="1"/>
  <c r="O124" i="1" s="1"/>
  <c r="N126" i="1"/>
  <c r="O126" i="1" s="1"/>
  <c r="N128" i="1"/>
  <c r="O128" i="1" s="1"/>
  <c r="N130" i="1"/>
  <c r="O130" i="1" s="1"/>
  <c r="N92" i="1"/>
  <c r="O92" i="1" s="1"/>
  <c r="N160" i="1"/>
  <c r="O160" i="1" s="1"/>
  <c r="N168" i="1"/>
  <c r="O168" i="1" s="1"/>
  <c r="N175" i="1"/>
  <c r="O175" i="1" s="1"/>
  <c r="N177" i="1"/>
  <c r="O177" i="1" s="1"/>
  <c r="N179" i="1"/>
  <c r="O179" i="1" s="1"/>
  <c r="N181" i="1"/>
  <c r="O181" i="1" s="1"/>
  <c r="N183" i="1"/>
  <c r="O183" i="1" s="1"/>
  <c r="N185" i="1"/>
  <c r="O185" i="1" s="1"/>
  <c r="N187" i="1"/>
  <c r="O187" i="1" s="1"/>
  <c r="N189" i="1"/>
  <c r="O189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84" i="1"/>
  <c r="O84" i="1" s="1"/>
  <c r="N132" i="1"/>
  <c r="O132" i="1" s="1"/>
  <c r="N136" i="1"/>
  <c r="O136" i="1" s="1"/>
  <c r="N140" i="1"/>
  <c r="O140" i="1" s="1"/>
  <c r="N144" i="1"/>
  <c r="O144" i="1" s="1"/>
  <c r="N148" i="1"/>
  <c r="O148" i="1" s="1"/>
  <c r="N152" i="1"/>
  <c r="O152" i="1" s="1"/>
  <c r="N156" i="1"/>
  <c r="O156" i="1" s="1"/>
  <c r="N162" i="1"/>
  <c r="O162" i="1" s="1"/>
  <c r="N170" i="1"/>
  <c r="O170" i="1" s="1"/>
  <c r="N59" i="1"/>
  <c r="O59" i="1" s="1"/>
  <c r="N76" i="1"/>
  <c r="O76" i="1" s="1"/>
  <c r="N108" i="1"/>
  <c r="O108" i="1" s="1"/>
  <c r="N164" i="1"/>
  <c r="O164" i="1" s="1"/>
  <c r="N172" i="1"/>
  <c r="O172" i="1" s="1"/>
  <c r="N176" i="1"/>
  <c r="O176" i="1" s="1"/>
  <c r="N178" i="1"/>
  <c r="O178" i="1" s="1"/>
  <c r="N180" i="1"/>
  <c r="O180" i="1" s="1"/>
  <c r="N182" i="1"/>
  <c r="O182" i="1" s="1"/>
  <c r="N184" i="1"/>
  <c r="O184" i="1" s="1"/>
  <c r="N186" i="1"/>
  <c r="O186" i="1" s="1"/>
  <c r="N188" i="1"/>
  <c r="O188" i="1" s="1"/>
  <c r="N190" i="1"/>
  <c r="O190" i="1" s="1"/>
  <c r="N134" i="1"/>
  <c r="O134" i="1" s="1"/>
  <c r="N150" i="1"/>
  <c r="O150" i="1" s="1"/>
  <c r="N174" i="1"/>
  <c r="O174" i="1" s="1"/>
  <c r="N146" i="1"/>
  <c r="O146" i="1" s="1"/>
  <c r="N238" i="1"/>
  <c r="O238" i="1" s="1"/>
  <c r="N120" i="1"/>
  <c r="O120" i="1" s="1"/>
  <c r="N142" i="1"/>
  <c r="O142" i="1" s="1"/>
  <c r="N158" i="1"/>
  <c r="O158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100" i="1"/>
  <c r="O100" i="1" s="1"/>
  <c r="N237" i="1"/>
  <c r="O237" i="1" s="1"/>
  <c r="N166" i="1"/>
  <c r="O166" i="1" s="1"/>
  <c r="N240" i="1"/>
  <c r="O240" i="1" s="1"/>
  <c r="N242" i="1"/>
  <c r="O242" i="1" s="1"/>
  <c r="N244" i="1"/>
  <c r="O244" i="1" s="1"/>
  <c r="N246" i="1"/>
  <c r="O246" i="1" s="1"/>
  <c r="N248" i="1"/>
  <c r="O248" i="1" s="1"/>
  <c r="N250" i="1"/>
  <c r="O250" i="1" s="1"/>
  <c r="N252" i="1"/>
  <c r="O252" i="1" s="1"/>
  <c r="N254" i="1"/>
  <c r="O254" i="1" s="1"/>
  <c r="N256" i="1"/>
  <c r="O256" i="1" s="1"/>
  <c r="N258" i="1"/>
  <c r="O258" i="1" s="1"/>
  <c r="N260" i="1"/>
  <c r="O260" i="1" s="1"/>
  <c r="N262" i="1"/>
  <c r="O262" i="1" s="1"/>
  <c r="N264" i="1"/>
  <c r="O264" i="1" s="1"/>
  <c r="N266" i="1"/>
  <c r="O266" i="1" s="1"/>
  <c r="N268" i="1"/>
  <c r="O268" i="1" s="1"/>
  <c r="N270" i="1"/>
  <c r="O270" i="1" s="1"/>
  <c r="N272" i="1"/>
  <c r="O272" i="1" s="1"/>
  <c r="N274" i="1"/>
  <c r="O274" i="1" s="1"/>
  <c r="N276" i="1"/>
  <c r="O276" i="1" s="1"/>
  <c r="N278" i="1"/>
  <c r="O278" i="1" s="1"/>
  <c r="N280" i="1"/>
  <c r="O280" i="1" s="1"/>
  <c r="N282" i="1"/>
  <c r="O282" i="1" s="1"/>
  <c r="N284" i="1"/>
  <c r="O284" i="1" s="1"/>
  <c r="N286" i="1"/>
  <c r="O286" i="1" s="1"/>
  <c r="N288" i="1"/>
  <c r="O288" i="1" s="1"/>
  <c r="N290" i="1"/>
  <c r="O290" i="1" s="1"/>
  <c r="N292" i="1"/>
  <c r="O292" i="1" s="1"/>
  <c r="N294" i="1"/>
  <c r="O294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10" i="1"/>
  <c r="O310" i="1" s="1"/>
  <c r="N312" i="1"/>
  <c r="O312" i="1" s="1"/>
  <c r="N314" i="1"/>
  <c r="O314" i="1" s="1"/>
  <c r="N316" i="1"/>
  <c r="O316" i="1" s="1"/>
  <c r="N318" i="1"/>
  <c r="O318" i="1" s="1"/>
  <c r="N320" i="1"/>
  <c r="O320" i="1" s="1"/>
  <c r="N322" i="1"/>
  <c r="O322" i="1" s="1"/>
  <c r="N324" i="1"/>
  <c r="O324" i="1" s="1"/>
  <c r="N326" i="1"/>
  <c r="O326" i="1" s="1"/>
  <c r="N328" i="1"/>
  <c r="O328" i="1" s="1"/>
  <c r="N330" i="1"/>
  <c r="O330" i="1" s="1"/>
  <c r="N332" i="1"/>
  <c r="O332" i="1" s="1"/>
  <c r="N334" i="1"/>
  <c r="O334" i="1" s="1"/>
  <c r="N336" i="1"/>
  <c r="O336" i="1" s="1"/>
  <c r="N338" i="1"/>
  <c r="O338" i="1" s="1"/>
  <c r="N340" i="1"/>
  <c r="O340" i="1" s="1"/>
  <c r="N342" i="1"/>
  <c r="O342" i="1" s="1"/>
  <c r="N344" i="1"/>
  <c r="O344" i="1" s="1"/>
  <c r="N346" i="1"/>
  <c r="O346" i="1" s="1"/>
  <c r="N348" i="1"/>
  <c r="O348" i="1" s="1"/>
  <c r="N350" i="1"/>
  <c r="O350" i="1" s="1"/>
  <c r="N352" i="1"/>
  <c r="O352" i="1" s="1"/>
  <c r="N354" i="1"/>
  <c r="O354" i="1" s="1"/>
  <c r="N356" i="1"/>
  <c r="O356" i="1" s="1"/>
  <c r="N358" i="1"/>
  <c r="O358" i="1" s="1"/>
  <c r="N360" i="1"/>
  <c r="O360" i="1" s="1"/>
  <c r="N362" i="1"/>
  <c r="O362" i="1" s="1"/>
  <c r="N364" i="1"/>
  <c r="O364" i="1" s="1"/>
  <c r="N366" i="1"/>
  <c r="O366" i="1" s="1"/>
  <c r="N368" i="1"/>
  <c r="O368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154" i="1"/>
  <c r="O154" i="1" s="1"/>
  <c r="N138" i="1"/>
  <c r="O138" i="1" s="1"/>
  <c r="N245" i="1"/>
  <c r="O245" i="1" s="1"/>
  <c r="N253" i="1"/>
  <c r="O253" i="1" s="1"/>
  <c r="N261" i="1"/>
  <c r="O261" i="1" s="1"/>
  <c r="N269" i="1"/>
  <c r="O269" i="1" s="1"/>
  <c r="N277" i="1"/>
  <c r="O277" i="1" s="1"/>
  <c r="N285" i="1"/>
  <c r="O285" i="1" s="1"/>
  <c r="N293" i="1"/>
  <c r="O293" i="1" s="1"/>
  <c r="N315" i="1"/>
  <c r="O315" i="1" s="1"/>
  <c r="N323" i="1"/>
  <c r="O323" i="1" s="1"/>
  <c r="N331" i="1"/>
  <c r="O331" i="1" s="1"/>
  <c r="N339" i="1"/>
  <c r="O339" i="1" s="1"/>
  <c r="N347" i="1"/>
  <c r="O347" i="1" s="1"/>
  <c r="N355" i="1"/>
  <c r="O355" i="1" s="1"/>
  <c r="N363" i="1"/>
  <c r="O363" i="1" s="1"/>
  <c r="N239" i="1"/>
  <c r="O239" i="1" s="1"/>
  <c r="N247" i="1"/>
  <c r="O247" i="1" s="1"/>
  <c r="N255" i="1"/>
  <c r="O255" i="1" s="1"/>
  <c r="N263" i="1"/>
  <c r="O263" i="1" s="1"/>
  <c r="N271" i="1"/>
  <c r="O271" i="1" s="1"/>
  <c r="N279" i="1"/>
  <c r="O279" i="1" s="1"/>
  <c r="N287" i="1"/>
  <c r="O287" i="1" s="1"/>
  <c r="N295" i="1"/>
  <c r="O295" i="1" s="1"/>
  <c r="N313" i="1"/>
  <c r="O313" i="1" s="1"/>
  <c r="N321" i="1"/>
  <c r="O321" i="1" s="1"/>
  <c r="N329" i="1"/>
  <c r="O329" i="1" s="1"/>
  <c r="N337" i="1"/>
  <c r="O337" i="1" s="1"/>
  <c r="N345" i="1"/>
  <c r="O345" i="1" s="1"/>
  <c r="N353" i="1"/>
  <c r="O353" i="1" s="1"/>
  <c r="N361" i="1"/>
  <c r="O361" i="1" s="1"/>
  <c r="N369" i="1"/>
  <c r="O369" i="1" s="1"/>
  <c r="N241" i="1"/>
  <c r="O241" i="1" s="1"/>
  <c r="N249" i="1"/>
  <c r="O249" i="1" s="1"/>
  <c r="N257" i="1"/>
  <c r="O257" i="1" s="1"/>
  <c r="N265" i="1"/>
  <c r="O265" i="1" s="1"/>
  <c r="N273" i="1"/>
  <c r="O273" i="1" s="1"/>
  <c r="N281" i="1"/>
  <c r="O281" i="1" s="1"/>
  <c r="N289" i="1"/>
  <c r="O289" i="1" s="1"/>
  <c r="N311" i="1"/>
  <c r="O311" i="1" s="1"/>
  <c r="N319" i="1"/>
  <c r="O319" i="1" s="1"/>
  <c r="N327" i="1"/>
  <c r="O327" i="1" s="1"/>
  <c r="N335" i="1"/>
  <c r="O335" i="1" s="1"/>
  <c r="N343" i="1"/>
  <c r="O343" i="1" s="1"/>
  <c r="N351" i="1"/>
  <c r="O351" i="1" s="1"/>
  <c r="N359" i="1"/>
  <c r="O359" i="1" s="1"/>
  <c r="N367" i="1"/>
  <c r="O367" i="1" s="1"/>
  <c r="N243" i="1"/>
  <c r="O243" i="1" s="1"/>
  <c r="N251" i="1"/>
  <c r="O251" i="1" s="1"/>
  <c r="N259" i="1"/>
  <c r="O259" i="1" s="1"/>
  <c r="N267" i="1"/>
  <c r="O267" i="1" s="1"/>
  <c r="N275" i="1"/>
  <c r="O275" i="1" s="1"/>
  <c r="N283" i="1"/>
  <c r="O283" i="1" s="1"/>
  <c r="N291" i="1"/>
  <c r="O291" i="1" s="1"/>
  <c r="N309" i="1"/>
  <c r="O309" i="1" s="1"/>
  <c r="N317" i="1"/>
  <c r="O317" i="1" s="1"/>
  <c r="N325" i="1"/>
  <c r="O325" i="1" s="1"/>
  <c r="N333" i="1"/>
  <c r="O333" i="1" s="1"/>
  <c r="N341" i="1"/>
  <c r="O341" i="1" s="1"/>
  <c r="N349" i="1"/>
  <c r="O349" i="1" s="1"/>
  <c r="N357" i="1"/>
  <c r="O357" i="1" s="1"/>
  <c r="N365" i="1"/>
  <c r="O365" i="1" s="1"/>
  <c r="N448" i="1"/>
  <c r="O448" i="1" s="1"/>
  <c r="N449" i="1"/>
  <c r="O449" i="1" s="1"/>
  <c r="N450" i="1"/>
  <c r="O450" i="1" s="1"/>
  <c r="N454" i="1"/>
  <c r="O454" i="1" s="1"/>
  <c r="N455" i="1"/>
  <c r="O455" i="1" s="1"/>
  <c r="N457" i="1"/>
  <c r="O457" i="1" s="1"/>
  <c r="N459" i="1"/>
  <c r="O459" i="1" s="1"/>
  <c r="N461" i="1"/>
  <c r="O461" i="1" s="1"/>
  <c r="N463" i="1"/>
  <c r="O463" i="1" s="1"/>
  <c r="N465" i="1"/>
  <c r="O465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451" i="1"/>
  <c r="O451" i="1" s="1"/>
  <c r="N456" i="1"/>
  <c r="O456" i="1" s="1"/>
  <c r="N458" i="1"/>
  <c r="O458" i="1" s="1"/>
  <c r="N460" i="1"/>
  <c r="O460" i="1" s="1"/>
  <c r="N462" i="1"/>
  <c r="O462" i="1" s="1"/>
  <c r="N464" i="1"/>
  <c r="O464" i="1" s="1"/>
  <c r="N466" i="1"/>
  <c r="O466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K685" i="1"/>
  <c r="L685" i="1" s="1"/>
  <c r="K684" i="1"/>
  <c r="L684" i="1" s="1"/>
  <c r="K683" i="1"/>
  <c r="L683" i="1" s="1"/>
  <c r="K682" i="1"/>
  <c r="L682" i="1" s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K672" i="1"/>
  <c r="L672" i="1" s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K657" i="1"/>
  <c r="L657" i="1" s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K650" i="1"/>
  <c r="L650" i="1" s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K634" i="1"/>
  <c r="L634" i="1" s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N625" i="1"/>
  <c r="O625" i="1" s="1"/>
  <c r="N623" i="1"/>
  <c r="O623" i="1" s="1"/>
  <c r="N621" i="1"/>
  <c r="O621" i="1" s="1"/>
  <c r="N619" i="1"/>
  <c r="O619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465" i="1"/>
  <c r="L465" i="1" s="1"/>
  <c r="H460" i="1"/>
  <c r="I460" i="1" s="1"/>
  <c r="K457" i="1"/>
  <c r="L457" i="1" s="1"/>
  <c r="K454" i="1"/>
  <c r="L454" i="1" s="1"/>
  <c r="I692" i="5" l="1"/>
  <c r="I18" i="5" s="1"/>
  <c r="K688" i="5"/>
  <c r="L688" i="5" s="1"/>
  <c r="K684" i="5"/>
  <c r="L684" i="5" s="1"/>
  <c r="K677" i="5"/>
  <c r="L677" i="5" s="1"/>
  <c r="K669" i="5"/>
  <c r="L669" i="5" s="1"/>
  <c r="K661" i="5"/>
  <c r="L661" i="5" s="1"/>
  <c r="K653" i="5"/>
  <c r="L653" i="5" s="1"/>
  <c r="K672" i="5"/>
  <c r="L672" i="5" s="1"/>
  <c r="K656" i="5"/>
  <c r="L656" i="5" s="1"/>
  <c r="K644" i="5"/>
  <c r="L644" i="5" s="1"/>
  <c r="K636" i="5"/>
  <c r="L636" i="5" s="1"/>
  <c r="K628" i="5"/>
  <c r="L628" i="5" s="1"/>
  <c r="K620" i="5"/>
  <c r="L620" i="5" s="1"/>
  <c r="K682" i="5"/>
  <c r="L682" i="5" s="1"/>
  <c r="K639" i="5"/>
  <c r="L639" i="5" s="1"/>
  <c r="K625" i="5"/>
  <c r="L625" i="5" s="1"/>
  <c r="K611" i="5"/>
  <c r="L611" i="5" s="1"/>
  <c r="K599" i="5"/>
  <c r="L599" i="5" s="1"/>
  <c r="K654" i="5"/>
  <c r="L654" i="5" s="1"/>
  <c r="K608" i="5"/>
  <c r="L608" i="5" s="1"/>
  <c r="K635" i="5"/>
  <c r="L635" i="5" s="1"/>
  <c r="K619" i="5"/>
  <c r="L619" i="5" s="1"/>
  <c r="K602" i="5"/>
  <c r="L602" i="5" s="1"/>
  <c r="K594" i="5"/>
  <c r="L594" i="5" s="1"/>
  <c r="K590" i="5"/>
  <c r="L590" i="5" s="1"/>
  <c r="K586" i="5"/>
  <c r="L586" i="5" s="1"/>
  <c r="K582" i="5"/>
  <c r="L582" i="5" s="1"/>
  <c r="K678" i="5"/>
  <c r="L678" i="5" s="1"/>
  <c r="K605" i="5"/>
  <c r="L605" i="5" s="1"/>
  <c r="K538" i="5"/>
  <c r="L538" i="5" s="1"/>
  <c r="K530" i="5"/>
  <c r="L530" i="5" s="1"/>
  <c r="K522" i="5"/>
  <c r="L522" i="5" s="1"/>
  <c r="K518" i="5"/>
  <c r="L518" i="5" s="1"/>
  <c r="K514" i="5"/>
  <c r="L514" i="5" s="1"/>
  <c r="K510" i="5"/>
  <c r="L510" i="5" s="1"/>
  <c r="K506" i="5"/>
  <c r="L506" i="5" s="1"/>
  <c r="K502" i="5"/>
  <c r="L502" i="5" s="1"/>
  <c r="K498" i="5"/>
  <c r="L498" i="5" s="1"/>
  <c r="K535" i="5"/>
  <c r="L535" i="5" s="1"/>
  <c r="K527" i="5"/>
  <c r="L527" i="5" s="1"/>
  <c r="K577" i="5"/>
  <c r="L577" i="5" s="1"/>
  <c r="K573" i="5"/>
  <c r="L573" i="5" s="1"/>
  <c r="K569" i="5"/>
  <c r="L569" i="5" s="1"/>
  <c r="K565" i="5"/>
  <c r="L565" i="5" s="1"/>
  <c r="K561" i="5"/>
  <c r="L561" i="5" s="1"/>
  <c r="K557" i="5"/>
  <c r="L557" i="5" s="1"/>
  <c r="K553" i="5"/>
  <c r="L553" i="5" s="1"/>
  <c r="K549" i="5"/>
  <c r="L549" i="5" s="1"/>
  <c r="K545" i="5"/>
  <c r="L545" i="5" s="1"/>
  <c r="K495" i="5"/>
  <c r="L495" i="5" s="1"/>
  <c r="K487" i="5"/>
  <c r="L487" i="5" s="1"/>
  <c r="K479" i="5"/>
  <c r="L479" i="5" s="1"/>
  <c r="K471" i="5"/>
  <c r="L471" i="5" s="1"/>
  <c r="K463" i="5"/>
  <c r="L463" i="5" s="1"/>
  <c r="K455" i="5"/>
  <c r="L455" i="5" s="1"/>
  <c r="K447" i="5"/>
  <c r="L447" i="5" s="1"/>
  <c r="K439" i="5"/>
  <c r="L439" i="5" s="1"/>
  <c r="K431" i="5"/>
  <c r="L431" i="5" s="1"/>
  <c r="K423" i="5"/>
  <c r="L423" i="5" s="1"/>
  <c r="K415" i="5"/>
  <c r="L415" i="5" s="1"/>
  <c r="K492" i="5"/>
  <c r="L492" i="5" s="1"/>
  <c r="K484" i="5"/>
  <c r="L484" i="5" s="1"/>
  <c r="K476" i="5"/>
  <c r="L476" i="5" s="1"/>
  <c r="K468" i="5"/>
  <c r="L468" i="5" s="1"/>
  <c r="K460" i="5"/>
  <c r="L460" i="5" s="1"/>
  <c r="K452" i="5"/>
  <c r="L452" i="5" s="1"/>
  <c r="K444" i="5"/>
  <c r="L444" i="5" s="1"/>
  <c r="K436" i="5"/>
  <c r="L436" i="5" s="1"/>
  <c r="K428" i="5"/>
  <c r="L428" i="5" s="1"/>
  <c r="K403" i="5"/>
  <c r="L403" i="5" s="1"/>
  <c r="K395" i="5"/>
  <c r="L395" i="5" s="1"/>
  <c r="K387" i="5"/>
  <c r="L387" i="5" s="1"/>
  <c r="K379" i="5"/>
  <c r="L379" i="5" s="1"/>
  <c r="K371" i="5"/>
  <c r="L371" i="5" s="1"/>
  <c r="K363" i="5"/>
  <c r="L363" i="5" s="1"/>
  <c r="K355" i="5"/>
  <c r="L355" i="5" s="1"/>
  <c r="K347" i="5"/>
  <c r="L347" i="5" s="1"/>
  <c r="K339" i="5"/>
  <c r="L339" i="5" s="1"/>
  <c r="K331" i="5"/>
  <c r="L331" i="5" s="1"/>
  <c r="K323" i="5"/>
  <c r="L323" i="5" s="1"/>
  <c r="L692" i="5" s="1"/>
  <c r="L18" i="5" s="1"/>
  <c r="K315" i="5"/>
  <c r="L315" i="5" s="1"/>
  <c r="K409" i="5"/>
  <c r="L409" i="5" s="1"/>
  <c r="N28" i="5"/>
  <c r="O28" i="5" s="1"/>
  <c r="N24" i="5"/>
  <c r="O24" i="5" s="1"/>
  <c r="N20" i="5"/>
  <c r="O20" i="5" s="1"/>
  <c r="N26" i="5"/>
  <c r="O26" i="5" s="1"/>
  <c r="N22" i="5"/>
  <c r="O22" i="5" s="1"/>
  <c r="N43" i="5"/>
  <c r="O43" i="5" s="1"/>
  <c r="N189" i="5"/>
  <c r="O189" i="5" s="1"/>
  <c r="L692" i="6"/>
  <c r="L18" i="6" s="1"/>
  <c r="F692" i="6"/>
  <c r="F18" i="6" s="1"/>
  <c r="P18" i="6" s="1"/>
  <c r="O692" i="6"/>
  <c r="O18" i="6" s="1"/>
  <c r="I692" i="6"/>
  <c r="I18" i="6" s="1"/>
  <c r="F692" i="5"/>
  <c r="F18" i="5" s="1"/>
  <c r="P18" i="5" s="1"/>
  <c r="O692" i="5"/>
  <c r="O18" i="5" s="1"/>
  <c r="I692" i="1"/>
  <c r="I18" i="1" s="1"/>
  <c r="O692" i="1"/>
  <c r="O18" i="1" s="1"/>
  <c r="L692" i="1"/>
  <c r="L18" i="1" s="1"/>
  <c r="F692" i="1"/>
  <c r="F18" i="1" s="1"/>
  <c r="P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C8" authorId="0" shapeId="0" xr:uid="{E3BF1464-E3B9-9A4C-AAB8-205431A15116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(Sat-Toutlet = 2 to 5K) Condenser refrig sat temp (30ºC) minus 2ºC approach temp. Needs to be written-up and justified. Sat temp - outlet temp btw 2 to 5K. 2K taken to max deltaT and min mass flowrate.</t>
        </r>
      </text>
    </comment>
    <comment ref="C9" authorId="0" shapeId="0" xr:uid="{9EA181A5-DF89-2449-A7D1-503B144CD3E0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(Toutlet - sat = 5K) Evaporator refrig sat temp (5ºC) plus 5K or 2K approach temp. Needs to be written-up and justified.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C8" authorId="0" shapeId="0" xr:uid="{837D8097-CD36-B94F-B974-E0AA9194717F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(Sat-Toutlet = 2 to 5K) Condenser refrig sat temp (30ºC) minus 2ºC approach temp. Needs to be written-up and justified. Sat temp - outlet temp btw 2 to 5K. 2K taken to max deltaT and min mass flowrate.</t>
        </r>
      </text>
    </comment>
    <comment ref="C9" authorId="0" shapeId="0" xr:uid="{C772216C-D758-DA47-B0B8-65C6B7F057A1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(Toutlet - sat = 5K) Evaporator refrig sat temp (5ºC) plus 5K or 2K approach temp. Needs to be written-up and justified.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C8" authorId="0" shapeId="0" xr:uid="{CAEEF819-FF9F-DF4A-9F28-D3E65632FCF2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(Sat-Toutlet = 2 to 5K) Condenser refrig sat temp (30ºC) minus 2ºC approach temp. Needs to be written-up and justified. Sat temp - outlet temp btw 2 to 5K. 2K taken to max deltaT and min mass flowrate.</t>
        </r>
      </text>
    </comment>
    <comment ref="C9" authorId="0" shapeId="0" xr:uid="{46B52DA9-3782-CF41-AD1B-FAAF53D2BC49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(Toutlet - sat = 5K) Evaporator refrig sat temp (5ºC) plus 5K or 2K approach temp. Needs to be written-up and justified.
</t>
        </r>
      </text>
    </comment>
  </commentList>
</comments>
</file>

<file path=xl/sharedStrings.xml><?xml version="1.0" encoding="utf-8"?>
<sst xmlns="http://schemas.openxmlformats.org/spreadsheetml/2006/main" count="202" uniqueCount="42">
  <si>
    <t>Hot Sink</t>
  </si>
  <si>
    <t>Cold Sink</t>
  </si>
  <si>
    <t>Winter</t>
  </si>
  <si>
    <t>Spring/Autumn</t>
  </si>
  <si>
    <t>Summer</t>
  </si>
  <si>
    <t>kg/s</t>
  </si>
  <si>
    <t>kJ/kg.K</t>
  </si>
  <si>
    <t>K</t>
  </si>
  <si>
    <r>
      <rPr>
        <i/>
        <sz val="12"/>
        <color theme="1"/>
        <rFont val="Aptos Narrow (Body)"/>
      </rPr>
      <t>T</t>
    </r>
    <r>
      <rPr>
        <i/>
        <vertAlign val="subscript"/>
        <sz val="12"/>
        <color theme="1"/>
        <rFont val="Aptos Narrow"/>
        <family val="2"/>
        <scheme val="minor"/>
      </rPr>
      <t>0</t>
    </r>
  </si>
  <si>
    <r>
      <t>c</t>
    </r>
    <r>
      <rPr>
        <i/>
        <vertAlign val="subscript"/>
        <sz val="12"/>
        <color theme="1"/>
        <rFont val="Aptos Narrow (Body)"/>
      </rPr>
      <t>p water</t>
    </r>
  </si>
  <si>
    <t>Hours</t>
  </si>
  <si>
    <t>ºC</t>
  </si>
  <si>
    <t>kW</t>
  </si>
  <si>
    <r>
      <t>ṁ</t>
    </r>
    <r>
      <rPr>
        <i/>
        <vertAlign val="subscript"/>
        <sz val="12"/>
        <color theme="1"/>
        <rFont val="Aptos Narrow"/>
        <scheme val="minor"/>
      </rPr>
      <t>cond, hot</t>
    </r>
  </si>
  <si>
    <r>
      <t>ṁ</t>
    </r>
    <r>
      <rPr>
        <i/>
        <vertAlign val="subscript"/>
        <sz val="12"/>
        <color theme="1"/>
        <rFont val="Aptos Narrow (Body)"/>
      </rPr>
      <t xml:space="preserve">hp, </t>
    </r>
    <r>
      <rPr>
        <i/>
        <vertAlign val="subscript"/>
        <sz val="12"/>
        <color theme="1"/>
        <rFont val="Aptos Narrow"/>
        <scheme val="minor"/>
      </rPr>
      <t>hot</t>
    </r>
  </si>
  <si>
    <r>
      <t>ṁ</t>
    </r>
    <r>
      <rPr>
        <i/>
        <vertAlign val="subscript"/>
        <sz val="12"/>
        <color theme="1"/>
        <rFont val="Aptos Narrow"/>
        <scheme val="minor"/>
      </rPr>
      <t>cond, cold</t>
    </r>
  </si>
  <si>
    <r>
      <t>ṁ</t>
    </r>
    <r>
      <rPr>
        <i/>
        <vertAlign val="subscript"/>
        <sz val="12"/>
        <color theme="1"/>
        <rFont val="Aptos Narrow (Body)"/>
      </rPr>
      <t xml:space="preserve">hp, </t>
    </r>
    <r>
      <rPr>
        <i/>
        <vertAlign val="subscript"/>
        <sz val="12"/>
        <color theme="1"/>
        <rFont val="Aptos Narrow"/>
        <scheme val="minor"/>
      </rPr>
      <t>cold</t>
    </r>
  </si>
  <si>
    <r>
      <t>E</t>
    </r>
    <r>
      <rPr>
        <i/>
        <vertAlign val="subscript"/>
        <sz val="12"/>
        <color theme="1"/>
        <rFont val="Aptos Narrow (Body)"/>
      </rPr>
      <t>dest cond, hot</t>
    </r>
  </si>
  <si>
    <r>
      <t>Q</t>
    </r>
    <r>
      <rPr>
        <vertAlign val="subscript"/>
        <sz val="12"/>
        <color theme="1"/>
        <rFont val="Aptos Narrow (Body)"/>
      </rPr>
      <t>cond, hot</t>
    </r>
  </si>
  <si>
    <r>
      <t>Q</t>
    </r>
    <r>
      <rPr>
        <vertAlign val="subscript"/>
        <sz val="12"/>
        <color theme="1"/>
        <rFont val="Aptos Narrow"/>
        <family val="2"/>
        <scheme val="minor"/>
      </rPr>
      <t>hp</t>
    </r>
    <r>
      <rPr>
        <vertAlign val="subscript"/>
        <sz val="12"/>
        <color theme="1"/>
        <rFont val="Aptos Narrow (Body)"/>
      </rPr>
      <t>, hot</t>
    </r>
  </si>
  <si>
    <r>
      <t>E</t>
    </r>
    <r>
      <rPr>
        <i/>
        <vertAlign val="subscript"/>
        <sz val="12"/>
        <color theme="1"/>
        <rFont val="Aptos Narrow (Body)"/>
      </rPr>
      <t>dest hp, hot</t>
    </r>
  </si>
  <si>
    <r>
      <t>Q</t>
    </r>
    <r>
      <rPr>
        <i/>
        <vertAlign val="subscript"/>
        <sz val="12"/>
        <color theme="1"/>
        <rFont val="Aptos Narrow (Body)"/>
      </rPr>
      <t>cond, cold</t>
    </r>
  </si>
  <si>
    <r>
      <t>E</t>
    </r>
    <r>
      <rPr>
        <i/>
        <vertAlign val="subscript"/>
        <sz val="12"/>
        <color theme="1"/>
        <rFont val="Aptos Narrow (Body)"/>
      </rPr>
      <t>dest cond, cold</t>
    </r>
  </si>
  <si>
    <r>
      <t>Q</t>
    </r>
    <r>
      <rPr>
        <i/>
        <vertAlign val="subscript"/>
        <sz val="12"/>
        <color theme="1"/>
        <rFont val="Aptos Narrow (Body)"/>
      </rPr>
      <t>hp, cold</t>
    </r>
  </si>
  <si>
    <r>
      <t>T</t>
    </r>
    <r>
      <rPr>
        <i/>
        <vertAlign val="subscript"/>
        <sz val="12"/>
        <color theme="1"/>
        <rFont val="Aptos Narrow (Body)"/>
      </rPr>
      <t>hot sink</t>
    </r>
  </si>
  <si>
    <r>
      <t>T</t>
    </r>
    <r>
      <rPr>
        <i/>
        <vertAlign val="subscript"/>
        <sz val="12"/>
        <color theme="1"/>
        <rFont val="Aptos Narrow (Body)"/>
      </rPr>
      <t>cold sink</t>
    </r>
  </si>
  <si>
    <r>
      <t>T</t>
    </r>
    <r>
      <rPr>
        <i/>
        <vertAlign val="subscript"/>
        <sz val="12"/>
        <color theme="1"/>
        <rFont val="Aptos Narrow (Body)"/>
      </rPr>
      <t>cond.hot, out</t>
    </r>
  </si>
  <si>
    <r>
      <t>T</t>
    </r>
    <r>
      <rPr>
        <i/>
        <vertAlign val="subscript"/>
        <sz val="12"/>
        <color theme="1"/>
        <rFont val="Aptos Narrow (Body)"/>
      </rPr>
      <t>hp.hot, out</t>
    </r>
  </si>
  <si>
    <r>
      <t>T</t>
    </r>
    <r>
      <rPr>
        <i/>
        <vertAlign val="subscript"/>
        <sz val="12"/>
        <color theme="1"/>
        <rFont val="Aptos Narrow (Body)"/>
      </rPr>
      <t>cond.cold, out</t>
    </r>
  </si>
  <si>
    <r>
      <t>T</t>
    </r>
    <r>
      <rPr>
        <i/>
        <vertAlign val="subscript"/>
        <sz val="12"/>
        <color theme="1"/>
        <rFont val="Aptos Narrow (Body)"/>
      </rPr>
      <t>hp.cold, out</t>
    </r>
  </si>
  <si>
    <r>
      <t>T</t>
    </r>
    <r>
      <rPr>
        <i/>
        <vertAlign val="subscript"/>
        <sz val="12"/>
        <color theme="1"/>
        <rFont val="Aptos Narrow (Body)"/>
      </rPr>
      <t>cond.sat</t>
    </r>
  </si>
  <si>
    <r>
      <t>T</t>
    </r>
    <r>
      <rPr>
        <i/>
        <vertAlign val="subscript"/>
        <sz val="12"/>
        <color theme="1"/>
        <rFont val="Aptos Narrow (Body)"/>
      </rPr>
      <t xml:space="preserve"> evap.sat</t>
    </r>
  </si>
  <si>
    <t>Condenser</t>
  </si>
  <si>
    <t>HP Evaporator</t>
  </si>
  <si>
    <t>Approach Temp</t>
  </si>
  <si>
    <t>Total</t>
  </si>
  <si>
    <r>
      <t>E</t>
    </r>
    <r>
      <rPr>
        <i/>
        <vertAlign val="subscript"/>
        <sz val="12"/>
        <color theme="1"/>
        <rFont val="Aptos Narrow (Body)"/>
      </rPr>
      <t>dest hp, cold</t>
    </r>
  </si>
  <si>
    <t>total Ex dest</t>
  </si>
  <si>
    <t>T2/T1</t>
  </si>
  <si>
    <t>LN</t>
  </si>
  <si>
    <t>T0</t>
  </si>
  <si>
    <t>T2-T1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</si>
</sst>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vertAlign val="subscript"/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i/>
      <vertAlign val="subscript"/>
      <sz val="12"/>
      <color theme="1"/>
      <name val="Aptos Narrow"/>
      <family val="2"/>
      <scheme val="minor"/>
    </font>
    <font>
      <i/>
      <sz val="12"/>
      <color theme="1"/>
      <name val="Aptos Narrow (Body)"/>
    </font>
    <font>
      <i/>
      <sz val="12"/>
      <color theme="1"/>
      <name val="Aptos Narrow"/>
      <family val="2"/>
      <scheme val="minor"/>
    </font>
    <font>
      <i/>
      <vertAlign val="subscript"/>
      <sz val="12"/>
      <color theme="1"/>
      <name val="Aptos Narrow (Body)"/>
    </font>
    <font>
      <i/>
      <vertAlign val="subscript"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64" fontId="0" fillId="0" borderId="0" xfId="0" applyNumberFormat="1"/>
    <xf numFmtId="0" fontId="7" fillId="0" borderId="0" xfId="0" applyFont="1" applyAlignment="1">
      <alignment horizontal="left"/>
    </xf>
    <xf numFmtId="165" fontId="0" fillId="0" borderId="0" xfId="1" applyNumberFormat="1" applyFon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601133</xdr:colOff>
      <xdr:row>28</xdr:row>
      <xdr:rowOff>71966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708D12-BE35-5155-84CA-5BBDEB7295A0}"/>
            </a:ext>
          </a:extLst>
        </xdr:cNvPr>
        <xdr:cNvSpPr txBox="1"/>
      </xdr:nvSpPr>
      <xdr:spPr>
        <a:xfrm>
          <a:off x="10507133" y="43137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 editAs="oneCell">
    <xdr:from>
      <xdr:col>16</xdr:col>
      <xdr:colOff>788051</xdr:colOff>
      <xdr:row>7</xdr:row>
      <xdr:rowOff>41030</xdr:rowOff>
    </xdr:from>
    <xdr:to>
      <xdr:col>26</xdr:col>
      <xdr:colOff>256605</xdr:colOff>
      <xdr:row>35</xdr:row>
      <xdr:rowOff>50064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467AF8-1AC1-A844-81C0-5479D1643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4651" y="1615830"/>
          <a:ext cx="7765887" cy="5825634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660400</xdr:colOff>
      <xdr:row>5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8F9F09-6078-1021-D1D6-50A7F7DEB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889000"/>
          <a:ext cx="6604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9</xdr:col>
      <xdr:colOff>762000</xdr:colOff>
      <xdr:row>3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0E5CB41-ED34-D18F-D663-18E7B14AE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203200"/>
          <a:ext cx="24130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0</xdr:colOff>
      <xdr:row>1</xdr:row>
      <xdr:rowOff>0</xdr:rowOff>
    </xdr:from>
    <xdr:to>
      <xdr:col>18</xdr:col>
      <xdr:colOff>254000</xdr:colOff>
      <xdr:row>3</xdr:row>
      <xdr:rowOff>215900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482E3B-3A6B-C11C-8218-A52A308D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3100" y="203200"/>
          <a:ext cx="1905000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4702</xdr:colOff>
      <xdr:row>1</xdr:row>
      <xdr:rowOff>7997</xdr:rowOff>
    </xdr:from>
    <xdr:to>
      <xdr:col>10</xdr:col>
      <xdr:colOff>263769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64DF8-863D-F84B-B8F6-1B858F5DF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8302" y="211197"/>
          <a:ext cx="2735567" cy="44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20</xdr:col>
      <xdr:colOff>601133</xdr:colOff>
      <xdr:row>28</xdr:row>
      <xdr:rowOff>71966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1B8F0CA-E7C8-FB48-A368-6187374507AB}"/>
            </a:ext>
          </a:extLst>
        </xdr:cNvPr>
        <xdr:cNvSpPr txBox="1"/>
      </xdr:nvSpPr>
      <xdr:spPr>
        <a:xfrm>
          <a:off x="17276233" y="60409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 editAs="oneCell">
    <xdr:from>
      <xdr:col>16</xdr:col>
      <xdr:colOff>564430</xdr:colOff>
      <xdr:row>6</xdr:row>
      <xdr:rowOff>202396</xdr:rowOff>
    </xdr:from>
    <xdr:to>
      <xdr:col>26</xdr:col>
      <xdr:colOff>32984</xdr:colOff>
      <xdr:row>34</xdr:row>
      <xdr:rowOff>181548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F3774A-4128-954F-9F18-3D52D0583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96548" y="1562043"/>
          <a:ext cx="7760907" cy="5806211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660400</xdr:colOff>
      <xdr:row>5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5318F1-839A-EF47-8EB9-72390DEDC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889000"/>
          <a:ext cx="6604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4702</xdr:colOff>
      <xdr:row>1</xdr:row>
      <xdr:rowOff>7997</xdr:rowOff>
    </xdr:from>
    <xdr:to>
      <xdr:col>10</xdr:col>
      <xdr:colOff>263769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166BB-9164-8443-A299-47B62FEC5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8302" y="211197"/>
          <a:ext cx="2735567" cy="44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20</xdr:col>
      <xdr:colOff>601133</xdr:colOff>
      <xdr:row>28</xdr:row>
      <xdr:rowOff>71966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5E37A7-43ED-E84F-8166-76443823137D}"/>
            </a:ext>
          </a:extLst>
        </xdr:cNvPr>
        <xdr:cNvSpPr txBox="1"/>
      </xdr:nvSpPr>
      <xdr:spPr>
        <a:xfrm>
          <a:off x="17276233" y="604096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 editAs="oneCell">
    <xdr:from>
      <xdr:col>16</xdr:col>
      <xdr:colOff>820972</xdr:colOff>
      <xdr:row>6</xdr:row>
      <xdr:rowOff>131673</xdr:rowOff>
    </xdr:from>
    <xdr:to>
      <xdr:col>26</xdr:col>
      <xdr:colOff>289526</xdr:colOff>
      <xdr:row>34</xdr:row>
      <xdr:rowOff>121367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7A6FEA-80F5-F94A-840B-A90DD7F72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91429" y="1466140"/>
          <a:ext cx="7720331" cy="58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660400</xdr:colOff>
      <xdr:row>5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08FC0-8094-4D49-B9F7-AD1ED9C27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889000"/>
          <a:ext cx="6604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087A-FF59-764B-8F24-C00002C38ADE}">
  <dimension ref="A1:W692"/>
  <sheetViews>
    <sheetView tabSelected="1" topLeftCell="A5" zoomScale="120" zoomScaleNormal="120" workbookViewId="0">
      <selection activeCell="R7" sqref="R7"/>
    </sheetView>
  </sheetViews>
  <sheetFormatPr baseColWidth="10" defaultRowHeight="16" x14ac:dyDescent="0.2"/>
  <cols>
    <col min="4" max="4" width="13" bestFit="1" customWidth="1"/>
  </cols>
  <sheetData>
    <row r="1" spans="1:23" x14ac:dyDescent="0.2">
      <c r="N1" s="1" t="s">
        <v>11</v>
      </c>
      <c r="O1" s="1" t="s">
        <v>7</v>
      </c>
    </row>
    <row r="2" spans="1:23" ht="18" x14ac:dyDescent="0.25">
      <c r="A2" s="4" t="s">
        <v>8</v>
      </c>
      <c r="B2" s="1" t="s">
        <v>7</v>
      </c>
      <c r="C2">
        <v>273</v>
      </c>
      <c r="M2" t="s">
        <v>38</v>
      </c>
      <c r="N2">
        <f>C8/C6</f>
        <v>1.4</v>
      </c>
      <c r="O2">
        <f>D6/D8</f>
        <v>0.97342192691029905</v>
      </c>
    </row>
    <row r="3" spans="1:23" ht="18" x14ac:dyDescent="0.25">
      <c r="A3" s="5" t="s">
        <v>9</v>
      </c>
      <c r="B3" s="1" t="s">
        <v>6</v>
      </c>
      <c r="C3">
        <v>4.18</v>
      </c>
      <c r="M3" t="s">
        <v>39</v>
      </c>
      <c r="N3">
        <f>LN(N2)</f>
        <v>0.33647223662121289</v>
      </c>
      <c r="O3">
        <f>LN(O2)</f>
        <v>-2.6937655731808372E-2</v>
      </c>
    </row>
    <row r="4" spans="1:23" ht="18" x14ac:dyDescent="0.25">
      <c r="A4" s="5" t="s">
        <v>30</v>
      </c>
      <c r="B4" s="6" t="s">
        <v>11</v>
      </c>
      <c r="C4" s="3">
        <v>30</v>
      </c>
      <c r="M4" t="s">
        <v>40</v>
      </c>
      <c r="N4">
        <f>N3*$C$2</f>
        <v>91.856920597591113</v>
      </c>
      <c r="O4">
        <f>O3*$C$2</f>
        <v>-7.3539800147836853</v>
      </c>
    </row>
    <row r="5" spans="1:23" ht="18" x14ac:dyDescent="0.25">
      <c r="A5" s="5" t="s">
        <v>31</v>
      </c>
      <c r="B5" s="6" t="s">
        <v>11</v>
      </c>
      <c r="C5" s="3">
        <v>5</v>
      </c>
      <c r="M5" t="s">
        <v>41</v>
      </c>
      <c r="N5">
        <f>C8-C6</f>
        <v>8</v>
      </c>
      <c r="O5">
        <f>D6-D8</f>
        <v>-8</v>
      </c>
    </row>
    <row r="6" spans="1:23" ht="18" x14ac:dyDescent="0.25">
      <c r="A6" s="5" t="s">
        <v>24</v>
      </c>
      <c r="B6" s="6" t="s">
        <v>11</v>
      </c>
      <c r="C6" s="5">
        <v>20</v>
      </c>
      <c r="D6" s="5">
        <f>C6+$C$2</f>
        <v>293</v>
      </c>
      <c r="E6" t="s">
        <v>7</v>
      </c>
      <c r="F6" s="8"/>
      <c r="H6" s="3"/>
      <c r="I6" s="3"/>
      <c r="J6" s="3"/>
      <c r="O6">
        <f>O5-O4</f>
        <v>-0.64601998521631465</v>
      </c>
    </row>
    <row r="7" spans="1:23" ht="18" x14ac:dyDescent="0.25">
      <c r="A7" s="5" t="s">
        <v>25</v>
      </c>
      <c r="B7" s="1" t="s">
        <v>11</v>
      </c>
      <c r="C7">
        <v>10</v>
      </c>
      <c r="D7" s="5">
        <f t="shared" ref="D7:D9" si="0">C7+$C$2</f>
        <v>283</v>
      </c>
      <c r="E7" s="8" t="s">
        <v>7</v>
      </c>
      <c r="F7" s="8" t="s">
        <v>34</v>
      </c>
      <c r="G7" s="5"/>
      <c r="H7" s="3"/>
      <c r="I7" s="3"/>
      <c r="J7" s="3"/>
      <c r="N7" s="7">
        <f>E20*C3</f>
        <v>315.5625</v>
      </c>
      <c r="O7">
        <f>O6*N7</f>
        <v>-203.85968158482331</v>
      </c>
    </row>
    <row r="8" spans="1:23" ht="18" x14ac:dyDescent="0.25">
      <c r="A8" s="5" t="s">
        <v>26</v>
      </c>
      <c r="B8" s="1" t="s">
        <v>11</v>
      </c>
      <c r="C8">
        <f>C4-F8</f>
        <v>28</v>
      </c>
      <c r="D8" s="5">
        <f t="shared" si="0"/>
        <v>301</v>
      </c>
      <c r="E8" s="8" t="s">
        <v>7</v>
      </c>
      <c r="F8" s="5">
        <v>2</v>
      </c>
      <c r="G8" s="8" t="s">
        <v>7</v>
      </c>
      <c r="H8" s="3"/>
      <c r="I8" s="3"/>
      <c r="J8" s="3"/>
    </row>
    <row r="9" spans="1:23" ht="18" x14ac:dyDescent="0.25">
      <c r="A9" s="5" t="s">
        <v>27</v>
      </c>
      <c r="B9" s="1" t="s">
        <v>11</v>
      </c>
      <c r="C9">
        <f>C5+F9</f>
        <v>10</v>
      </c>
      <c r="D9" s="5">
        <f t="shared" si="0"/>
        <v>283</v>
      </c>
      <c r="E9" s="8" t="s">
        <v>7</v>
      </c>
      <c r="F9" s="5">
        <v>5</v>
      </c>
      <c r="G9" s="8" t="s">
        <v>7</v>
      </c>
      <c r="H9" s="3"/>
      <c r="I9" s="3"/>
      <c r="J9" s="3"/>
    </row>
    <row r="10" spans="1:23" ht="18" x14ac:dyDescent="0.25">
      <c r="A10" s="5" t="s">
        <v>28</v>
      </c>
      <c r="B10" s="1" t="s">
        <v>11</v>
      </c>
      <c r="C10">
        <f>C4-F10</f>
        <v>25</v>
      </c>
      <c r="D10" s="5">
        <f>C10+273</f>
        <v>298</v>
      </c>
      <c r="E10" s="8" t="s">
        <v>7</v>
      </c>
      <c r="F10" s="5">
        <v>5</v>
      </c>
      <c r="G10" s="8" t="s">
        <v>7</v>
      </c>
      <c r="H10" s="3"/>
      <c r="I10" s="3"/>
      <c r="J10" s="3"/>
    </row>
    <row r="11" spans="1:23" ht="18" x14ac:dyDescent="0.25">
      <c r="A11" s="5" t="s">
        <v>29</v>
      </c>
      <c r="B11" s="1" t="s">
        <v>11</v>
      </c>
      <c r="C11">
        <f>C5+F11</f>
        <v>7</v>
      </c>
      <c r="D11" s="5">
        <f>C11+273</f>
        <v>280</v>
      </c>
      <c r="E11" s="8" t="s">
        <v>7</v>
      </c>
      <c r="F11" s="5">
        <v>2</v>
      </c>
      <c r="G11" s="8" t="s">
        <v>7</v>
      </c>
      <c r="H11" s="3"/>
      <c r="I11" s="3"/>
      <c r="J11" s="3"/>
    </row>
    <row r="12" spans="1:23" x14ac:dyDescent="0.2">
      <c r="A12" s="5"/>
      <c r="B12" s="1"/>
      <c r="E12" s="5"/>
      <c r="F12" s="5"/>
      <c r="G12" s="5"/>
    </row>
    <row r="13" spans="1:23" x14ac:dyDescent="0.2">
      <c r="D13" s="12" t="s">
        <v>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23" s="1" customFormat="1" x14ac:dyDescent="0.2">
      <c r="D14" s="14" t="s">
        <v>0</v>
      </c>
      <c r="E14" s="14"/>
      <c r="F14" s="14"/>
      <c r="G14" s="14"/>
      <c r="H14" s="14"/>
      <c r="I14" s="14"/>
      <c r="J14" s="12" t="s">
        <v>1</v>
      </c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</row>
    <row r="15" spans="1:23" s="1" customFormat="1" x14ac:dyDescent="0.2">
      <c r="D15" s="12" t="s">
        <v>32</v>
      </c>
      <c r="E15" s="12"/>
      <c r="F15" s="12"/>
      <c r="G15" s="12" t="s">
        <v>33</v>
      </c>
      <c r="H15" s="12"/>
      <c r="I15" s="12"/>
      <c r="J15" s="12" t="s">
        <v>32</v>
      </c>
      <c r="K15" s="12"/>
      <c r="L15" s="12"/>
      <c r="M15" s="12" t="s">
        <v>33</v>
      </c>
      <c r="N15" s="12"/>
      <c r="O15" s="12"/>
      <c r="P15" s="1" t="s">
        <v>37</v>
      </c>
    </row>
    <row r="16" spans="1:23" s="1" customFormat="1" ht="18" x14ac:dyDescent="0.25">
      <c r="D16" s="1" t="s">
        <v>18</v>
      </c>
      <c r="E16" s="2" t="s">
        <v>13</v>
      </c>
      <c r="F16" s="2" t="s">
        <v>17</v>
      </c>
      <c r="G16" s="1" t="s">
        <v>19</v>
      </c>
      <c r="H16" s="2" t="s">
        <v>14</v>
      </c>
      <c r="I16" s="2" t="s">
        <v>20</v>
      </c>
      <c r="J16" s="2" t="s">
        <v>21</v>
      </c>
      <c r="K16" s="2" t="s">
        <v>15</v>
      </c>
      <c r="L16" s="2" t="s">
        <v>22</v>
      </c>
      <c r="M16" s="2" t="s">
        <v>23</v>
      </c>
      <c r="N16" s="2" t="s">
        <v>16</v>
      </c>
      <c r="O16" s="2" t="s">
        <v>20</v>
      </c>
      <c r="P16" s="2"/>
      <c r="Q16" s="2"/>
      <c r="R16" s="2"/>
      <c r="S16" s="2"/>
      <c r="T16" s="2"/>
      <c r="U16" s="2"/>
      <c r="V16" s="2"/>
      <c r="W16" s="2"/>
    </row>
    <row r="17" spans="2:23" x14ac:dyDescent="0.2">
      <c r="D17" s="1" t="s">
        <v>12</v>
      </c>
      <c r="E17" s="6" t="s">
        <v>5</v>
      </c>
      <c r="F17" s="6" t="s">
        <v>12</v>
      </c>
      <c r="G17" s="1" t="s">
        <v>12</v>
      </c>
      <c r="H17" s="6" t="s">
        <v>5</v>
      </c>
      <c r="I17" s="6" t="s">
        <v>12</v>
      </c>
      <c r="J17" s="1" t="s">
        <v>12</v>
      </c>
      <c r="K17" s="6" t="s">
        <v>5</v>
      </c>
      <c r="L17" s="6" t="s">
        <v>12</v>
      </c>
      <c r="M17" s="1" t="s">
        <v>12</v>
      </c>
      <c r="N17" s="6" t="s">
        <v>5</v>
      </c>
      <c r="O17" s="6" t="s">
        <v>12</v>
      </c>
      <c r="P17" s="6"/>
      <c r="Q17" s="6"/>
      <c r="R17" s="6"/>
      <c r="S17" s="6"/>
      <c r="T17" s="6"/>
      <c r="U17" s="6"/>
      <c r="V17" s="6"/>
      <c r="W17" s="6"/>
    </row>
    <row r="18" spans="2:23" x14ac:dyDescent="0.2">
      <c r="C18" s="3" t="s">
        <v>35</v>
      </c>
      <c r="D18" s="10">
        <f>D692</f>
        <v>2286226.9585540341</v>
      </c>
      <c r="E18" s="10"/>
      <c r="F18" s="10">
        <f t="shared" ref="F18:O18" si="1">F692</f>
        <v>184618.53824577612</v>
      </c>
      <c r="G18" s="10">
        <f t="shared" si="1"/>
        <v>1909080.9577221489</v>
      </c>
      <c r="H18" s="10"/>
      <c r="I18" s="10">
        <f t="shared" si="1"/>
        <v>99249.452591401845</v>
      </c>
      <c r="J18" s="10">
        <f t="shared" si="1"/>
        <v>339293.69968772272</v>
      </c>
      <c r="K18" s="10"/>
      <c r="L18" s="10">
        <f t="shared" si="1"/>
        <v>20368.507442148373</v>
      </c>
      <c r="M18" s="10">
        <f t="shared" si="1"/>
        <v>346237.44169989304</v>
      </c>
      <c r="N18" s="10"/>
      <c r="O18" s="10">
        <f t="shared" si="1"/>
        <v>10451.593655336545</v>
      </c>
      <c r="P18" s="11">
        <f>O18+L18+I18+F18</f>
        <v>314688.09193466289</v>
      </c>
      <c r="Q18" s="6"/>
      <c r="R18" s="6"/>
      <c r="S18" s="6"/>
      <c r="T18" s="6"/>
      <c r="U18" s="6"/>
      <c r="V18" s="6"/>
      <c r="W18" s="6"/>
    </row>
    <row r="19" spans="2:23" x14ac:dyDescent="0.2">
      <c r="C19" s="1" t="s">
        <v>10</v>
      </c>
      <c r="D19" s="1"/>
      <c r="E19" s="6"/>
      <c r="F19" s="6"/>
      <c r="G19" s="1"/>
      <c r="H19" s="6"/>
      <c r="I19" s="6"/>
      <c r="J19" s="1"/>
      <c r="K19" s="6"/>
      <c r="L19" s="6"/>
      <c r="M19" s="1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x14ac:dyDescent="0.2">
      <c r="B20">
        <f>D20*0.0125</f>
        <v>31.556250000000002</v>
      </c>
      <c r="C20">
        <v>1</v>
      </c>
      <c r="D20" s="7">
        <v>2524.5</v>
      </c>
      <c r="E20" s="7">
        <f>D20/($C$3*($D$8-$D$6))</f>
        <v>75.493421052631589</v>
      </c>
      <c r="F20" s="7">
        <f>E20*$C$3*((($D$8)-($D$6))-$C$2*LN(($D$8)/($D$6)))</f>
        <v>203.85968158482189</v>
      </c>
      <c r="G20" s="7">
        <v>0</v>
      </c>
      <c r="H20" s="7">
        <f>G20/($C$3*($D$6-$D$9))</f>
        <v>0</v>
      </c>
      <c r="I20" s="7">
        <f>ABS(H20*$C$3*(($D$9-$D$6)-$C$2*(LN($D$9/$D$6))))</f>
        <v>0</v>
      </c>
      <c r="J20" s="7">
        <v>0</v>
      </c>
      <c r="K20" s="7">
        <f>J20/($C$3*($D$10-$D$7))</f>
        <v>0</v>
      </c>
      <c r="L20" s="7">
        <f>K20*$C$3*(($D$10-$D$7)-$C$2*LN($D$10/$D$7))</f>
        <v>0</v>
      </c>
      <c r="M20" s="7">
        <v>0</v>
      </c>
      <c r="N20" s="7">
        <f>M20/($C$3*($D$7-$D$11))</f>
        <v>0</v>
      </c>
      <c r="O20" s="7">
        <f>ABS(N20*$C$3*(($D$11-$D$7)-$C$2*LN($D$11/$D$7)))</f>
        <v>0</v>
      </c>
    </row>
    <row r="21" spans="2:23" x14ac:dyDescent="0.2">
      <c r="C21">
        <v>2</v>
      </c>
      <c r="D21" s="7">
        <v>2376</v>
      </c>
      <c r="E21" s="7">
        <f t="shared" ref="E21:E84" si="2">D21/($C$3*($D$8-$D$6))</f>
        <v>71.05263157894737</v>
      </c>
      <c r="F21" s="7">
        <f t="shared" ref="F21:F84" si="3">E21*$C$3*((($D$8)-($D$6))-$C$2*LN(($D$8)/($D$6)))</f>
        <v>191.86793560924414</v>
      </c>
      <c r="G21" s="7">
        <v>0</v>
      </c>
      <c r="H21" s="7">
        <f t="shared" ref="H21:H84" si="4">G21/($C$3*($D$6-$D$9))</f>
        <v>0</v>
      </c>
      <c r="I21" s="7">
        <f t="shared" ref="I21:I84" si="5">ABS(H21*$C$3*(($D$9-$D$6)-$C$2*(LN($D$9/$D$6))))</f>
        <v>0</v>
      </c>
      <c r="J21" s="7">
        <v>0</v>
      </c>
      <c r="K21" s="7">
        <f t="shared" ref="K21:K84" si="6">J21/($C$3*($D$10-$D$7))</f>
        <v>0</v>
      </c>
      <c r="L21" s="7">
        <f t="shared" ref="L21:L84" si="7">K21*$C$3*(($D$10-$D$7)-$C$2*LN($D$10/$D$7))</f>
        <v>0</v>
      </c>
      <c r="M21" s="7">
        <v>0</v>
      </c>
      <c r="N21" s="7">
        <f t="shared" ref="N21:N84" si="8">M21/($C$3*($D$7-$D$11))</f>
        <v>0</v>
      </c>
      <c r="O21" s="7">
        <f t="shared" ref="O21:O84" si="9">ABS(N21*$C$3*(($D$11-$D$7)-$C$2*LN($D$11/$D$7)))</f>
        <v>0</v>
      </c>
    </row>
    <row r="22" spans="2:23" x14ac:dyDescent="0.2">
      <c r="C22">
        <v>3</v>
      </c>
      <c r="D22" s="7">
        <v>2524.5</v>
      </c>
      <c r="E22" s="7">
        <f t="shared" si="2"/>
        <v>75.493421052631589</v>
      </c>
      <c r="F22" s="7">
        <f t="shared" si="3"/>
        <v>203.85968158482189</v>
      </c>
      <c r="G22" s="7">
        <v>0</v>
      </c>
      <c r="H22" s="7">
        <f t="shared" si="4"/>
        <v>0</v>
      </c>
      <c r="I22" s="7">
        <f t="shared" si="5"/>
        <v>0</v>
      </c>
      <c r="J22" s="7">
        <v>0</v>
      </c>
      <c r="K22" s="7">
        <f t="shared" si="6"/>
        <v>0</v>
      </c>
      <c r="L22" s="7">
        <f t="shared" si="7"/>
        <v>0</v>
      </c>
      <c r="M22" s="7">
        <v>0</v>
      </c>
      <c r="N22" s="7">
        <f t="shared" si="8"/>
        <v>0</v>
      </c>
      <c r="O22" s="7">
        <f t="shared" si="9"/>
        <v>0</v>
      </c>
    </row>
    <row r="23" spans="2:23" x14ac:dyDescent="0.2">
      <c r="C23">
        <v>4</v>
      </c>
      <c r="D23" s="7">
        <v>2673</v>
      </c>
      <c r="E23" s="7">
        <f t="shared" si="2"/>
        <v>79.934210526315795</v>
      </c>
      <c r="F23" s="7">
        <f t="shared" si="3"/>
        <v>215.85142756039966</v>
      </c>
      <c r="G23" s="7">
        <v>0</v>
      </c>
      <c r="H23" s="7">
        <f t="shared" si="4"/>
        <v>0</v>
      </c>
      <c r="I23" s="7">
        <f t="shared" si="5"/>
        <v>0</v>
      </c>
      <c r="J23" s="7">
        <v>0</v>
      </c>
      <c r="K23" s="7">
        <f t="shared" si="6"/>
        <v>0</v>
      </c>
      <c r="L23" s="7">
        <f t="shared" si="7"/>
        <v>0</v>
      </c>
      <c r="M23" s="7">
        <v>0</v>
      </c>
      <c r="N23" s="7">
        <f t="shared" si="8"/>
        <v>0</v>
      </c>
      <c r="O23" s="7">
        <f t="shared" si="9"/>
        <v>0</v>
      </c>
    </row>
    <row r="24" spans="2:23" x14ac:dyDescent="0.2">
      <c r="C24">
        <v>5</v>
      </c>
      <c r="D24" s="7">
        <v>3044.2499999999995</v>
      </c>
      <c r="E24" s="7">
        <f t="shared" si="2"/>
        <v>91.036184210526315</v>
      </c>
      <c r="F24" s="7">
        <f t="shared" si="3"/>
        <v>245.830792499344</v>
      </c>
      <c r="G24" s="7">
        <v>0</v>
      </c>
      <c r="H24" s="7">
        <f t="shared" si="4"/>
        <v>0</v>
      </c>
      <c r="I24" s="7">
        <f t="shared" si="5"/>
        <v>0</v>
      </c>
      <c r="J24" s="7">
        <v>0</v>
      </c>
      <c r="K24" s="7">
        <f t="shared" si="6"/>
        <v>0</v>
      </c>
      <c r="L24" s="7">
        <f t="shared" si="7"/>
        <v>0</v>
      </c>
      <c r="M24" s="7">
        <v>0</v>
      </c>
      <c r="N24" s="7">
        <f t="shared" si="8"/>
        <v>0</v>
      </c>
      <c r="O24" s="7">
        <f t="shared" si="9"/>
        <v>0</v>
      </c>
    </row>
    <row r="25" spans="2:23" x14ac:dyDescent="0.2">
      <c r="C25">
        <v>6</v>
      </c>
      <c r="D25" s="7">
        <v>3266.9999999999995</v>
      </c>
      <c r="E25" s="7">
        <f t="shared" si="2"/>
        <v>97.69736842105263</v>
      </c>
      <c r="F25" s="7">
        <f t="shared" si="3"/>
        <v>263.81841146271063</v>
      </c>
      <c r="G25" s="7">
        <v>0</v>
      </c>
      <c r="H25" s="7">
        <f t="shared" si="4"/>
        <v>0</v>
      </c>
      <c r="I25" s="7">
        <f t="shared" si="5"/>
        <v>0</v>
      </c>
      <c r="J25" s="7">
        <v>0</v>
      </c>
      <c r="K25" s="7">
        <f t="shared" si="6"/>
        <v>0</v>
      </c>
      <c r="L25" s="7">
        <f t="shared" si="7"/>
        <v>0</v>
      </c>
      <c r="M25" s="7">
        <v>0</v>
      </c>
      <c r="N25" s="7">
        <f t="shared" si="8"/>
        <v>0</v>
      </c>
      <c r="O25" s="7">
        <f t="shared" si="9"/>
        <v>0</v>
      </c>
    </row>
    <row r="26" spans="2:23" x14ac:dyDescent="0.2">
      <c r="C26">
        <v>7</v>
      </c>
      <c r="D26" s="7">
        <v>3489.7499999999995</v>
      </c>
      <c r="E26" s="7">
        <f t="shared" si="2"/>
        <v>104.35855263157895</v>
      </c>
      <c r="F26" s="7">
        <f t="shared" si="3"/>
        <v>281.80603042607726</v>
      </c>
      <c r="G26" s="7">
        <v>6195.2581111767413</v>
      </c>
      <c r="H26" s="7">
        <f t="shared" si="4"/>
        <v>148.21191653532875</v>
      </c>
      <c r="I26" s="7">
        <f t="shared" si="5"/>
        <v>322.0795711724993</v>
      </c>
      <c r="J26" s="7">
        <v>0</v>
      </c>
      <c r="K26" s="7">
        <f t="shared" si="6"/>
        <v>0</v>
      </c>
      <c r="L26" s="7">
        <f t="shared" si="7"/>
        <v>0</v>
      </c>
      <c r="M26" s="7">
        <v>1127.2042246091073</v>
      </c>
      <c r="N26" s="7">
        <f t="shared" si="8"/>
        <v>89.888694147456732</v>
      </c>
      <c r="O26" s="7">
        <f t="shared" si="9"/>
        <v>34.026015396695726</v>
      </c>
    </row>
    <row r="27" spans="2:23" x14ac:dyDescent="0.2">
      <c r="C27">
        <v>8</v>
      </c>
      <c r="D27" s="7">
        <v>3712.4999999999991</v>
      </c>
      <c r="E27" s="7">
        <f t="shared" si="2"/>
        <v>111.01973684210525</v>
      </c>
      <c r="F27" s="7">
        <f t="shared" si="3"/>
        <v>299.79364938944389</v>
      </c>
      <c r="G27" s="7">
        <v>6196.7769754314995</v>
      </c>
      <c r="H27" s="7">
        <f t="shared" si="4"/>
        <v>148.24825300075358</v>
      </c>
      <c r="I27" s="7">
        <f t="shared" si="5"/>
        <v>322.15853400811687</v>
      </c>
      <c r="J27" s="7">
        <v>0</v>
      </c>
      <c r="K27" s="7">
        <f t="shared" si="6"/>
        <v>0</v>
      </c>
      <c r="L27" s="7">
        <f t="shared" si="7"/>
        <v>0</v>
      </c>
      <c r="M27" s="7">
        <v>1125.6853603543493</v>
      </c>
      <c r="N27" s="7">
        <f t="shared" si="8"/>
        <v>89.767572596040623</v>
      </c>
      <c r="O27" s="7">
        <f t="shared" si="9"/>
        <v>33.980166652174013</v>
      </c>
    </row>
    <row r="28" spans="2:23" x14ac:dyDescent="0.2">
      <c r="C28">
        <v>9</v>
      </c>
      <c r="D28" s="7">
        <v>3732.661106464072</v>
      </c>
      <c r="E28" s="7">
        <f t="shared" si="2"/>
        <v>111.62264074354283</v>
      </c>
      <c r="F28" s="7">
        <f t="shared" si="3"/>
        <v>301.42170910192698</v>
      </c>
      <c r="G28" s="7">
        <v>0</v>
      </c>
      <c r="H28" s="7">
        <f t="shared" si="4"/>
        <v>0</v>
      </c>
      <c r="I28" s="7">
        <f t="shared" si="5"/>
        <v>0</v>
      </c>
      <c r="J28" s="7">
        <v>202.58889353592713</v>
      </c>
      <c r="K28" s="7">
        <f t="shared" si="6"/>
        <v>3.2310828315139895</v>
      </c>
      <c r="L28" s="7">
        <f t="shared" si="7"/>
        <v>12.16183321258544</v>
      </c>
      <c r="M28" s="7">
        <v>0</v>
      </c>
      <c r="N28" s="7">
        <f t="shared" si="8"/>
        <v>0</v>
      </c>
      <c r="O28" s="7">
        <f t="shared" si="9"/>
        <v>0</v>
      </c>
    </row>
    <row r="29" spans="2:23" x14ac:dyDescent="0.2">
      <c r="C29">
        <v>10</v>
      </c>
      <c r="D29" s="7">
        <v>3726.1300151769574</v>
      </c>
      <c r="E29" s="7">
        <f t="shared" si="2"/>
        <v>111.42733298974156</v>
      </c>
      <c r="F29" s="7">
        <f t="shared" si="3"/>
        <v>300.89430716483349</v>
      </c>
      <c r="G29" s="7">
        <v>0</v>
      </c>
      <c r="H29" s="7">
        <f t="shared" si="4"/>
        <v>0</v>
      </c>
      <c r="I29" s="7">
        <f t="shared" si="5"/>
        <v>0</v>
      </c>
      <c r="J29" s="7">
        <v>431.8699848230408</v>
      </c>
      <c r="K29" s="7">
        <f t="shared" si="6"/>
        <v>6.8878785458220229</v>
      </c>
      <c r="L29" s="7">
        <f t="shared" si="7"/>
        <v>25.926054648243483</v>
      </c>
      <c r="M29" s="7">
        <v>0</v>
      </c>
      <c r="N29" s="7">
        <f t="shared" si="8"/>
        <v>0</v>
      </c>
      <c r="O29" s="7">
        <f t="shared" si="9"/>
        <v>0</v>
      </c>
    </row>
    <row r="30" spans="2:23" x14ac:dyDescent="0.2">
      <c r="C30">
        <v>11</v>
      </c>
      <c r="D30" s="7">
        <v>3719.6338503395305</v>
      </c>
      <c r="E30" s="7">
        <f t="shared" si="2"/>
        <v>111.23306968718693</v>
      </c>
      <c r="F30" s="7">
        <f t="shared" si="3"/>
        <v>300.36972562580382</v>
      </c>
      <c r="G30" s="7">
        <v>0</v>
      </c>
      <c r="H30" s="7">
        <f t="shared" si="4"/>
        <v>0</v>
      </c>
      <c r="I30" s="7">
        <f t="shared" si="5"/>
        <v>0</v>
      </c>
      <c r="J30" s="7">
        <v>661.11614966046773</v>
      </c>
      <c r="K30" s="7">
        <f t="shared" si="6"/>
        <v>10.544117219465196</v>
      </c>
      <c r="L30" s="7">
        <f t="shared" si="7"/>
        <v>39.688179376385222</v>
      </c>
      <c r="M30" s="7">
        <v>0</v>
      </c>
      <c r="N30" s="7">
        <f t="shared" si="8"/>
        <v>0</v>
      </c>
      <c r="O30" s="7">
        <f t="shared" si="9"/>
        <v>0</v>
      </c>
    </row>
    <row r="31" spans="2:23" x14ac:dyDescent="0.2">
      <c r="C31">
        <v>12</v>
      </c>
      <c r="D31" s="7">
        <v>3713.1724928776325</v>
      </c>
      <c r="E31" s="7">
        <f t="shared" si="2"/>
        <v>111.03984727504883</v>
      </c>
      <c r="F31" s="7">
        <f t="shared" si="3"/>
        <v>299.84795486930221</v>
      </c>
      <c r="G31" s="7">
        <v>0</v>
      </c>
      <c r="H31" s="7">
        <f t="shared" si="4"/>
        <v>0</v>
      </c>
      <c r="I31" s="7">
        <f t="shared" si="5"/>
        <v>0</v>
      </c>
      <c r="J31" s="7">
        <v>890.32750712236566</v>
      </c>
      <c r="K31" s="7">
        <f t="shared" si="6"/>
        <v>14.199800751552882</v>
      </c>
      <c r="L31" s="7">
        <f t="shared" si="7"/>
        <v>53.448214545280322</v>
      </c>
      <c r="M31" s="7">
        <v>0</v>
      </c>
      <c r="N31" s="7">
        <f t="shared" si="8"/>
        <v>0</v>
      </c>
      <c r="O31" s="7">
        <f t="shared" si="9"/>
        <v>0</v>
      </c>
    </row>
    <row r="32" spans="2:23" x14ac:dyDescent="0.2">
      <c r="C32">
        <v>13</v>
      </c>
      <c r="D32" s="7">
        <v>3706.7458240430556</v>
      </c>
      <c r="E32" s="7">
        <f t="shared" si="2"/>
        <v>110.84766220224449</v>
      </c>
      <c r="F32" s="7">
        <f t="shared" si="3"/>
        <v>299.3289853061143</v>
      </c>
      <c r="G32" s="7">
        <v>0</v>
      </c>
      <c r="H32" s="7">
        <f t="shared" si="4"/>
        <v>0</v>
      </c>
      <c r="I32" s="7">
        <f t="shared" si="5"/>
        <v>0</v>
      </c>
      <c r="J32" s="7">
        <v>1119.5041759569444</v>
      </c>
      <c r="K32" s="7">
        <f t="shared" si="6"/>
        <v>17.854931035995925</v>
      </c>
      <c r="L32" s="7">
        <f t="shared" si="7"/>
        <v>67.20616728363116</v>
      </c>
      <c r="M32" s="7">
        <v>0</v>
      </c>
      <c r="N32" s="7">
        <f t="shared" si="8"/>
        <v>0</v>
      </c>
      <c r="O32" s="7">
        <f t="shared" si="9"/>
        <v>0</v>
      </c>
    </row>
    <row r="33" spans="3:15" x14ac:dyDescent="0.2">
      <c r="C33">
        <v>14</v>
      </c>
      <c r="D33" s="7">
        <v>3700.3537254127764</v>
      </c>
      <c r="E33" s="7">
        <f t="shared" si="2"/>
        <v>110.65651092741557</v>
      </c>
      <c r="F33" s="7">
        <f t="shared" si="3"/>
        <v>298.81280737328501</v>
      </c>
      <c r="G33" s="7">
        <v>0</v>
      </c>
      <c r="H33" s="7">
        <f t="shared" si="4"/>
        <v>0</v>
      </c>
      <c r="I33" s="7">
        <f t="shared" si="5"/>
        <v>0</v>
      </c>
      <c r="J33" s="7">
        <v>1348.6462745872236</v>
      </c>
      <c r="K33" s="7">
        <f t="shared" si="6"/>
        <v>21.50950996151872</v>
      </c>
      <c r="L33" s="7">
        <f t="shared" si="7"/>
        <v>80.962044700618236</v>
      </c>
      <c r="M33" s="7">
        <v>0</v>
      </c>
      <c r="N33" s="7">
        <f t="shared" si="8"/>
        <v>0</v>
      </c>
      <c r="O33" s="7">
        <f t="shared" si="9"/>
        <v>0</v>
      </c>
    </row>
    <row r="34" spans="3:15" x14ac:dyDescent="0.2">
      <c r="C34">
        <v>15</v>
      </c>
      <c r="D34" s="7">
        <v>3693.9960788882349</v>
      </c>
      <c r="E34" s="7">
        <f t="shared" si="2"/>
        <v>110.46638991890656</v>
      </c>
      <c r="F34" s="7">
        <f t="shared" si="3"/>
        <v>298.29941153406065</v>
      </c>
      <c r="G34" s="7">
        <v>0</v>
      </c>
      <c r="H34" s="7">
        <f t="shared" si="4"/>
        <v>0</v>
      </c>
      <c r="I34" s="7">
        <f t="shared" si="5"/>
        <v>0</v>
      </c>
      <c r="J34" s="7">
        <v>1206.5039211117642</v>
      </c>
      <c r="K34" s="7">
        <f t="shared" si="6"/>
        <v>19.242486780091934</v>
      </c>
      <c r="L34" s="7">
        <f t="shared" si="7"/>
        <v>72.428943180389368</v>
      </c>
      <c r="M34" s="7">
        <v>0</v>
      </c>
      <c r="N34" s="7">
        <f t="shared" si="8"/>
        <v>0</v>
      </c>
      <c r="O34" s="7">
        <f t="shared" si="9"/>
        <v>0</v>
      </c>
    </row>
    <row r="35" spans="3:15" x14ac:dyDescent="0.2">
      <c r="C35">
        <v>16</v>
      </c>
      <c r="D35" s="7">
        <v>3693.5553560419389</v>
      </c>
      <c r="E35" s="7">
        <f t="shared" si="2"/>
        <v>110.45321040795272</v>
      </c>
      <c r="F35" s="7">
        <f t="shared" si="3"/>
        <v>298.26382206322961</v>
      </c>
      <c r="G35" s="7">
        <v>6190.7173866772764</v>
      </c>
      <c r="H35" s="7">
        <f t="shared" si="4"/>
        <v>148.10328676261429</v>
      </c>
      <c r="I35" s="7">
        <f t="shared" si="5"/>
        <v>321.84350762625871</v>
      </c>
      <c r="J35" s="7">
        <v>1404.9446439580611</v>
      </c>
      <c r="K35" s="7">
        <f t="shared" si="6"/>
        <v>22.407410589442762</v>
      </c>
      <c r="L35" s="7">
        <f t="shared" si="7"/>
        <v>84.341753067045687</v>
      </c>
      <c r="M35" s="7">
        <v>1131.7449491085729</v>
      </c>
      <c r="N35" s="7">
        <f t="shared" si="8"/>
        <v>90.25079338983835</v>
      </c>
      <c r="O35" s="7">
        <f t="shared" si="9"/>
        <v>34.163082627600168</v>
      </c>
    </row>
    <row r="36" spans="3:15" x14ac:dyDescent="0.2">
      <c r="C36">
        <v>17</v>
      </c>
      <c r="D36" s="7">
        <v>3701.1356415151108</v>
      </c>
      <c r="E36" s="7">
        <f t="shared" si="2"/>
        <v>110.67989358597821</v>
      </c>
      <c r="F36" s="7">
        <f t="shared" si="3"/>
        <v>298.87594905189383</v>
      </c>
      <c r="G36" s="7">
        <v>6189.8845794936924</v>
      </c>
      <c r="H36" s="7">
        <f t="shared" si="4"/>
        <v>148.08336314578213</v>
      </c>
      <c r="I36" s="7">
        <f t="shared" si="5"/>
        <v>321.80021158019497</v>
      </c>
      <c r="J36" s="7">
        <v>2090.3643584848892</v>
      </c>
      <c r="K36" s="7">
        <f t="shared" si="6"/>
        <v>33.339144473443213</v>
      </c>
      <c r="L36" s="7">
        <f t="shared" si="7"/>
        <v>125.48892605960123</v>
      </c>
      <c r="M36" s="7">
        <v>1132.5777562921569</v>
      </c>
      <c r="N36" s="7">
        <f t="shared" si="8"/>
        <v>90.317205445945532</v>
      </c>
      <c r="O36" s="7">
        <f t="shared" si="9"/>
        <v>34.188221914193008</v>
      </c>
    </row>
    <row r="37" spans="3:15" x14ac:dyDescent="0.2">
      <c r="C37">
        <v>18</v>
      </c>
      <c r="D37" s="7">
        <v>3708.683831383988</v>
      </c>
      <c r="E37" s="7">
        <f t="shared" si="2"/>
        <v>110.90561696722453</v>
      </c>
      <c r="F37" s="7">
        <f t="shared" si="3"/>
        <v>299.48548424033157</v>
      </c>
      <c r="G37" s="7">
        <v>6188.696481361073</v>
      </c>
      <c r="H37" s="7">
        <f t="shared" si="4"/>
        <v>148.05493974548023</v>
      </c>
      <c r="I37" s="7">
        <f t="shared" si="5"/>
        <v>321.73844464002917</v>
      </c>
      <c r="J37" s="7">
        <v>1934.3161686160111</v>
      </c>
      <c r="K37" s="7">
        <f t="shared" si="6"/>
        <v>30.850337617480243</v>
      </c>
      <c r="L37" s="7">
        <f t="shared" si="7"/>
        <v>116.12102821887089</v>
      </c>
      <c r="M37" s="7">
        <v>1133.7658544247763</v>
      </c>
      <c r="N37" s="7">
        <f t="shared" si="8"/>
        <v>90.411950113618531</v>
      </c>
      <c r="O37" s="7">
        <f t="shared" si="9"/>
        <v>34.224086085450274</v>
      </c>
    </row>
    <row r="38" spans="3:15" x14ac:dyDescent="0.2">
      <c r="C38">
        <v>19</v>
      </c>
      <c r="D38" s="7">
        <v>3716.199853076329</v>
      </c>
      <c r="E38" s="7">
        <f t="shared" si="2"/>
        <v>111.13037838146917</v>
      </c>
      <c r="F38" s="7">
        <f t="shared" si="3"/>
        <v>300.09242176815303</v>
      </c>
      <c r="G38" s="7">
        <v>6187.4205714609179</v>
      </c>
      <c r="H38" s="7">
        <f t="shared" si="4"/>
        <v>148.02441558518944</v>
      </c>
      <c r="I38" s="7">
        <f t="shared" si="5"/>
        <v>321.67211253471214</v>
      </c>
      <c r="J38" s="7">
        <v>2223.8001469236701</v>
      </c>
      <c r="K38" s="7">
        <f t="shared" si="6"/>
        <v>35.467306968479591</v>
      </c>
      <c r="L38" s="7">
        <f t="shared" si="7"/>
        <v>133.49935434744069</v>
      </c>
      <c r="M38" s="7">
        <v>1135.0417643249311</v>
      </c>
      <c r="N38" s="7">
        <f t="shared" si="8"/>
        <v>90.513697314587816</v>
      </c>
      <c r="O38" s="7">
        <f t="shared" si="9"/>
        <v>34.262600960536481</v>
      </c>
    </row>
    <row r="39" spans="3:15" x14ac:dyDescent="0.2">
      <c r="C39">
        <v>20</v>
      </c>
      <c r="D39" s="7">
        <v>3723.6834598947626</v>
      </c>
      <c r="E39" s="7">
        <f t="shared" si="2"/>
        <v>111.3541704513984</v>
      </c>
      <c r="F39" s="7">
        <f t="shared" si="3"/>
        <v>300.69674171392916</v>
      </c>
      <c r="G39" s="7">
        <v>6186.1573929168826</v>
      </c>
      <c r="H39" s="7">
        <f t="shared" si="4"/>
        <v>147.99419600279626</v>
      </c>
      <c r="I39" s="7">
        <f t="shared" si="5"/>
        <v>321.60644230814916</v>
      </c>
      <c r="J39" s="7">
        <v>1919.3165401052365</v>
      </c>
      <c r="K39" s="7">
        <f t="shared" si="6"/>
        <v>30.611109092587508</v>
      </c>
      <c r="L39" s="7">
        <f t="shared" si="7"/>
        <v>115.22056927951432</v>
      </c>
      <c r="M39" s="7">
        <v>1136.3049428689665</v>
      </c>
      <c r="N39" s="7">
        <f t="shared" si="8"/>
        <v>90.614429255898443</v>
      </c>
      <c r="O39" s="7">
        <f t="shared" si="9"/>
        <v>34.300731524324092</v>
      </c>
    </row>
    <row r="40" spans="3:15" x14ac:dyDescent="0.2">
      <c r="C40">
        <v>21</v>
      </c>
      <c r="D40" s="7">
        <v>3731.1350065319725</v>
      </c>
      <c r="E40" s="7">
        <f t="shared" si="2"/>
        <v>111.57700378385086</v>
      </c>
      <c r="F40" s="7">
        <f t="shared" si="3"/>
        <v>301.29847271998028</v>
      </c>
      <c r="G40" s="7">
        <v>6184.8066109325728</v>
      </c>
      <c r="H40" s="7">
        <f t="shared" si="4"/>
        <v>147.96188064431993</v>
      </c>
      <c r="I40" s="7">
        <f t="shared" si="5"/>
        <v>321.53621774696916</v>
      </c>
      <c r="J40" s="7">
        <v>2357.3649934680266</v>
      </c>
      <c r="K40" s="7">
        <f t="shared" si="6"/>
        <v>37.597527806507607</v>
      </c>
      <c r="L40" s="7">
        <f t="shared" si="7"/>
        <v>141.51753026214828</v>
      </c>
      <c r="M40" s="7">
        <v>1137.6557248532761</v>
      </c>
      <c r="N40" s="7">
        <f t="shared" si="8"/>
        <v>90.722147117486131</v>
      </c>
      <c r="O40" s="7">
        <f t="shared" si="9"/>
        <v>34.341506503331679</v>
      </c>
    </row>
    <row r="41" spans="3:15" x14ac:dyDescent="0.2">
      <c r="C41">
        <v>22</v>
      </c>
      <c r="D41" s="7">
        <v>3738.554246905122</v>
      </c>
      <c r="E41" s="7">
        <f t="shared" si="2"/>
        <v>111.79887101989002</v>
      </c>
      <c r="F41" s="7">
        <f t="shared" si="3"/>
        <v>301.89759491450258</v>
      </c>
      <c r="G41" s="7">
        <v>6183.6692487016298</v>
      </c>
      <c r="H41" s="7">
        <f t="shared" si="4"/>
        <v>147.9346710215701</v>
      </c>
      <c r="I41" s="7">
        <f t="shared" si="5"/>
        <v>321.47708846889287</v>
      </c>
      <c r="J41" s="7">
        <v>1607.445753094878</v>
      </c>
      <c r="K41" s="7">
        <f t="shared" si="6"/>
        <v>25.637093350795503</v>
      </c>
      <c r="L41" s="7">
        <f t="shared" si="7"/>
        <v>96.498316399323215</v>
      </c>
      <c r="M41" s="7">
        <v>1138.7930870842197</v>
      </c>
      <c r="N41" s="7">
        <f t="shared" si="8"/>
        <v>90.812845859985629</v>
      </c>
      <c r="O41" s="7">
        <f t="shared" si="9"/>
        <v>34.375839150368314</v>
      </c>
    </row>
    <row r="42" spans="3:15" x14ac:dyDescent="0.2">
      <c r="C42">
        <v>23</v>
      </c>
      <c r="D42" s="7">
        <v>3737.9181410119668</v>
      </c>
      <c r="E42" s="7">
        <f t="shared" si="2"/>
        <v>111.77984871447269</v>
      </c>
      <c r="F42" s="7">
        <f t="shared" si="3"/>
        <v>301.84622777454109</v>
      </c>
      <c r="G42" s="7">
        <v>0</v>
      </c>
      <c r="H42" s="7">
        <f t="shared" si="4"/>
        <v>0</v>
      </c>
      <c r="I42" s="7">
        <f t="shared" si="5"/>
        <v>0</v>
      </c>
      <c r="J42" s="7">
        <v>865.5818589880314</v>
      </c>
      <c r="K42" s="7">
        <f t="shared" si="6"/>
        <v>13.805133317193484</v>
      </c>
      <c r="L42" s="7">
        <f t="shared" si="7"/>
        <v>51.962681749802925</v>
      </c>
      <c r="M42" s="7">
        <v>0</v>
      </c>
      <c r="N42" s="7">
        <f t="shared" si="8"/>
        <v>0</v>
      </c>
      <c r="O42" s="7">
        <f t="shared" si="9"/>
        <v>0</v>
      </c>
    </row>
    <row r="43" spans="3:15" x14ac:dyDescent="0.2">
      <c r="C43">
        <v>24</v>
      </c>
      <c r="D43" s="7">
        <v>3731.4336777361214</v>
      </c>
      <c r="E43" s="7">
        <f t="shared" si="2"/>
        <v>111.58593533899885</v>
      </c>
      <c r="F43" s="7">
        <f t="shared" si="3"/>
        <v>301.3225911658414</v>
      </c>
      <c r="G43" s="7">
        <v>0</v>
      </c>
      <c r="H43" s="7">
        <f t="shared" si="4"/>
        <v>0</v>
      </c>
      <c r="I43" s="7">
        <f t="shared" si="5"/>
        <v>0</v>
      </c>
      <c r="J43" s="7">
        <v>129.56632226387774</v>
      </c>
      <c r="K43" s="7">
        <f t="shared" si="6"/>
        <v>2.0664485209549879</v>
      </c>
      <c r="L43" s="7">
        <f t="shared" si="7"/>
        <v>7.778136174389692</v>
      </c>
      <c r="M43" s="7">
        <v>0</v>
      </c>
      <c r="N43" s="7">
        <f t="shared" si="8"/>
        <v>0</v>
      </c>
      <c r="O43" s="7">
        <f t="shared" si="9"/>
        <v>0</v>
      </c>
    </row>
    <row r="44" spans="3:15" x14ac:dyDescent="0.2">
      <c r="C44">
        <v>25</v>
      </c>
      <c r="D44" s="7">
        <v>2524.5</v>
      </c>
      <c r="E44" s="7">
        <f t="shared" si="2"/>
        <v>75.493421052631589</v>
      </c>
      <c r="F44" s="7">
        <f t="shared" si="3"/>
        <v>203.85968158482189</v>
      </c>
      <c r="G44" s="7">
        <v>0</v>
      </c>
      <c r="H44" s="7">
        <f t="shared" si="4"/>
        <v>0</v>
      </c>
      <c r="I44" s="7">
        <f t="shared" si="5"/>
        <v>0</v>
      </c>
      <c r="J44" s="7">
        <v>0</v>
      </c>
      <c r="K44" s="7">
        <f t="shared" si="6"/>
        <v>0</v>
      </c>
      <c r="L44" s="7">
        <f t="shared" si="7"/>
        <v>0</v>
      </c>
      <c r="M44" s="7">
        <v>0</v>
      </c>
      <c r="N44" s="7">
        <f t="shared" si="8"/>
        <v>0</v>
      </c>
      <c r="O44" s="7">
        <f t="shared" si="9"/>
        <v>0</v>
      </c>
    </row>
    <row r="45" spans="3:15" x14ac:dyDescent="0.2">
      <c r="C45">
        <v>26</v>
      </c>
      <c r="D45" s="7">
        <v>2376</v>
      </c>
      <c r="E45" s="7">
        <f t="shared" si="2"/>
        <v>71.05263157894737</v>
      </c>
      <c r="F45" s="7">
        <f t="shared" si="3"/>
        <v>191.86793560924414</v>
      </c>
      <c r="G45" s="7">
        <v>0</v>
      </c>
      <c r="H45" s="7">
        <f t="shared" si="4"/>
        <v>0</v>
      </c>
      <c r="I45" s="7">
        <f t="shared" si="5"/>
        <v>0</v>
      </c>
      <c r="J45" s="7">
        <v>0</v>
      </c>
      <c r="K45" s="7">
        <f t="shared" si="6"/>
        <v>0</v>
      </c>
      <c r="L45" s="7">
        <f t="shared" si="7"/>
        <v>0</v>
      </c>
      <c r="M45" s="7">
        <v>0</v>
      </c>
      <c r="N45" s="7">
        <f t="shared" si="8"/>
        <v>0</v>
      </c>
      <c r="O45" s="7">
        <f t="shared" si="9"/>
        <v>0</v>
      </c>
    </row>
    <row r="46" spans="3:15" x14ac:dyDescent="0.2">
      <c r="C46">
        <v>27</v>
      </c>
      <c r="D46" s="7">
        <v>2554.1999999999998</v>
      </c>
      <c r="E46" s="7">
        <f t="shared" si="2"/>
        <v>76.381578947368425</v>
      </c>
      <c r="F46" s="7">
        <f t="shared" si="3"/>
        <v>206.25803077993743</v>
      </c>
      <c r="G46" s="7">
        <v>0</v>
      </c>
      <c r="H46" s="7">
        <f t="shared" si="4"/>
        <v>0</v>
      </c>
      <c r="I46" s="7">
        <f t="shared" si="5"/>
        <v>0</v>
      </c>
      <c r="J46" s="7">
        <v>0</v>
      </c>
      <c r="K46" s="7">
        <f t="shared" si="6"/>
        <v>0</v>
      </c>
      <c r="L46" s="7">
        <f t="shared" si="7"/>
        <v>0</v>
      </c>
      <c r="M46" s="7">
        <v>0</v>
      </c>
      <c r="N46" s="7">
        <f t="shared" si="8"/>
        <v>0</v>
      </c>
      <c r="O46" s="7">
        <f t="shared" si="9"/>
        <v>0</v>
      </c>
    </row>
    <row r="47" spans="3:15" x14ac:dyDescent="0.2">
      <c r="C47">
        <v>28</v>
      </c>
      <c r="D47" s="7">
        <v>2673</v>
      </c>
      <c r="E47" s="7">
        <f t="shared" si="2"/>
        <v>79.934210526315795</v>
      </c>
      <c r="F47" s="7">
        <f t="shared" si="3"/>
        <v>215.85142756039966</v>
      </c>
      <c r="G47" s="7">
        <v>0</v>
      </c>
      <c r="H47" s="7">
        <f t="shared" si="4"/>
        <v>0</v>
      </c>
      <c r="I47" s="7">
        <f t="shared" si="5"/>
        <v>0</v>
      </c>
      <c r="J47" s="7">
        <v>0</v>
      </c>
      <c r="K47" s="7">
        <f t="shared" si="6"/>
        <v>0</v>
      </c>
      <c r="L47" s="7">
        <f t="shared" si="7"/>
        <v>0</v>
      </c>
      <c r="M47" s="7">
        <v>0</v>
      </c>
      <c r="N47" s="7">
        <f t="shared" si="8"/>
        <v>0</v>
      </c>
      <c r="O47" s="7">
        <f t="shared" si="9"/>
        <v>0</v>
      </c>
    </row>
    <row r="48" spans="3:15" x14ac:dyDescent="0.2">
      <c r="C48">
        <v>29</v>
      </c>
      <c r="D48" s="7">
        <v>2948.7857142857142</v>
      </c>
      <c r="E48" s="7">
        <f t="shared" si="2"/>
        <v>88.181390977443613</v>
      </c>
      <c r="F48" s="7">
        <f t="shared" si="3"/>
        <v>238.12181294361548</v>
      </c>
      <c r="G48" s="7">
        <v>0</v>
      </c>
      <c r="H48" s="7">
        <f t="shared" si="4"/>
        <v>0</v>
      </c>
      <c r="I48" s="7">
        <f t="shared" si="5"/>
        <v>0</v>
      </c>
      <c r="J48" s="7">
        <v>0</v>
      </c>
      <c r="K48" s="7">
        <f t="shared" si="6"/>
        <v>0</v>
      </c>
      <c r="L48" s="7">
        <f t="shared" si="7"/>
        <v>0</v>
      </c>
      <c r="M48" s="7">
        <v>0</v>
      </c>
      <c r="N48" s="7">
        <f t="shared" si="8"/>
        <v>0</v>
      </c>
      <c r="O48" s="7">
        <f t="shared" si="9"/>
        <v>0</v>
      </c>
    </row>
    <row r="49" spans="3:15" x14ac:dyDescent="0.2">
      <c r="C49">
        <v>30</v>
      </c>
      <c r="D49" s="7">
        <v>3139.7142857142858</v>
      </c>
      <c r="E49" s="7">
        <f t="shared" si="2"/>
        <v>93.890977443609032</v>
      </c>
      <c r="F49" s="7">
        <f t="shared" si="3"/>
        <v>253.5397720550726</v>
      </c>
      <c r="G49" s="7">
        <v>0</v>
      </c>
      <c r="H49" s="7">
        <f t="shared" si="4"/>
        <v>0</v>
      </c>
      <c r="I49" s="7">
        <f t="shared" si="5"/>
        <v>0</v>
      </c>
      <c r="J49" s="7">
        <v>0</v>
      </c>
      <c r="K49" s="7">
        <f t="shared" si="6"/>
        <v>0</v>
      </c>
      <c r="L49" s="7">
        <f t="shared" si="7"/>
        <v>0</v>
      </c>
      <c r="M49" s="7">
        <v>0</v>
      </c>
      <c r="N49" s="7">
        <f t="shared" si="8"/>
        <v>0</v>
      </c>
      <c r="O49" s="7">
        <f t="shared" si="9"/>
        <v>0</v>
      </c>
    </row>
    <row r="50" spans="3:15" x14ac:dyDescent="0.2">
      <c r="C50">
        <v>31</v>
      </c>
      <c r="D50" s="7">
        <v>3330.6428571428564</v>
      </c>
      <c r="E50" s="7">
        <f t="shared" si="2"/>
        <v>99.600563909774422</v>
      </c>
      <c r="F50" s="7">
        <f t="shared" si="3"/>
        <v>268.95773116652964</v>
      </c>
      <c r="G50" s="7">
        <v>6184.2212644675337</v>
      </c>
      <c r="H50" s="7">
        <f t="shared" si="4"/>
        <v>147.94787714037162</v>
      </c>
      <c r="I50" s="7">
        <f t="shared" si="5"/>
        <v>321.50578670841287</v>
      </c>
      <c r="J50" s="7">
        <v>0</v>
      </c>
      <c r="K50" s="7">
        <f t="shared" si="6"/>
        <v>0</v>
      </c>
      <c r="L50" s="7">
        <f t="shared" si="7"/>
        <v>0</v>
      </c>
      <c r="M50" s="7">
        <v>1138.2410713183156</v>
      </c>
      <c r="N50" s="7">
        <f t="shared" si="8"/>
        <v>90.768825463980519</v>
      </c>
      <c r="O50" s="7">
        <f t="shared" si="9"/>
        <v>34.359175890472898</v>
      </c>
    </row>
    <row r="51" spans="3:15" x14ac:dyDescent="0.2">
      <c r="C51">
        <v>32</v>
      </c>
      <c r="D51" s="7">
        <v>3521.5714285714284</v>
      </c>
      <c r="E51" s="7">
        <f t="shared" si="2"/>
        <v>105.31015037593986</v>
      </c>
      <c r="F51" s="7">
        <f t="shared" si="3"/>
        <v>284.37569027798685</v>
      </c>
      <c r="G51" s="7">
        <v>6185.7687474656996</v>
      </c>
      <c r="H51" s="7">
        <f t="shared" si="4"/>
        <v>147.98489826472965</v>
      </c>
      <c r="I51" s="7">
        <f t="shared" si="5"/>
        <v>321.58623737753783</v>
      </c>
      <c r="J51" s="7">
        <v>0</v>
      </c>
      <c r="K51" s="7">
        <f t="shared" si="6"/>
        <v>0</v>
      </c>
      <c r="L51" s="7">
        <f t="shared" si="7"/>
        <v>0</v>
      </c>
      <c r="M51" s="7">
        <v>1136.69358832015</v>
      </c>
      <c r="N51" s="7">
        <f t="shared" si="8"/>
        <v>90.645421716120424</v>
      </c>
      <c r="O51" s="7">
        <f t="shared" si="9"/>
        <v>34.312463254756892</v>
      </c>
    </row>
    <row r="52" spans="3:15" x14ac:dyDescent="0.2">
      <c r="C52">
        <v>33</v>
      </c>
      <c r="D52" s="7">
        <v>3712.4999999999995</v>
      </c>
      <c r="E52" s="7">
        <f t="shared" si="2"/>
        <v>111.01973684210526</v>
      </c>
      <c r="F52" s="7">
        <f t="shared" si="3"/>
        <v>299.79364938944394</v>
      </c>
      <c r="G52" s="7">
        <v>0</v>
      </c>
      <c r="H52" s="7">
        <f t="shared" si="4"/>
        <v>0</v>
      </c>
      <c r="I52" s="7">
        <f t="shared" si="5"/>
        <v>0</v>
      </c>
      <c r="J52" s="7">
        <v>0</v>
      </c>
      <c r="K52" s="7">
        <f t="shared" si="6"/>
        <v>0</v>
      </c>
      <c r="L52" s="7">
        <f t="shared" si="7"/>
        <v>0</v>
      </c>
      <c r="M52" s="7">
        <v>0</v>
      </c>
      <c r="N52" s="7">
        <f t="shared" si="8"/>
        <v>0</v>
      </c>
      <c r="O52" s="7">
        <f t="shared" si="9"/>
        <v>0</v>
      </c>
    </row>
    <row r="53" spans="3:15" x14ac:dyDescent="0.2">
      <c r="C53">
        <v>34</v>
      </c>
      <c r="D53" s="7">
        <v>3708.257210025251</v>
      </c>
      <c r="E53" s="7">
        <f t="shared" si="2"/>
        <v>110.89285915147282</v>
      </c>
      <c r="F53" s="7">
        <f t="shared" si="3"/>
        <v>299.45103349984856</v>
      </c>
      <c r="G53" s="7">
        <v>0</v>
      </c>
      <c r="H53" s="7">
        <f t="shared" si="4"/>
        <v>0</v>
      </c>
      <c r="I53" s="7">
        <f t="shared" si="5"/>
        <v>0</v>
      </c>
      <c r="J53" s="7">
        <v>195.17136140332059</v>
      </c>
      <c r="K53" s="7">
        <f t="shared" si="6"/>
        <v>3.1127808836255277</v>
      </c>
      <c r="L53" s="7">
        <f t="shared" si="7"/>
        <v>11.716543310107365</v>
      </c>
      <c r="M53" s="7">
        <v>0</v>
      </c>
      <c r="N53" s="7">
        <f t="shared" si="8"/>
        <v>0</v>
      </c>
      <c r="O53" s="7">
        <f t="shared" si="9"/>
        <v>0</v>
      </c>
    </row>
    <row r="54" spans="3:15" x14ac:dyDescent="0.2">
      <c r="C54">
        <v>35</v>
      </c>
      <c r="D54" s="7">
        <v>3701.9642499536608</v>
      </c>
      <c r="E54" s="7">
        <f t="shared" si="2"/>
        <v>110.70467254646115</v>
      </c>
      <c r="F54" s="7">
        <f t="shared" si="3"/>
        <v>298.9428612532966</v>
      </c>
      <c r="G54" s="7">
        <v>0</v>
      </c>
      <c r="H54" s="7">
        <f t="shared" si="4"/>
        <v>0</v>
      </c>
      <c r="I54" s="7">
        <f t="shared" si="5"/>
        <v>0</v>
      </c>
      <c r="J54" s="7">
        <v>392.39289290348142</v>
      </c>
      <c r="K54" s="7">
        <f t="shared" si="6"/>
        <v>6.2582598549199595</v>
      </c>
      <c r="L54" s="7">
        <f t="shared" si="7"/>
        <v>23.556162601034874</v>
      </c>
      <c r="M54" s="7">
        <v>0</v>
      </c>
      <c r="N54" s="7">
        <f t="shared" si="8"/>
        <v>0</v>
      </c>
      <c r="O54" s="7">
        <f t="shared" si="9"/>
        <v>0</v>
      </c>
    </row>
    <row r="55" spans="3:15" x14ac:dyDescent="0.2">
      <c r="C55">
        <v>36</v>
      </c>
      <c r="D55" s="7">
        <v>3695.7052772713005</v>
      </c>
      <c r="E55" s="7">
        <f t="shared" si="2"/>
        <v>110.51750231074463</v>
      </c>
      <c r="F55" s="7">
        <f t="shared" si="3"/>
        <v>298.43743357333062</v>
      </c>
      <c r="G55" s="7">
        <v>0</v>
      </c>
      <c r="H55" s="7">
        <f t="shared" si="4"/>
        <v>0</v>
      </c>
      <c r="I55" s="7">
        <f t="shared" si="5"/>
        <v>0</v>
      </c>
      <c r="J55" s="7">
        <v>589.58043701441329</v>
      </c>
      <c r="K55" s="7">
        <f t="shared" si="6"/>
        <v>9.4031967625903246</v>
      </c>
      <c r="L55" s="7">
        <f t="shared" si="7"/>
        <v>35.393741558201143</v>
      </c>
      <c r="M55" s="7">
        <v>0</v>
      </c>
      <c r="N55" s="7">
        <f t="shared" si="8"/>
        <v>0</v>
      </c>
      <c r="O55" s="7">
        <f t="shared" si="9"/>
        <v>0</v>
      </c>
    </row>
    <row r="56" spans="3:15" x14ac:dyDescent="0.2">
      <c r="C56">
        <v>37</v>
      </c>
      <c r="D56" s="7">
        <v>3689.4801757103178</v>
      </c>
      <c r="E56" s="7">
        <f t="shared" si="2"/>
        <v>110.33134496741381</v>
      </c>
      <c r="F56" s="7">
        <f t="shared" si="3"/>
        <v>297.93474107103111</v>
      </c>
      <c r="G56" s="7">
        <v>0</v>
      </c>
      <c r="H56" s="7">
        <f t="shared" si="4"/>
        <v>0</v>
      </c>
      <c r="I56" s="7">
        <f t="shared" si="5"/>
        <v>0</v>
      </c>
      <c r="J56" s="7">
        <v>786.73411000396663</v>
      </c>
      <c r="K56" s="7">
        <f t="shared" si="6"/>
        <v>12.547593460988304</v>
      </c>
      <c r="L56" s="7">
        <f t="shared" si="7"/>
        <v>47.229287161407377</v>
      </c>
      <c r="M56" s="7">
        <v>0</v>
      </c>
      <c r="N56" s="7">
        <f t="shared" si="8"/>
        <v>0</v>
      </c>
      <c r="O56" s="7">
        <f t="shared" si="9"/>
        <v>0</v>
      </c>
    </row>
    <row r="57" spans="3:15" x14ac:dyDescent="0.2">
      <c r="C57">
        <v>38</v>
      </c>
      <c r="D57" s="7">
        <v>3682.9360256402456</v>
      </c>
      <c r="E57" s="7">
        <f t="shared" si="2"/>
        <v>110.13564669976812</v>
      </c>
      <c r="F57" s="7">
        <f t="shared" si="3"/>
        <v>297.40628460459095</v>
      </c>
      <c r="G57" s="7">
        <v>0</v>
      </c>
      <c r="H57" s="7">
        <f t="shared" si="4"/>
        <v>0</v>
      </c>
      <c r="I57" s="7">
        <f t="shared" si="5"/>
        <v>0</v>
      </c>
      <c r="J57" s="7">
        <v>984.20683150261129</v>
      </c>
      <c r="K57" s="7">
        <f t="shared" si="6"/>
        <v>15.697078652354248</v>
      </c>
      <c r="L57" s="7">
        <f t="shared" si="7"/>
        <v>59.083985911099433</v>
      </c>
      <c r="M57" s="7">
        <v>0</v>
      </c>
      <c r="N57" s="7">
        <f t="shared" si="8"/>
        <v>0</v>
      </c>
      <c r="O57" s="7">
        <f t="shared" si="9"/>
        <v>0</v>
      </c>
    </row>
    <row r="58" spans="3:15" x14ac:dyDescent="0.2">
      <c r="C58">
        <v>39</v>
      </c>
      <c r="D58" s="7">
        <v>3675.8974787539855</v>
      </c>
      <c r="E58" s="7">
        <f t="shared" si="2"/>
        <v>109.9251638383369</v>
      </c>
      <c r="F58" s="7">
        <f t="shared" si="3"/>
        <v>296.83790436016523</v>
      </c>
      <c r="G58" s="7">
        <v>0</v>
      </c>
      <c r="H58" s="7">
        <f t="shared" si="4"/>
        <v>0</v>
      </c>
      <c r="I58" s="7">
        <f t="shared" si="5"/>
        <v>0</v>
      </c>
      <c r="J58" s="7">
        <v>1182.1739498174429</v>
      </c>
      <c r="K58" s="7">
        <f t="shared" si="6"/>
        <v>18.85444896040579</v>
      </c>
      <c r="L58" s="7">
        <f t="shared" si="7"/>
        <v>70.96836433135168</v>
      </c>
      <c r="M58" s="7">
        <v>0</v>
      </c>
      <c r="N58" s="7">
        <f t="shared" si="8"/>
        <v>0</v>
      </c>
      <c r="O58" s="7">
        <f t="shared" si="9"/>
        <v>0</v>
      </c>
    </row>
    <row r="59" spans="3:15" x14ac:dyDescent="0.2">
      <c r="C59">
        <v>40</v>
      </c>
      <c r="D59" s="7">
        <v>3674.7605095569952</v>
      </c>
      <c r="E59" s="7">
        <f t="shared" si="2"/>
        <v>109.89116356330727</v>
      </c>
      <c r="F59" s="7">
        <f t="shared" si="3"/>
        <v>296.74609125718627</v>
      </c>
      <c r="G59" s="7">
        <v>6182.217598196683</v>
      </c>
      <c r="H59" s="7">
        <f t="shared" si="4"/>
        <v>147.8999425405905</v>
      </c>
      <c r="I59" s="7">
        <f t="shared" si="5"/>
        <v>321.40161994704357</v>
      </c>
      <c r="J59" s="7">
        <v>1374.2394904430048</v>
      </c>
      <c r="K59" s="7">
        <f t="shared" si="6"/>
        <v>21.917695222376473</v>
      </c>
      <c r="L59" s="7">
        <f t="shared" si="7"/>
        <v>82.498458751650645</v>
      </c>
      <c r="M59" s="7">
        <v>1140.2447375891659</v>
      </c>
      <c r="N59" s="7">
        <f t="shared" si="8"/>
        <v>90.92860746325087</v>
      </c>
      <c r="O59" s="7">
        <f t="shared" si="9"/>
        <v>34.419658967002732</v>
      </c>
    </row>
    <row r="60" spans="3:15" x14ac:dyDescent="0.2">
      <c r="C60">
        <v>41</v>
      </c>
      <c r="D60" s="7">
        <v>3681.6431139835645</v>
      </c>
      <c r="E60" s="7">
        <f t="shared" si="2"/>
        <v>110.0969830736712</v>
      </c>
      <c r="F60" s="7">
        <f t="shared" si="3"/>
        <v>297.3018787584241</v>
      </c>
      <c r="G60" s="7">
        <v>6182.0262839802872</v>
      </c>
      <c r="H60" s="7">
        <f t="shared" si="4"/>
        <v>147.89536564546142</v>
      </c>
      <c r="I60" s="7">
        <f t="shared" si="5"/>
        <v>321.39167388835318</v>
      </c>
      <c r="J60" s="7">
        <v>1218.8568860164346</v>
      </c>
      <c r="K60" s="7">
        <f t="shared" si="6"/>
        <v>19.439503764217459</v>
      </c>
      <c r="L60" s="7">
        <f t="shared" si="7"/>
        <v>73.170517391242541</v>
      </c>
      <c r="M60" s="7">
        <v>1140.4360518055623</v>
      </c>
      <c r="N60" s="7">
        <f t="shared" si="8"/>
        <v>90.943863780347883</v>
      </c>
      <c r="O60" s="7">
        <f t="shared" si="9"/>
        <v>34.425434016750245</v>
      </c>
    </row>
    <row r="61" spans="3:15" x14ac:dyDescent="0.2">
      <c r="C61">
        <v>42</v>
      </c>
      <c r="D61" s="7">
        <v>3688.4966306191027</v>
      </c>
      <c r="E61" s="7">
        <f t="shared" si="2"/>
        <v>110.30193273382484</v>
      </c>
      <c r="F61" s="7">
        <f t="shared" si="3"/>
        <v>297.85531734787031</v>
      </c>
      <c r="G61" s="7">
        <v>6181.7453703709671</v>
      </c>
      <c r="H61" s="7">
        <f t="shared" si="4"/>
        <v>147.88864522418584</v>
      </c>
      <c r="I61" s="7">
        <f t="shared" si="5"/>
        <v>321.37706972930079</v>
      </c>
      <c r="J61" s="7">
        <v>1509.0033693808973</v>
      </c>
      <c r="K61" s="7">
        <f t="shared" si="6"/>
        <v>24.06703938406535</v>
      </c>
      <c r="L61" s="7">
        <f t="shared" si="7"/>
        <v>90.588615078177241</v>
      </c>
      <c r="M61" s="7">
        <v>1140.7169654148815</v>
      </c>
      <c r="N61" s="7">
        <f t="shared" si="8"/>
        <v>90.966265184599806</v>
      </c>
      <c r="O61" s="7">
        <f t="shared" si="9"/>
        <v>34.433913731949275</v>
      </c>
    </row>
    <row r="62" spans="3:15" x14ac:dyDescent="0.2">
      <c r="C62">
        <v>43</v>
      </c>
      <c r="D62" s="7">
        <v>3695.3204984701524</v>
      </c>
      <c r="E62" s="7">
        <f t="shared" si="2"/>
        <v>110.5059957676481</v>
      </c>
      <c r="F62" s="7">
        <f t="shared" si="3"/>
        <v>298.40636172390197</v>
      </c>
      <c r="G62" s="7">
        <v>6181.0745707305887</v>
      </c>
      <c r="H62" s="7">
        <f t="shared" si="4"/>
        <v>147.87259738589927</v>
      </c>
      <c r="I62" s="7">
        <f t="shared" si="5"/>
        <v>321.3421961442719</v>
      </c>
      <c r="J62" s="7">
        <v>1799.1795015298476</v>
      </c>
      <c r="K62" s="7">
        <f t="shared" si="6"/>
        <v>28.695047871289436</v>
      </c>
      <c r="L62" s="7">
        <f t="shared" si="7"/>
        <v>108.0084926433945</v>
      </c>
      <c r="M62" s="7">
        <v>1141.3877650552606</v>
      </c>
      <c r="N62" s="7">
        <f t="shared" si="8"/>
        <v>91.019757978888407</v>
      </c>
      <c r="O62" s="7">
        <f t="shared" si="9"/>
        <v>34.454162625976934</v>
      </c>
    </row>
    <row r="63" spans="3:15" x14ac:dyDescent="0.2">
      <c r="C63">
        <v>44</v>
      </c>
      <c r="D63" s="7">
        <v>3702.11401085228</v>
      </c>
      <c r="E63" s="7">
        <f t="shared" si="2"/>
        <v>110.70915104223326</v>
      </c>
      <c r="F63" s="7">
        <f t="shared" si="3"/>
        <v>298.95495481998563</v>
      </c>
      <c r="G63" s="7">
        <v>6180.1146801429286</v>
      </c>
      <c r="H63" s="7">
        <f t="shared" si="4"/>
        <v>147.84963349624232</v>
      </c>
      <c r="I63" s="7">
        <f t="shared" si="5"/>
        <v>321.29229327609465</v>
      </c>
      <c r="J63" s="7">
        <v>1940.8859891477191</v>
      </c>
      <c r="K63" s="7">
        <f t="shared" si="6"/>
        <v>30.955119444142252</v>
      </c>
      <c r="L63" s="7">
        <f t="shared" si="7"/>
        <v>116.5154282284108</v>
      </c>
      <c r="M63" s="7">
        <v>1142.3476556429207</v>
      </c>
      <c r="N63" s="7">
        <f t="shared" si="8"/>
        <v>91.096304277744878</v>
      </c>
      <c r="O63" s="7">
        <f t="shared" si="9"/>
        <v>34.483138077986254</v>
      </c>
    </row>
    <row r="64" spans="3:15" x14ac:dyDescent="0.2">
      <c r="C64">
        <v>45</v>
      </c>
      <c r="D64" s="7">
        <v>3708.8766154646305</v>
      </c>
      <c r="E64" s="7">
        <f t="shared" si="2"/>
        <v>110.91138204140643</v>
      </c>
      <c r="F64" s="7">
        <f t="shared" si="3"/>
        <v>299.50105203644739</v>
      </c>
      <c r="G64" s="7">
        <v>6178.7659443524644</v>
      </c>
      <c r="H64" s="7">
        <f t="shared" si="4"/>
        <v>147.81736708977189</v>
      </c>
      <c r="I64" s="7">
        <f t="shared" si="5"/>
        <v>321.22217509260304</v>
      </c>
      <c r="J64" s="7">
        <v>2379.6233845353686</v>
      </c>
      <c r="K64" s="7">
        <f t="shared" si="6"/>
        <v>37.952526069144639</v>
      </c>
      <c r="L64" s="7">
        <f t="shared" si="7"/>
        <v>142.85374783566255</v>
      </c>
      <c r="M64" s="7">
        <v>1143.6963914333842</v>
      </c>
      <c r="N64" s="7">
        <f t="shared" si="8"/>
        <v>91.203858965979606</v>
      </c>
      <c r="O64" s="7">
        <f t="shared" si="9"/>
        <v>34.523851290171294</v>
      </c>
    </row>
    <row r="65" spans="3:15" x14ac:dyDescent="0.2">
      <c r="C65">
        <v>46</v>
      </c>
      <c r="D65" s="7">
        <v>3715.6078396013249</v>
      </c>
      <c r="E65" s="7">
        <f t="shared" si="2"/>
        <v>111.11267462922623</v>
      </c>
      <c r="F65" s="7">
        <f t="shared" si="3"/>
        <v>300.04461520110681</v>
      </c>
      <c r="G65" s="7">
        <v>6177.6302497572524</v>
      </c>
      <c r="H65" s="7">
        <f t="shared" si="4"/>
        <v>147.7901973626137</v>
      </c>
      <c r="I65" s="7">
        <f t="shared" si="5"/>
        <v>321.16313251170567</v>
      </c>
      <c r="J65" s="7">
        <v>1630.3921603986751</v>
      </c>
      <c r="K65" s="7">
        <f t="shared" si="6"/>
        <v>26.003064759149524</v>
      </c>
      <c r="L65" s="7">
        <f t="shared" si="7"/>
        <v>97.875837020449197</v>
      </c>
      <c r="M65" s="7">
        <v>1144.8320860285969</v>
      </c>
      <c r="N65" s="7">
        <f t="shared" si="8"/>
        <v>91.294424723173606</v>
      </c>
      <c r="O65" s="7">
        <f t="shared" si="9"/>
        <v>34.558133597617449</v>
      </c>
    </row>
    <row r="66" spans="3:15" x14ac:dyDescent="0.2">
      <c r="C66">
        <v>47</v>
      </c>
      <c r="D66" s="7">
        <v>3714.286624752865</v>
      </c>
      <c r="E66" s="7">
        <f t="shared" si="2"/>
        <v>111.07316461581534</v>
      </c>
      <c r="F66" s="7">
        <f t="shared" si="3"/>
        <v>299.93792380149807</v>
      </c>
      <c r="G66" s="7">
        <v>0</v>
      </c>
      <c r="H66" s="7">
        <f t="shared" si="4"/>
        <v>0</v>
      </c>
      <c r="I66" s="7">
        <f t="shared" si="5"/>
        <v>0</v>
      </c>
      <c r="J66" s="7">
        <v>889.21337524713317</v>
      </c>
      <c r="K66" s="7">
        <f t="shared" si="6"/>
        <v>14.182031503144071</v>
      </c>
      <c r="L66" s="7">
        <f t="shared" si="7"/>
        <v>53.381330888398118</v>
      </c>
      <c r="M66" s="7">
        <v>0</v>
      </c>
      <c r="N66" s="7">
        <f t="shared" si="8"/>
        <v>0</v>
      </c>
      <c r="O66" s="7">
        <f t="shared" si="9"/>
        <v>0</v>
      </c>
    </row>
    <row r="67" spans="3:15" x14ac:dyDescent="0.2">
      <c r="C67">
        <v>48</v>
      </c>
      <c r="D67" s="7">
        <v>3707.1295380559018</v>
      </c>
      <c r="E67" s="7">
        <f t="shared" si="2"/>
        <v>110.85913690358559</v>
      </c>
      <c r="F67" s="7">
        <f t="shared" si="3"/>
        <v>299.35997117122758</v>
      </c>
      <c r="G67" s="7">
        <v>0</v>
      </c>
      <c r="H67" s="7">
        <f t="shared" si="4"/>
        <v>0</v>
      </c>
      <c r="I67" s="7">
        <f t="shared" si="5"/>
        <v>0</v>
      </c>
      <c r="J67" s="7">
        <v>153.87046194409731</v>
      </c>
      <c r="K67" s="7">
        <f t="shared" si="6"/>
        <v>2.4540743531753959</v>
      </c>
      <c r="L67" s="7">
        <f t="shared" si="7"/>
        <v>9.2371642978331483</v>
      </c>
      <c r="M67" s="7">
        <v>0</v>
      </c>
      <c r="N67" s="7">
        <f t="shared" si="8"/>
        <v>0</v>
      </c>
      <c r="O67" s="7">
        <f t="shared" si="9"/>
        <v>0</v>
      </c>
    </row>
    <row r="68" spans="3:15" x14ac:dyDescent="0.2">
      <c r="C68">
        <v>49</v>
      </c>
      <c r="D68" s="7">
        <v>2524.5</v>
      </c>
      <c r="E68" s="7">
        <f t="shared" si="2"/>
        <v>75.493421052631589</v>
      </c>
      <c r="F68" s="7">
        <f t="shared" si="3"/>
        <v>203.85968158482189</v>
      </c>
      <c r="G68" s="7">
        <v>0</v>
      </c>
      <c r="H68" s="7">
        <f t="shared" si="4"/>
        <v>0</v>
      </c>
      <c r="I68" s="7">
        <f t="shared" si="5"/>
        <v>0</v>
      </c>
      <c r="J68" s="7">
        <v>0</v>
      </c>
      <c r="K68" s="7">
        <f t="shared" si="6"/>
        <v>0</v>
      </c>
      <c r="L68" s="7">
        <f t="shared" si="7"/>
        <v>0</v>
      </c>
      <c r="M68" s="7">
        <v>0</v>
      </c>
      <c r="N68" s="7">
        <f t="shared" si="8"/>
        <v>0</v>
      </c>
      <c r="O68" s="7">
        <f t="shared" si="9"/>
        <v>0</v>
      </c>
    </row>
    <row r="69" spans="3:15" x14ac:dyDescent="0.2">
      <c r="C69">
        <v>50</v>
      </c>
      <c r="D69" s="7">
        <v>2376</v>
      </c>
      <c r="E69" s="7">
        <f t="shared" si="2"/>
        <v>71.05263157894737</v>
      </c>
      <c r="F69" s="7">
        <f t="shared" si="3"/>
        <v>191.86793560924414</v>
      </c>
      <c r="G69" s="7">
        <v>0</v>
      </c>
      <c r="H69" s="7">
        <f t="shared" si="4"/>
        <v>0</v>
      </c>
      <c r="I69" s="7">
        <f t="shared" si="5"/>
        <v>0</v>
      </c>
      <c r="J69" s="7">
        <v>0</v>
      </c>
      <c r="K69" s="7">
        <f t="shared" si="6"/>
        <v>0</v>
      </c>
      <c r="L69" s="7">
        <f t="shared" si="7"/>
        <v>0</v>
      </c>
      <c r="M69" s="7">
        <v>0</v>
      </c>
      <c r="N69" s="7">
        <f t="shared" si="8"/>
        <v>0</v>
      </c>
      <c r="O69" s="7">
        <f t="shared" si="9"/>
        <v>0</v>
      </c>
    </row>
    <row r="70" spans="3:15" x14ac:dyDescent="0.2">
      <c r="C70">
        <v>51</v>
      </c>
      <c r="D70" s="7">
        <v>2524.5</v>
      </c>
      <c r="E70" s="7">
        <f t="shared" si="2"/>
        <v>75.493421052631589</v>
      </c>
      <c r="F70" s="7">
        <f t="shared" si="3"/>
        <v>203.85968158482189</v>
      </c>
      <c r="G70" s="7">
        <v>0</v>
      </c>
      <c r="H70" s="7">
        <f t="shared" si="4"/>
        <v>0</v>
      </c>
      <c r="I70" s="7">
        <f t="shared" si="5"/>
        <v>0</v>
      </c>
      <c r="J70" s="7">
        <v>0</v>
      </c>
      <c r="K70" s="7">
        <f t="shared" si="6"/>
        <v>0</v>
      </c>
      <c r="L70" s="7">
        <f t="shared" si="7"/>
        <v>0</v>
      </c>
      <c r="M70" s="7">
        <v>0</v>
      </c>
      <c r="N70" s="7">
        <f t="shared" si="8"/>
        <v>0</v>
      </c>
      <c r="O70" s="7">
        <f t="shared" si="9"/>
        <v>0</v>
      </c>
    </row>
    <row r="71" spans="3:15" x14ac:dyDescent="0.2">
      <c r="C71">
        <v>52</v>
      </c>
      <c r="D71" s="7">
        <v>2673</v>
      </c>
      <c r="E71" s="7">
        <f t="shared" si="2"/>
        <v>79.934210526315795</v>
      </c>
      <c r="F71" s="7">
        <f t="shared" si="3"/>
        <v>215.85142756039966</v>
      </c>
      <c r="G71" s="7">
        <v>0</v>
      </c>
      <c r="H71" s="7">
        <f t="shared" si="4"/>
        <v>0</v>
      </c>
      <c r="I71" s="7">
        <f t="shared" si="5"/>
        <v>0</v>
      </c>
      <c r="J71" s="7">
        <v>0</v>
      </c>
      <c r="K71" s="7">
        <f t="shared" si="6"/>
        <v>0</v>
      </c>
      <c r="L71" s="7">
        <f t="shared" si="7"/>
        <v>0</v>
      </c>
      <c r="M71" s="7">
        <v>0</v>
      </c>
      <c r="N71" s="7">
        <f t="shared" si="8"/>
        <v>0</v>
      </c>
      <c r="O71" s="7">
        <f t="shared" si="9"/>
        <v>0</v>
      </c>
    </row>
    <row r="72" spans="3:15" x14ac:dyDescent="0.2">
      <c r="C72">
        <v>53</v>
      </c>
      <c r="D72" s="7">
        <v>2992.8461538461534</v>
      </c>
      <c r="E72" s="7">
        <f t="shared" si="2"/>
        <v>89.498987854250998</v>
      </c>
      <c r="F72" s="7">
        <f t="shared" si="3"/>
        <v>241.67980350779786</v>
      </c>
      <c r="G72" s="7">
        <v>0</v>
      </c>
      <c r="H72" s="7">
        <f t="shared" si="4"/>
        <v>0</v>
      </c>
      <c r="I72" s="7">
        <f t="shared" si="5"/>
        <v>0</v>
      </c>
      <c r="J72" s="7">
        <v>0</v>
      </c>
      <c r="K72" s="7">
        <f t="shared" si="6"/>
        <v>0</v>
      </c>
      <c r="L72" s="7">
        <f t="shared" si="7"/>
        <v>0</v>
      </c>
      <c r="M72" s="7">
        <v>0</v>
      </c>
      <c r="N72" s="7">
        <f t="shared" si="8"/>
        <v>0</v>
      </c>
      <c r="O72" s="7">
        <f t="shared" si="9"/>
        <v>0</v>
      </c>
    </row>
    <row r="73" spans="3:15" x14ac:dyDescent="0.2">
      <c r="C73">
        <v>54</v>
      </c>
      <c r="D73" s="7">
        <v>3198.4615384615386</v>
      </c>
      <c r="E73" s="7">
        <f t="shared" si="2"/>
        <v>95.647773279352236</v>
      </c>
      <c r="F73" s="7">
        <f t="shared" si="3"/>
        <v>258.28375947398251</v>
      </c>
      <c r="G73" s="7">
        <v>0</v>
      </c>
      <c r="H73" s="7">
        <f t="shared" si="4"/>
        <v>0</v>
      </c>
      <c r="I73" s="7">
        <f t="shared" si="5"/>
        <v>0</v>
      </c>
      <c r="J73" s="7">
        <v>0</v>
      </c>
      <c r="K73" s="7">
        <f t="shared" si="6"/>
        <v>0</v>
      </c>
      <c r="L73" s="7">
        <f t="shared" si="7"/>
        <v>0</v>
      </c>
      <c r="M73" s="7">
        <v>0</v>
      </c>
      <c r="N73" s="7">
        <f t="shared" si="8"/>
        <v>0</v>
      </c>
      <c r="O73" s="7">
        <f t="shared" si="9"/>
        <v>0</v>
      </c>
    </row>
    <row r="74" spans="3:15" x14ac:dyDescent="0.2">
      <c r="C74">
        <v>55</v>
      </c>
      <c r="D74" s="7">
        <v>3404.0769230769229</v>
      </c>
      <c r="E74" s="7">
        <f t="shared" si="2"/>
        <v>101.79655870445345</v>
      </c>
      <c r="F74" s="7">
        <f t="shared" si="3"/>
        <v>274.88771544016709</v>
      </c>
      <c r="G74" s="7">
        <v>6178.3695964544786</v>
      </c>
      <c r="H74" s="7">
        <f t="shared" si="4"/>
        <v>147.80788508264303</v>
      </c>
      <c r="I74" s="7">
        <f t="shared" si="5"/>
        <v>321.20156972657503</v>
      </c>
      <c r="J74" s="7">
        <v>0</v>
      </c>
      <c r="K74" s="7">
        <f t="shared" si="6"/>
        <v>0</v>
      </c>
      <c r="L74" s="7">
        <f t="shared" si="7"/>
        <v>0</v>
      </c>
      <c r="M74" s="7">
        <v>1144.09273933137</v>
      </c>
      <c r="N74" s="7">
        <f t="shared" si="8"/>
        <v>91.235465656409104</v>
      </c>
      <c r="O74" s="7">
        <f t="shared" si="9"/>
        <v>34.535815528225847</v>
      </c>
    </row>
    <row r="75" spans="3:15" x14ac:dyDescent="0.2">
      <c r="C75">
        <v>56</v>
      </c>
      <c r="D75" s="7">
        <v>3609.6923076923063</v>
      </c>
      <c r="E75" s="7">
        <f t="shared" si="2"/>
        <v>107.94534412955463</v>
      </c>
      <c r="F75" s="7">
        <f t="shared" si="3"/>
        <v>291.49167140635154</v>
      </c>
      <c r="G75" s="7">
        <v>6179.9544215472524</v>
      </c>
      <c r="H75" s="7">
        <f t="shared" si="4"/>
        <v>147.84579955854673</v>
      </c>
      <c r="I75" s="7">
        <f t="shared" si="5"/>
        <v>321.283961739483</v>
      </c>
      <c r="J75" s="7">
        <v>0</v>
      </c>
      <c r="K75" s="7">
        <f t="shared" si="6"/>
        <v>0</v>
      </c>
      <c r="L75" s="7">
        <f t="shared" si="7"/>
        <v>0</v>
      </c>
      <c r="M75" s="7">
        <v>1142.5079142385969</v>
      </c>
      <c r="N75" s="7">
        <f t="shared" si="8"/>
        <v>91.109084070063545</v>
      </c>
      <c r="O75" s="7">
        <f t="shared" si="9"/>
        <v>34.487975676466533</v>
      </c>
    </row>
    <row r="76" spans="3:15" x14ac:dyDescent="0.2">
      <c r="C76">
        <v>57</v>
      </c>
      <c r="D76" s="7">
        <v>3683.1396361592797</v>
      </c>
      <c r="E76" s="7">
        <f t="shared" si="2"/>
        <v>110.14173553107895</v>
      </c>
      <c r="F76" s="7">
        <f t="shared" si="3"/>
        <v>297.42272666265302</v>
      </c>
      <c r="G76" s="7">
        <v>0</v>
      </c>
      <c r="H76" s="7">
        <f t="shared" si="4"/>
        <v>0</v>
      </c>
      <c r="I76" s="7">
        <f t="shared" si="5"/>
        <v>0</v>
      </c>
      <c r="J76" s="7">
        <v>132.16805614841178</v>
      </c>
      <c r="K76" s="7">
        <f t="shared" si="6"/>
        <v>2.1079434792410172</v>
      </c>
      <c r="L76" s="7">
        <f t="shared" si="7"/>
        <v>7.9343236781317152</v>
      </c>
      <c r="M76" s="7">
        <v>0</v>
      </c>
      <c r="N76" s="7">
        <f t="shared" si="8"/>
        <v>0</v>
      </c>
      <c r="O76" s="7">
        <f t="shared" si="9"/>
        <v>0</v>
      </c>
    </row>
    <row r="77" spans="3:15" x14ac:dyDescent="0.2">
      <c r="C77">
        <v>58</v>
      </c>
      <c r="D77" s="7">
        <v>3676.153744205214</v>
      </c>
      <c r="E77" s="7">
        <f t="shared" si="2"/>
        <v>109.93282727886407</v>
      </c>
      <c r="F77" s="7">
        <f t="shared" si="3"/>
        <v>296.85859843554198</v>
      </c>
      <c r="G77" s="7">
        <v>0</v>
      </c>
      <c r="H77" s="7">
        <f t="shared" si="4"/>
        <v>0</v>
      </c>
      <c r="I77" s="7">
        <f t="shared" si="5"/>
        <v>0</v>
      </c>
      <c r="J77" s="7">
        <v>344.7693327178622</v>
      </c>
      <c r="K77" s="7">
        <f t="shared" si="6"/>
        <v>5.4987134404762719</v>
      </c>
      <c r="L77" s="7">
        <f t="shared" si="7"/>
        <v>20.697221097095461</v>
      </c>
      <c r="M77" s="7">
        <v>0</v>
      </c>
      <c r="N77" s="7">
        <f t="shared" si="8"/>
        <v>0</v>
      </c>
      <c r="O77" s="7">
        <f t="shared" si="9"/>
        <v>0</v>
      </c>
    </row>
    <row r="78" spans="3:15" x14ac:dyDescent="0.2">
      <c r="C78">
        <v>59</v>
      </c>
      <c r="D78" s="7">
        <v>3669.2028020050552</v>
      </c>
      <c r="E78" s="7">
        <f t="shared" si="2"/>
        <v>109.72496417479233</v>
      </c>
      <c r="F78" s="7">
        <f t="shared" si="3"/>
        <v>296.29729248836873</v>
      </c>
      <c r="G78" s="7">
        <v>0</v>
      </c>
      <c r="H78" s="7">
        <f t="shared" si="4"/>
        <v>0</v>
      </c>
      <c r="I78" s="7">
        <f t="shared" si="5"/>
        <v>0</v>
      </c>
      <c r="J78" s="7">
        <v>557.33565953340576</v>
      </c>
      <c r="K78" s="7">
        <f t="shared" si="6"/>
        <v>8.8889259893685129</v>
      </c>
      <c r="L78" s="7">
        <f t="shared" si="7"/>
        <v>33.458020409542023</v>
      </c>
      <c r="M78" s="7">
        <v>0</v>
      </c>
      <c r="N78" s="7">
        <f t="shared" si="8"/>
        <v>0</v>
      </c>
      <c r="O78" s="7">
        <f t="shared" si="9"/>
        <v>0</v>
      </c>
    </row>
    <row r="79" spans="3:15" x14ac:dyDescent="0.2">
      <c r="C79">
        <v>60</v>
      </c>
      <c r="D79" s="7">
        <v>3662.2866932522206</v>
      </c>
      <c r="E79" s="7">
        <f t="shared" si="2"/>
        <v>109.51814274079608</v>
      </c>
      <c r="F79" s="7">
        <f t="shared" si="3"/>
        <v>295.73879942908616</v>
      </c>
      <c r="G79" s="7">
        <v>0</v>
      </c>
      <c r="H79" s="7">
        <f t="shared" si="4"/>
        <v>0</v>
      </c>
      <c r="I79" s="7">
        <f t="shared" si="5"/>
        <v>0</v>
      </c>
      <c r="J79" s="7">
        <v>769.8671529016251</v>
      </c>
      <c r="K79" s="7">
        <f t="shared" si="6"/>
        <v>12.278582980887164</v>
      </c>
      <c r="L79" s="7">
        <f t="shared" si="7"/>
        <v>46.216728597597793</v>
      </c>
      <c r="M79" s="7">
        <v>0</v>
      </c>
      <c r="N79" s="7">
        <f t="shared" si="8"/>
        <v>0</v>
      </c>
      <c r="O79" s="7">
        <f t="shared" si="9"/>
        <v>0</v>
      </c>
    </row>
    <row r="80" spans="3:15" x14ac:dyDescent="0.2">
      <c r="C80">
        <v>61</v>
      </c>
      <c r="D80" s="7">
        <v>3655.4053019532212</v>
      </c>
      <c r="E80" s="7">
        <f t="shared" si="2"/>
        <v>109.3123595081705</v>
      </c>
      <c r="F80" s="7">
        <f t="shared" si="3"/>
        <v>295.18310989093021</v>
      </c>
      <c r="G80" s="7">
        <v>0</v>
      </c>
      <c r="H80" s="7">
        <f t="shared" si="4"/>
        <v>0</v>
      </c>
      <c r="I80" s="7">
        <f t="shared" si="5"/>
        <v>0</v>
      </c>
      <c r="J80" s="7">
        <v>982.36392881600841</v>
      </c>
      <c r="K80" s="7">
        <f t="shared" si="6"/>
        <v>15.667686265008109</v>
      </c>
      <c r="L80" s="7">
        <f t="shared" si="7"/>
        <v>58.973352624593446</v>
      </c>
      <c r="M80" s="7">
        <v>0</v>
      </c>
      <c r="N80" s="7">
        <f t="shared" si="8"/>
        <v>0</v>
      </c>
      <c r="O80" s="7">
        <f t="shared" si="9"/>
        <v>0</v>
      </c>
    </row>
    <row r="81" spans="3:15" x14ac:dyDescent="0.2">
      <c r="C81">
        <v>62</v>
      </c>
      <c r="D81" s="7">
        <v>3648.5585124269451</v>
      </c>
      <c r="E81" s="7">
        <f t="shared" si="2"/>
        <v>109.10761101755219</v>
      </c>
      <c r="F81" s="7">
        <f t="shared" si="3"/>
        <v>294.63021453236223</v>
      </c>
      <c r="G81" s="7">
        <v>0</v>
      </c>
      <c r="H81" s="7">
        <f t="shared" si="4"/>
        <v>0</v>
      </c>
      <c r="I81" s="7">
        <f t="shared" si="5"/>
        <v>0</v>
      </c>
      <c r="J81" s="7">
        <v>1194.8261029576702</v>
      </c>
      <c r="K81" s="7">
        <f t="shared" si="6"/>
        <v>19.056237686725204</v>
      </c>
      <c r="L81" s="7">
        <f t="shared" si="7"/>
        <v>71.727899435107219</v>
      </c>
      <c r="M81" s="7">
        <v>0</v>
      </c>
      <c r="N81" s="7">
        <f t="shared" si="8"/>
        <v>0</v>
      </c>
      <c r="O81" s="7">
        <f t="shared" si="9"/>
        <v>0</v>
      </c>
    </row>
    <row r="82" spans="3:15" x14ac:dyDescent="0.2">
      <c r="C82">
        <v>63</v>
      </c>
      <c r="D82" s="7">
        <v>3641.7462093039635</v>
      </c>
      <c r="E82" s="7">
        <f t="shared" si="2"/>
        <v>108.90389381889844</v>
      </c>
      <c r="F82" s="7">
        <f t="shared" si="3"/>
        <v>294.08010403701252</v>
      </c>
      <c r="G82" s="7">
        <v>0</v>
      </c>
      <c r="H82" s="7">
        <f t="shared" si="4"/>
        <v>0</v>
      </c>
      <c r="I82" s="7">
        <f t="shared" si="5"/>
        <v>0</v>
      </c>
      <c r="J82" s="7">
        <v>1407.2537906960365</v>
      </c>
      <c r="K82" s="7">
        <f t="shared" si="6"/>
        <v>22.444239086061188</v>
      </c>
      <c r="L82" s="7">
        <f t="shared" si="7"/>
        <v>84.480375955006039</v>
      </c>
      <c r="M82" s="7">
        <v>0</v>
      </c>
      <c r="N82" s="7">
        <f t="shared" si="8"/>
        <v>0</v>
      </c>
      <c r="O82" s="7">
        <f t="shared" si="9"/>
        <v>0</v>
      </c>
    </row>
    <row r="83" spans="3:15" x14ac:dyDescent="0.2">
      <c r="C83">
        <v>64</v>
      </c>
      <c r="D83" s="7">
        <v>3640.8210571307786</v>
      </c>
      <c r="E83" s="7">
        <f t="shared" si="2"/>
        <v>108.87622778501132</v>
      </c>
      <c r="F83" s="7">
        <f t="shared" si="3"/>
        <v>294.00539568785706</v>
      </c>
      <c r="G83" s="7">
        <v>6175.0852809016651</v>
      </c>
      <c r="H83" s="7">
        <f t="shared" si="4"/>
        <v>147.72931294023124</v>
      </c>
      <c r="I83" s="7">
        <f t="shared" si="5"/>
        <v>321.03082446853057</v>
      </c>
      <c r="J83" s="7">
        <v>1259.6789428692205</v>
      </c>
      <c r="K83" s="7">
        <f t="shared" si="6"/>
        <v>20.090573251502722</v>
      </c>
      <c r="L83" s="7">
        <f t="shared" si="7"/>
        <v>75.621150484562733</v>
      </c>
      <c r="M83" s="7">
        <v>1147.3770548841837</v>
      </c>
      <c r="N83" s="7">
        <f t="shared" si="8"/>
        <v>91.497372797781807</v>
      </c>
      <c r="O83" s="7">
        <f t="shared" si="9"/>
        <v>34.634956543782629</v>
      </c>
    </row>
    <row r="84" spans="3:15" x14ac:dyDescent="0.2">
      <c r="C84">
        <v>65</v>
      </c>
      <c r="D84" s="7">
        <v>3647.9123298721029</v>
      </c>
      <c r="E84" s="7">
        <f t="shared" si="2"/>
        <v>109.08828737655811</v>
      </c>
      <c r="F84" s="7">
        <f t="shared" si="3"/>
        <v>294.57803367679645</v>
      </c>
      <c r="G84" s="7">
        <v>6174.812697409161</v>
      </c>
      <c r="H84" s="7">
        <f t="shared" si="4"/>
        <v>147.72279180404692</v>
      </c>
      <c r="I84" s="7">
        <f t="shared" si="5"/>
        <v>321.01665337625337</v>
      </c>
      <c r="J84" s="7">
        <v>1519.8876701278973</v>
      </c>
      <c r="K84" s="7">
        <f t="shared" si="6"/>
        <v>24.240632697414632</v>
      </c>
      <c r="L84" s="7">
        <f t="shared" si="7"/>
        <v>91.242022320846047</v>
      </c>
      <c r="M84" s="7">
        <v>1147.6496383766876</v>
      </c>
      <c r="N84" s="7">
        <f t="shared" si="8"/>
        <v>91.51910991839614</v>
      </c>
      <c r="O84" s="7">
        <f t="shared" si="9"/>
        <v>34.643184804385569</v>
      </c>
    </row>
    <row r="85" spans="3:15" x14ac:dyDescent="0.2">
      <c r="C85">
        <v>66</v>
      </c>
      <c r="D85" s="7">
        <v>3654.9731850360067</v>
      </c>
      <c r="E85" s="7">
        <f t="shared" ref="E85:E148" si="10">D85/($C$3*($D$8-$D$6))</f>
        <v>109.29943735155523</v>
      </c>
      <c r="F85" s="7">
        <f t="shared" ref="F85:F148" si="11">E85*$C$3*((($D$8)-($D$6))-$C$2*LN(($D$8)/($D$6)))</f>
        <v>295.14821537037142</v>
      </c>
      <c r="G85" s="7">
        <v>6174.1912349507029</v>
      </c>
      <c r="H85" s="7">
        <f t="shared" ref="H85:H148" si="12">G85/($C$3*($D$6-$D$9))</f>
        <v>147.7079242811173</v>
      </c>
      <c r="I85" s="7">
        <f t="shared" ref="I85:I148" si="13">ABS(H85*$C$3*(($D$9-$D$6)-$C$2*(LN($D$9/$D$6))))</f>
        <v>320.98434473656022</v>
      </c>
      <c r="J85" s="7">
        <v>1780.1268149639936</v>
      </c>
      <c r="K85" s="7">
        <f t="shared" ref="K85:K148" si="14">J85/($C$3*($D$10-$D$7))</f>
        <v>28.391177272153012</v>
      </c>
      <c r="L85" s="7">
        <f t="shared" ref="L85:L148" si="15">K85*$C$3*(($D$10-$D$7)-$C$2*LN($D$10/$D$7))</f>
        <v>106.86472018765279</v>
      </c>
      <c r="M85" s="7">
        <v>1148.2711008351459</v>
      </c>
      <c r="N85" s="7">
        <f t="shared" ref="N85:N148" si="16">M85/($C$3*($D$7-$D$11))</f>
        <v>91.568668328161564</v>
      </c>
      <c r="O85" s="7">
        <f t="shared" ref="O85:O148" si="17">ABS(N85*$C$3*(($D$11-$D$7)-$C$2*LN($D$11/$D$7)))</f>
        <v>34.661944396230879</v>
      </c>
    </row>
    <row r="86" spans="3:15" x14ac:dyDescent="0.2">
      <c r="C86">
        <v>67</v>
      </c>
      <c r="D86" s="7">
        <v>3662.0028147799981</v>
      </c>
      <c r="E86" s="7">
        <f t="shared" si="10"/>
        <v>109.50965355203344</v>
      </c>
      <c r="F86" s="7">
        <f t="shared" si="11"/>
        <v>295.7158755332826</v>
      </c>
      <c r="G86" s="7">
        <v>6173.0611367384299</v>
      </c>
      <c r="H86" s="7">
        <f t="shared" si="12"/>
        <v>147.68088843871843</v>
      </c>
      <c r="I86" s="7">
        <f t="shared" si="13"/>
        <v>320.92559310086403</v>
      </c>
      <c r="J86" s="7">
        <v>2277.997185220001</v>
      </c>
      <c r="K86" s="7">
        <f t="shared" si="14"/>
        <v>36.331693544178648</v>
      </c>
      <c r="L86" s="7">
        <f t="shared" si="15"/>
        <v>136.75291543300531</v>
      </c>
      <c r="M86" s="7">
        <v>1149.4011990474191</v>
      </c>
      <c r="N86" s="7">
        <f t="shared" si="16"/>
        <v>91.658787802824506</v>
      </c>
      <c r="O86" s="7">
        <f t="shared" si="17"/>
        <v>34.696057770126302</v>
      </c>
    </row>
    <row r="87" spans="3:15" x14ac:dyDescent="0.2">
      <c r="C87">
        <v>68</v>
      </c>
      <c r="D87" s="7">
        <v>3669.000192148957</v>
      </c>
      <c r="E87" s="7">
        <f t="shared" si="10"/>
        <v>109.71890526761236</v>
      </c>
      <c r="F87" s="7">
        <f t="shared" si="11"/>
        <v>296.28093123633857</v>
      </c>
      <c r="G87" s="7">
        <v>6171.6036462606116</v>
      </c>
      <c r="H87" s="7">
        <f t="shared" si="12"/>
        <v>147.64602024546917</v>
      </c>
      <c r="I87" s="7">
        <f t="shared" si="13"/>
        <v>320.84982097004075</v>
      </c>
      <c r="J87" s="7">
        <v>2270.9998078510421</v>
      </c>
      <c r="K87" s="7">
        <f t="shared" si="14"/>
        <v>36.220092629203222</v>
      </c>
      <c r="L87" s="7">
        <f t="shared" si="15"/>
        <v>136.33284829604889</v>
      </c>
      <c r="M87" s="7">
        <v>1150.858689525237</v>
      </c>
      <c r="N87" s="7">
        <f t="shared" si="16"/>
        <v>91.775015113655272</v>
      </c>
      <c r="O87" s="7">
        <f t="shared" si="17"/>
        <v>34.740053873366563</v>
      </c>
    </row>
    <row r="88" spans="3:15" x14ac:dyDescent="0.2">
      <c r="C88">
        <v>69</v>
      </c>
      <c r="D88" s="7">
        <v>3675.9650911822901</v>
      </c>
      <c r="E88" s="7">
        <f t="shared" si="10"/>
        <v>109.9271857410972</v>
      </c>
      <c r="F88" s="7">
        <f t="shared" si="11"/>
        <v>296.84336423265694</v>
      </c>
      <c r="G88" s="7">
        <v>6170.0197132024423</v>
      </c>
      <c r="H88" s="7">
        <f t="shared" si="12"/>
        <v>147.6081271101063</v>
      </c>
      <c r="I88" s="7">
        <f t="shared" si="13"/>
        <v>320.76747533229883</v>
      </c>
      <c r="J88" s="7">
        <v>2561.0349088177099</v>
      </c>
      <c r="K88" s="7">
        <f t="shared" si="14"/>
        <v>40.845851815274486</v>
      </c>
      <c r="L88" s="7">
        <f t="shared" si="15"/>
        <v>153.74425946566694</v>
      </c>
      <c r="M88" s="7">
        <v>1152.4426225834072</v>
      </c>
      <c r="N88" s="7">
        <f t="shared" si="16"/>
        <v>91.901325564865019</v>
      </c>
      <c r="O88" s="7">
        <f t="shared" si="17"/>
        <v>34.787866797988386</v>
      </c>
    </row>
    <row r="89" spans="3:15" x14ac:dyDescent="0.2">
      <c r="C89">
        <v>70</v>
      </c>
      <c r="D89" s="7">
        <v>3682.8976126204384</v>
      </c>
      <c r="E89" s="7">
        <f t="shared" si="10"/>
        <v>110.13449798506096</v>
      </c>
      <c r="F89" s="7">
        <f t="shared" si="11"/>
        <v>297.40318265727996</v>
      </c>
      <c r="G89" s="7">
        <v>6168.8313838857821</v>
      </c>
      <c r="H89" s="7">
        <f t="shared" si="12"/>
        <v>147.57969817908571</v>
      </c>
      <c r="I89" s="7">
        <f t="shared" si="13"/>
        <v>320.70569637331869</v>
      </c>
      <c r="J89" s="7">
        <v>1781.9023873795618</v>
      </c>
      <c r="K89" s="7">
        <f t="shared" si="14"/>
        <v>28.419495811476267</v>
      </c>
      <c r="L89" s="7">
        <f t="shared" si="15"/>
        <v>106.97131149775923</v>
      </c>
      <c r="M89" s="7">
        <v>1153.630951900067</v>
      </c>
      <c r="N89" s="7">
        <f t="shared" si="16"/>
        <v>91.996088668266907</v>
      </c>
      <c r="O89" s="7">
        <f t="shared" si="17"/>
        <v>34.823737947813989</v>
      </c>
    </row>
    <row r="90" spans="3:15" x14ac:dyDescent="0.2">
      <c r="C90">
        <v>71</v>
      </c>
      <c r="D90" s="7">
        <v>3681.7798339898204</v>
      </c>
      <c r="E90" s="7">
        <f t="shared" si="10"/>
        <v>110.10107159060469</v>
      </c>
      <c r="F90" s="7">
        <f t="shared" si="11"/>
        <v>297.31291924047662</v>
      </c>
      <c r="G90" s="7">
        <v>0</v>
      </c>
      <c r="H90" s="7">
        <f t="shared" si="12"/>
        <v>0</v>
      </c>
      <c r="I90" s="7">
        <f t="shared" si="13"/>
        <v>0</v>
      </c>
      <c r="J90" s="7">
        <v>1010.8201660101799</v>
      </c>
      <c r="K90" s="7">
        <f t="shared" si="14"/>
        <v>16.121533748168741</v>
      </c>
      <c r="L90" s="7">
        <f t="shared" si="15"/>
        <v>60.681639809408502</v>
      </c>
      <c r="M90" s="7">
        <v>0</v>
      </c>
      <c r="N90" s="7">
        <f t="shared" si="16"/>
        <v>0</v>
      </c>
      <c r="O90" s="7">
        <f t="shared" si="17"/>
        <v>0</v>
      </c>
    </row>
    <row r="91" spans="3:15" x14ac:dyDescent="0.2">
      <c r="C91">
        <v>72</v>
      </c>
      <c r="D91" s="7">
        <v>3674.8423095894232</v>
      </c>
      <c r="E91" s="7">
        <f t="shared" si="10"/>
        <v>109.89360973652582</v>
      </c>
      <c r="F91" s="7">
        <f t="shared" si="11"/>
        <v>296.75269681415381</v>
      </c>
      <c r="G91" s="7">
        <v>0</v>
      </c>
      <c r="H91" s="7">
        <f t="shared" si="12"/>
        <v>0</v>
      </c>
      <c r="I91" s="7">
        <f t="shared" si="13"/>
        <v>0</v>
      </c>
      <c r="J91" s="7">
        <v>245.55769041057647</v>
      </c>
      <c r="K91" s="7">
        <f t="shared" si="14"/>
        <v>3.916390596659912</v>
      </c>
      <c r="L91" s="7">
        <f t="shared" si="15"/>
        <v>14.741339580451919</v>
      </c>
      <c r="M91" s="7">
        <v>0</v>
      </c>
      <c r="N91" s="7">
        <f t="shared" si="16"/>
        <v>0</v>
      </c>
      <c r="O91" s="7">
        <f t="shared" si="17"/>
        <v>0</v>
      </c>
    </row>
    <row r="92" spans="3:15" x14ac:dyDescent="0.2">
      <c r="C92">
        <v>73</v>
      </c>
      <c r="D92" s="7">
        <v>2524.5</v>
      </c>
      <c r="E92" s="7">
        <f t="shared" si="10"/>
        <v>75.493421052631589</v>
      </c>
      <c r="F92" s="7">
        <f t="shared" si="11"/>
        <v>203.85968158482189</v>
      </c>
      <c r="G92" s="7">
        <v>0</v>
      </c>
      <c r="H92" s="7">
        <f t="shared" si="12"/>
        <v>0</v>
      </c>
      <c r="I92" s="7">
        <f t="shared" si="13"/>
        <v>0</v>
      </c>
      <c r="J92" s="7">
        <v>0</v>
      </c>
      <c r="K92" s="7">
        <f t="shared" si="14"/>
        <v>0</v>
      </c>
      <c r="L92" s="7">
        <f t="shared" si="15"/>
        <v>0</v>
      </c>
      <c r="M92" s="7">
        <v>0</v>
      </c>
      <c r="N92" s="7">
        <f t="shared" si="16"/>
        <v>0</v>
      </c>
      <c r="O92" s="7">
        <f t="shared" si="17"/>
        <v>0</v>
      </c>
    </row>
    <row r="93" spans="3:15" x14ac:dyDescent="0.2">
      <c r="C93">
        <v>74</v>
      </c>
      <c r="D93" s="7">
        <v>2376</v>
      </c>
      <c r="E93" s="7">
        <f t="shared" si="10"/>
        <v>71.05263157894737</v>
      </c>
      <c r="F93" s="7">
        <f t="shared" si="11"/>
        <v>191.86793560924414</v>
      </c>
      <c r="G93" s="7">
        <v>0</v>
      </c>
      <c r="H93" s="7">
        <f t="shared" si="12"/>
        <v>0</v>
      </c>
      <c r="I93" s="7">
        <f t="shared" si="13"/>
        <v>0</v>
      </c>
      <c r="J93" s="7">
        <v>0</v>
      </c>
      <c r="K93" s="7">
        <f t="shared" si="14"/>
        <v>0</v>
      </c>
      <c r="L93" s="7">
        <f t="shared" si="15"/>
        <v>0</v>
      </c>
      <c r="M93" s="7">
        <v>0</v>
      </c>
      <c r="N93" s="7">
        <f t="shared" si="16"/>
        <v>0</v>
      </c>
      <c r="O93" s="7">
        <f t="shared" si="17"/>
        <v>0</v>
      </c>
    </row>
    <row r="94" spans="3:15" x14ac:dyDescent="0.2">
      <c r="C94">
        <v>75</v>
      </c>
      <c r="D94" s="7">
        <v>2524.5</v>
      </c>
      <c r="E94" s="7">
        <f t="shared" si="10"/>
        <v>75.493421052631589</v>
      </c>
      <c r="F94" s="7">
        <f t="shared" si="11"/>
        <v>203.85968158482189</v>
      </c>
      <c r="G94" s="7">
        <v>0</v>
      </c>
      <c r="H94" s="7">
        <f t="shared" si="12"/>
        <v>0</v>
      </c>
      <c r="I94" s="7">
        <f t="shared" si="13"/>
        <v>0</v>
      </c>
      <c r="J94" s="7">
        <v>0</v>
      </c>
      <c r="K94" s="7">
        <f t="shared" si="14"/>
        <v>0</v>
      </c>
      <c r="L94" s="7">
        <f t="shared" si="15"/>
        <v>0</v>
      </c>
      <c r="M94" s="7">
        <v>0</v>
      </c>
      <c r="N94" s="7">
        <f t="shared" si="16"/>
        <v>0</v>
      </c>
      <c r="O94" s="7">
        <f t="shared" si="17"/>
        <v>0</v>
      </c>
    </row>
    <row r="95" spans="3:15" x14ac:dyDescent="0.2">
      <c r="C95">
        <v>76</v>
      </c>
      <c r="D95" s="7">
        <v>2673</v>
      </c>
      <c r="E95" s="7">
        <f t="shared" si="10"/>
        <v>79.934210526315795</v>
      </c>
      <c r="F95" s="7">
        <f t="shared" si="11"/>
        <v>215.85142756039966</v>
      </c>
      <c r="G95" s="7">
        <v>0</v>
      </c>
      <c r="H95" s="7">
        <f t="shared" si="12"/>
        <v>0</v>
      </c>
      <c r="I95" s="7">
        <f t="shared" si="13"/>
        <v>0</v>
      </c>
      <c r="J95" s="7">
        <v>0</v>
      </c>
      <c r="K95" s="7">
        <f t="shared" si="14"/>
        <v>0</v>
      </c>
      <c r="L95" s="7">
        <f t="shared" si="15"/>
        <v>0</v>
      </c>
      <c r="M95" s="7">
        <v>0</v>
      </c>
      <c r="N95" s="7">
        <f t="shared" si="16"/>
        <v>0</v>
      </c>
      <c r="O95" s="7">
        <f t="shared" si="17"/>
        <v>0</v>
      </c>
    </row>
    <row r="96" spans="3:15" x14ac:dyDescent="0.2">
      <c r="C96">
        <v>77</v>
      </c>
      <c r="D96" s="7">
        <v>2969.9999999999995</v>
      </c>
      <c r="E96" s="7">
        <f t="shared" si="10"/>
        <v>88.815789473684205</v>
      </c>
      <c r="F96" s="7">
        <f t="shared" si="11"/>
        <v>239.83491951155514</v>
      </c>
      <c r="G96" s="7">
        <v>0</v>
      </c>
      <c r="H96" s="7">
        <f t="shared" si="12"/>
        <v>0</v>
      </c>
      <c r="I96" s="7">
        <f t="shared" si="13"/>
        <v>0</v>
      </c>
      <c r="J96" s="7">
        <v>0</v>
      </c>
      <c r="K96" s="7">
        <f t="shared" si="14"/>
        <v>0</v>
      </c>
      <c r="L96" s="7">
        <f t="shared" si="15"/>
        <v>0</v>
      </c>
      <c r="M96" s="7">
        <v>0</v>
      </c>
      <c r="N96" s="7">
        <f t="shared" si="16"/>
        <v>0</v>
      </c>
      <c r="O96" s="7">
        <f t="shared" si="17"/>
        <v>0</v>
      </c>
    </row>
    <row r="97" spans="3:15" x14ac:dyDescent="0.2">
      <c r="C97">
        <v>78</v>
      </c>
      <c r="D97" s="7">
        <v>3167.9999999999995</v>
      </c>
      <c r="E97" s="7">
        <f t="shared" si="10"/>
        <v>94.73684210526315</v>
      </c>
      <c r="F97" s="7">
        <f t="shared" si="11"/>
        <v>255.82391414565882</v>
      </c>
      <c r="G97" s="7">
        <v>0</v>
      </c>
      <c r="H97" s="7">
        <f t="shared" si="12"/>
        <v>0</v>
      </c>
      <c r="I97" s="7">
        <f t="shared" si="13"/>
        <v>0</v>
      </c>
      <c r="J97" s="7">
        <v>0</v>
      </c>
      <c r="K97" s="7">
        <f t="shared" si="14"/>
        <v>0</v>
      </c>
      <c r="L97" s="7">
        <f t="shared" si="15"/>
        <v>0</v>
      </c>
      <c r="M97" s="7">
        <v>0</v>
      </c>
      <c r="N97" s="7">
        <f t="shared" si="16"/>
        <v>0</v>
      </c>
      <c r="O97" s="7">
        <f t="shared" si="17"/>
        <v>0</v>
      </c>
    </row>
    <row r="98" spans="3:15" x14ac:dyDescent="0.2">
      <c r="C98">
        <v>79</v>
      </c>
      <c r="D98" s="7">
        <v>3365.9999999999995</v>
      </c>
      <c r="E98" s="7">
        <f t="shared" si="10"/>
        <v>100.6578947368421</v>
      </c>
      <c r="F98" s="7">
        <f t="shared" si="11"/>
        <v>271.81290877976249</v>
      </c>
      <c r="G98" s="7">
        <v>6172.5792982965131</v>
      </c>
      <c r="H98" s="7">
        <f t="shared" si="12"/>
        <v>147.66936120326588</v>
      </c>
      <c r="I98" s="7">
        <f t="shared" si="13"/>
        <v>320.90054324564215</v>
      </c>
      <c r="J98" s="7">
        <v>0</v>
      </c>
      <c r="K98" s="7">
        <f t="shared" si="14"/>
        <v>0</v>
      </c>
      <c r="L98" s="7">
        <f t="shared" si="15"/>
        <v>0</v>
      </c>
      <c r="M98" s="7">
        <v>1149.8830374893362</v>
      </c>
      <c r="N98" s="7">
        <f t="shared" si="16"/>
        <v>91.697211920999706</v>
      </c>
      <c r="O98" s="7">
        <f t="shared" si="17"/>
        <v>34.71060264308317</v>
      </c>
    </row>
    <row r="99" spans="3:15" x14ac:dyDescent="0.2">
      <c r="C99">
        <v>80</v>
      </c>
      <c r="D99" s="7">
        <v>3563.9999999999995</v>
      </c>
      <c r="E99" s="7">
        <f t="shared" si="10"/>
        <v>106.57894736842104</v>
      </c>
      <c r="F99" s="7">
        <f t="shared" si="11"/>
        <v>287.80190341386617</v>
      </c>
      <c r="G99" s="7">
        <v>6174.7520734748869</v>
      </c>
      <c r="H99" s="7">
        <f t="shared" si="12"/>
        <v>147.72134147069107</v>
      </c>
      <c r="I99" s="7">
        <f t="shared" si="13"/>
        <v>321.01350165433905</v>
      </c>
      <c r="J99" s="7">
        <v>0</v>
      </c>
      <c r="K99" s="7">
        <f t="shared" si="14"/>
        <v>0</v>
      </c>
      <c r="L99" s="7">
        <f t="shared" si="15"/>
        <v>0</v>
      </c>
      <c r="M99" s="7">
        <v>1147.7102623109624</v>
      </c>
      <c r="N99" s="7">
        <f t="shared" si="16"/>
        <v>91.523944362915671</v>
      </c>
      <c r="O99" s="7">
        <f t="shared" si="17"/>
        <v>34.645014810764195</v>
      </c>
    </row>
    <row r="100" spans="3:15" x14ac:dyDescent="0.2">
      <c r="C100">
        <v>81</v>
      </c>
      <c r="D100" s="7">
        <v>3660.4575615750896</v>
      </c>
      <c r="E100" s="7">
        <f t="shared" si="10"/>
        <v>109.46344382700627</v>
      </c>
      <c r="F100" s="7">
        <f t="shared" si="11"/>
        <v>295.59109247670881</v>
      </c>
      <c r="G100" s="7">
        <v>6176.9282238104806</v>
      </c>
      <c r="H100" s="7">
        <f t="shared" si="12"/>
        <v>147.77340248350433</v>
      </c>
      <c r="I100" s="7">
        <f t="shared" si="13"/>
        <v>321.12663553097775</v>
      </c>
      <c r="J100" s="7">
        <v>101.54243842490951</v>
      </c>
      <c r="K100" s="7">
        <f t="shared" si="14"/>
        <v>1.619496625596643</v>
      </c>
      <c r="L100" s="7">
        <f t="shared" si="15"/>
        <v>6.0958040619535332</v>
      </c>
      <c r="M100" s="7">
        <v>1145.534111975368</v>
      </c>
      <c r="N100" s="7">
        <f t="shared" si="16"/>
        <v>91.350407653538127</v>
      </c>
      <c r="O100" s="7">
        <f t="shared" si="17"/>
        <v>34.579325095264643</v>
      </c>
    </row>
    <row r="101" spans="3:15" x14ac:dyDescent="0.2">
      <c r="C101">
        <v>82</v>
      </c>
      <c r="D101" s="7">
        <v>3667.5166016643493</v>
      </c>
      <c r="E101" s="7">
        <f t="shared" si="10"/>
        <v>109.67453952345542</v>
      </c>
      <c r="F101" s="7">
        <f t="shared" si="11"/>
        <v>296.16112759847186</v>
      </c>
      <c r="G101" s="7">
        <v>6178.9146441818939</v>
      </c>
      <c r="H101" s="7">
        <f t="shared" si="12"/>
        <v>147.82092450195918</v>
      </c>
      <c r="I101" s="7">
        <f t="shared" si="13"/>
        <v>321.22990571115616</v>
      </c>
      <c r="J101" s="7">
        <v>292.48339833565024</v>
      </c>
      <c r="K101" s="7">
        <f t="shared" si="14"/>
        <v>4.6648069909992067</v>
      </c>
      <c r="L101" s="7">
        <f t="shared" si="15"/>
        <v>17.558387559767908</v>
      </c>
      <c r="M101" s="7">
        <v>1143.5476916039549</v>
      </c>
      <c r="N101" s="7">
        <f t="shared" si="16"/>
        <v>91.192000925355259</v>
      </c>
      <c r="O101" s="7">
        <f t="shared" si="17"/>
        <v>34.519362606953841</v>
      </c>
    </row>
    <row r="102" spans="3:15" x14ac:dyDescent="0.2">
      <c r="C102">
        <v>83</v>
      </c>
      <c r="D102" s="7">
        <v>3674.550466381012</v>
      </c>
      <c r="E102" s="7">
        <f t="shared" si="10"/>
        <v>109.88488236785324</v>
      </c>
      <c r="F102" s="7">
        <f t="shared" si="11"/>
        <v>296.72912974600592</v>
      </c>
      <c r="G102" s="7">
        <v>6180.6831953860619</v>
      </c>
      <c r="H102" s="7">
        <f t="shared" si="12"/>
        <v>147.86323433937949</v>
      </c>
      <c r="I102" s="7">
        <f t="shared" si="13"/>
        <v>321.32184929174855</v>
      </c>
      <c r="J102" s="7">
        <v>483.44953361898797</v>
      </c>
      <c r="K102" s="7">
        <f t="shared" si="14"/>
        <v>7.7105188774958213</v>
      </c>
      <c r="L102" s="7">
        <f t="shared" si="15"/>
        <v>29.022482387632248</v>
      </c>
      <c r="M102" s="7">
        <v>1141.7791403997876</v>
      </c>
      <c r="N102" s="7">
        <f t="shared" si="16"/>
        <v>91.050968133954356</v>
      </c>
      <c r="O102" s="7">
        <f t="shared" si="17"/>
        <v>34.465976761524004</v>
      </c>
    </row>
    <row r="103" spans="3:15" x14ac:dyDescent="0.2">
      <c r="C103">
        <v>84</v>
      </c>
      <c r="D103" s="7">
        <v>3681.5587377575075</v>
      </c>
      <c r="E103" s="7">
        <f t="shared" si="10"/>
        <v>110.0944598611695</v>
      </c>
      <c r="F103" s="7">
        <f t="shared" si="11"/>
        <v>297.29506516738536</v>
      </c>
      <c r="G103" s="7">
        <v>6182.2340096623884</v>
      </c>
      <c r="H103" s="7">
        <f t="shared" si="12"/>
        <v>147.90033515938728</v>
      </c>
      <c r="I103" s="7">
        <f t="shared" si="13"/>
        <v>321.40247314762729</v>
      </c>
      <c r="J103" s="7">
        <v>674.44126224249248</v>
      </c>
      <c r="K103" s="7">
        <f t="shared" si="14"/>
        <v>10.756638951235926</v>
      </c>
      <c r="L103" s="7">
        <f t="shared" si="15"/>
        <v>40.488113637010272</v>
      </c>
      <c r="M103" s="7">
        <v>1140.2283261234604</v>
      </c>
      <c r="N103" s="7">
        <f t="shared" si="16"/>
        <v>90.927298733928268</v>
      </c>
      <c r="O103" s="7">
        <f t="shared" si="17"/>
        <v>34.419163567169605</v>
      </c>
    </row>
    <row r="104" spans="3:15" x14ac:dyDescent="0.2">
      <c r="C104">
        <v>85</v>
      </c>
      <c r="D104" s="7">
        <v>3688.8938039329219</v>
      </c>
      <c r="E104" s="7">
        <f t="shared" si="10"/>
        <v>110.31380992622374</v>
      </c>
      <c r="F104" s="7">
        <f t="shared" si="11"/>
        <v>297.88739008516052</v>
      </c>
      <c r="G104" s="7">
        <v>6183.5673336810041</v>
      </c>
      <c r="H104" s="7">
        <f t="shared" si="12"/>
        <v>147.93223286318192</v>
      </c>
      <c r="I104" s="7">
        <f t="shared" si="13"/>
        <v>321.47179010269895</v>
      </c>
      <c r="J104" s="7">
        <v>865.10619606707724</v>
      </c>
      <c r="K104" s="7">
        <f t="shared" si="14"/>
        <v>13.797546986715746</v>
      </c>
      <c r="L104" s="7">
        <f t="shared" si="15"/>
        <v>51.9341267139908</v>
      </c>
      <c r="M104" s="7">
        <v>1138.8950021048447</v>
      </c>
      <c r="N104" s="7">
        <f t="shared" si="16"/>
        <v>90.820973054612821</v>
      </c>
      <c r="O104" s="7">
        <f t="shared" si="17"/>
        <v>34.378915577856105</v>
      </c>
    </row>
    <row r="105" spans="3:15" x14ac:dyDescent="0.2">
      <c r="C105">
        <v>86</v>
      </c>
      <c r="D105" s="7">
        <v>3696.730485580405</v>
      </c>
      <c r="E105" s="7">
        <f t="shared" si="10"/>
        <v>110.54816045395948</v>
      </c>
      <c r="F105" s="7">
        <f t="shared" si="11"/>
        <v>298.52022170541704</v>
      </c>
      <c r="G105" s="7">
        <v>6184.6842177255303</v>
      </c>
      <c r="H105" s="7">
        <f t="shared" si="12"/>
        <v>147.9589525771658</v>
      </c>
      <c r="I105" s="7">
        <f t="shared" si="13"/>
        <v>321.52985475919184</v>
      </c>
      <c r="J105" s="7">
        <v>1055.269514419595</v>
      </c>
      <c r="K105" s="7">
        <f t="shared" si="14"/>
        <v>16.830454775432138</v>
      </c>
      <c r="L105" s="7">
        <f t="shared" si="15"/>
        <v>63.350026769464321</v>
      </c>
      <c r="M105" s="7">
        <v>1137.7781180603188</v>
      </c>
      <c r="N105" s="7">
        <f t="shared" si="16"/>
        <v>90.73190734133324</v>
      </c>
      <c r="O105" s="7">
        <f t="shared" si="17"/>
        <v>34.345201089509025</v>
      </c>
    </row>
    <row r="106" spans="3:15" x14ac:dyDescent="0.2">
      <c r="C106">
        <v>87</v>
      </c>
      <c r="D106" s="7">
        <v>3704.5388448182921</v>
      </c>
      <c r="E106" s="7">
        <f t="shared" si="10"/>
        <v>110.78166401968578</v>
      </c>
      <c r="F106" s="7">
        <f t="shared" si="11"/>
        <v>299.15076622034502</v>
      </c>
      <c r="G106" s="7">
        <v>6185.8188300638958</v>
      </c>
      <c r="H106" s="7">
        <f t="shared" si="12"/>
        <v>147.98609641301186</v>
      </c>
      <c r="I106" s="7">
        <f t="shared" si="13"/>
        <v>321.58884107563421</v>
      </c>
      <c r="J106" s="7">
        <v>898.96115518170791</v>
      </c>
      <c r="K106" s="7">
        <f t="shared" si="14"/>
        <v>14.337498487746538</v>
      </c>
      <c r="L106" s="7">
        <f t="shared" si="15"/>
        <v>53.966510419655393</v>
      </c>
      <c r="M106" s="7">
        <v>1136.6435057219537</v>
      </c>
      <c r="N106" s="7">
        <f t="shared" si="16"/>
        <v>90.641427888513064</v>
      </c>
      <c r="O106" s="7">
        <f t="shared" si="17"/>
        <v>34.310951451287629</v>
      </c>
    </row>
    <row r="107" spans="3:15" x14ac:dyDescent="0.2">
      <c r="C107">
        <v>88</v>
      </c>
      <c r="D107" s="7">
        <v>3712.3191015755324</v>
      </c>
      <c r="E107" s="7">
        <f t="shared" si="10"/>
        <v>111.01432720022525</v>
      </c>
      <c r="F107" s="7">
        <f t="shared" si="11"/>
        <v>299.77904138975646</v>
      </c>
      <c r="G107" s="7">
        <v>6186.8706981371888</v>
      </c>
      <c r="H107" s="7">
        <f t="shared" si="12"/>
        <v>148.01126072098538</v>
      </c>
      <c r="I107" s="7">
        <f t="shared" si="13"/>
        <v>321.64352567664616</v>
      </c>
      <c r="J107" s="7">
        <v>1237.6808984244676</v>
      </c>
      <c r="K107" s="7">
        <f t="shared" si="14"/>
        <v>19.739727247599166</v>
      </c>
      <c r="L107" s="7">
        <f t="shared" si="15"/>
        <v>74.300562061028643</v>
      </c>
      <c r="M107" s="7">
        <v>1135.5916376486607</v>
      </c>
      <c r="N107" s="7">
        <f t="shared" si="16"/>
        <v>90.557546861934668</v>
      </c>
      <c r="O107" s="7">
        <f t="shared" si="17"/>
        <v>34.279199548237784</v>
      </c>
    </row>
    <row r="108" spans="3:15" x14ac:dyDescent="0.2">
      <c r="C108">
        <v>89</v>
      </c>
      <c r="D108" s="7">
        <v>3720.0706497209067</v>
      </c>
      <c r="E108" s="7">
        <f t="shared" si="10"/>
        <v>111.24613186964434</v>
      </c>
      <c r="F108" s="7">
        <f t="shared" si="11"/>
        <v>300.40499826704121</v>
      </c>
      <c r="G108" s="7">
        <v>6187.5060255534308</v>
      </c>
      <c r="H108" s="7">
        <f t="shared" si="12"/>
        <v>148.02645994146965</v>
      </c>
      <c r="I108" s="7">
        <f t="shared" si="13"/>
        <v>321.67655512886682</v>
      </c>
      <c r="J108" s="7">
        <v>1576.4293502790933</v>
      </c>
      <c r="K108" s="7">
        <f t="shared" si="14"/>
        <v>25.142413880049336</v>
      </c>
      <c r="L108" s="7">
        <f t="shared" si="15"/>
        <v>94.636337140163874</v>
      </c>
      <c r="M108" s="7">
        <v>1134.9563102324184</v>
      </c>
      <c r="N108" s="7">
        <f t="shared" si="16"/>
        <v>90.506882793653787</v>
      </c>
      <c r="O108" s="7">
        <f t="shared" si="17"/>
        <v>34.260021425964069</v>
      </c>
    </row>
    <row r="109" spans="3:15" x14ac:dyDescent="0.2">
      <c r="C109">
        <v>90</v>
      </c>
      <c r="D109" s="7">
        <v>3727.7926374092376</v>
      </c>
      <c r="E109" s="7">
        <f t="shared" si="10"/>
        <v>111.47705255410401</v>
      </c>
      <c r="F109" s="7">
        <f t="shared" si="11"/>
        <v>301.02856806357323</v>
      </c>
      <c r="G109" s="7">
        <v>6187.725342806385</v>
      </c>
      <c r="H109" s="7">
        <f t="shared" si="12"/>
        <v>148.03170676570301</v>
      </c>
      <c r="I109" s="7">
        <f t="shared" si="13"/>
        <v>321.68795701164788</v>
      </c>
      <c r="J109" s="7">
        <v>1915.2073625907615</v>
      </c>
      <c r="K109" s="7">
        <f t="shared" si="14"/>
        <v>30.545571971144522</v>
      </c>
      <c r="L109" s="7">
        <f t="shared" si="15"/>
        <v>114.97388679510117</v>
      </c>
      <c r="M109" s="7">
        <v>1134.736992979464</v>
      </c>
      <c r="N109" s="7">
        <f t="shared" si="16"/>
        <v>90.489393379542591</v>
      </c>
      <c r="O109" s="7">
        <f t="shared" si="17"/>
        <v>34.253401070874133</v>
      </c>
    </row>
    <row r="110" spans="3:15" x14ac:dyDescent="0.2">
      <c r="C110">
        <v>91</v>
      </c>
      <c r="D110" s="7">
        <v>3735.4845996903418</v>
      </c>
      <c r="E110" s="7">
        <f t="shared" si="10"/>
        <v>111.70707534959158</v>
      </c>
      <c r="F110" s="7">
        <f t="shared" si="11"/>
        <v>301.64971323346367</v>
      </c>
      <c r="G110" s="7">
        <v>6188.0384972495376</v>
      </c>
      <c r="H110" s="7">
        <f t="shared" si="12"/>
        <v>148.03919849879279</v>
      </c>
      <c r="I110" s="7">
        <f t="shared" si="13"/>
        <v>321.70423730973255</v>
      </c>
      <c r="J110" s="7">
        <v>1499.1404003096582</v>
      </c>
      <c r="K110" s="7">
        <f t="shared" si="14"/>
        <v>23.909735252147659</v>
      </c>
      <c r="L110" s="7">
        <f t="shared" si="15"/>
        <v>89.996520503140587</v>
      </c>
      <c r="M110" s="7">
        <v>1134.4238385363115</v>
      </c>
      <c r="N110" s="7">
        <f t="shared" si="16"/>
        <v>90.464420935910013</v>
      </c>
      <c r="O110" s="7">
        <f t="shared" si="17"/>
        <v>34.243948127324401</v>
      </c>
    </row>
    <row r="111" spans="3:15" x14ac:dyDescent="0.2">
      <c r="C111">
        <v>92</v>
      </c>
      <c r="D111" s="7">
        <v>3743.1475985891552</v>
      </c>
      <c r="E111" s="7">
        <f t="shared" si="10"/>
        <v>111.93623201522594</v>
      </c>
      <c r="F111" s="7">
        <f t="shared" si="11"/>
        <v>302.26851953787911</v>
      </c>
      <c r="G111" s="7">
        <v>6188.9543033250684</v>
      </c>
      <c r="H111" s="7">
        <f t="shared" si="12"/>
        <v>148.06110773504949</v>
      </c>
      <c r="I111" s="7">
        <f t="shared" si="13"/>
        <v>321.75184830878874</v>
      </c>
      <c r="J111" s="7">
        <v>1083.1024014108448</v>
      </c>
      <c r="K111" s="7">
        <f t="shared" si="14"/>
        <v>17.274360469072487</v>
      </c>
      <c r="L111" s="7">
        <f t="shared" si="15"/>
        <v>65.020892943341181</v>
      </c>
      <c r="M111" s="7">
        <v>1133.5080324607804</v>
      </c>
      <c r="N111" s="7">
        <f t="shared" si="16"/>
        <v>90.3913901483876</v>
      </c>
      <c r="O111" s="7">
        <f t="shared" si="17"/>
        <v>34.2163034193415</v>
      </c>
    </row>
    <row r="112" spans="3:15" x14ac:dyDescent="0.2">
      <c r="C112">
        <v>93</v>
      </c>
      <c r="D112" s="7">
        <v>3750.7830701716698</v>
      </c>
      <c r="E112" s="7">
        <f t="shared" si="10"/>
        <v>112.16456549556429</v>
      </c>
      <c r="F112" s="7">
        <f t="shared" si="11"/>
        <v>302.88510294273607</v>
      </c>
      <c r="G112" s="7">
        <v>6190.4717304823189</v>
      </c>
      <c r="H112" s="7">
        <f t="shared" si="12"/>
        <v>148.09740982015117</v>
      </c>
      <c r="I112" s="7">
        <f t="shared" si="13"/>
        <v>321.83073643246689</v>
      </c>
      <c r="J112" s="7">
        <v>667.09192982833019</v>
      </c>
      <c r="K112" s="7">
        <f t="shared" si="14"/>
        <v>10.639424718155187</v>
      </c>
      <c r="L112" s="7">
        <f t="shared" si="15"/>
        <v>40.046917905670533</v>
      </c>
      <c r="M112" s="7">
        <v>1131.9906053035302</v>
      </c>
      <c r="N112" s="7">
        <f t="shared" si="16"/>
        <v>90.270383198048663</v>
      </c>
      <c r="O112" s="7">
        <f t="shared" si="17"/>
        <v>34.170498055336708</v>
      </c>
    </row>
    <row r="113" spans="3:15" x14ac:dyDescent="0.2">
      <c r="C113">
        <v>94</v>
      </c>
      <c r="D113" s="7">
        <v>3758.3924417222652</v>
      </c>
      <c r="E113" s="7">
        <f t="shared" si="10"/>
        <v>112.39211847255578</v>
      </c>
      <c r="F113" s="7">
        <f t="shared" si="11"/>
        <v>303.4995787048137</v>
      </c>
      <c r="G113" s="7">
        <v>6192.5896965530519</v>
      </c>
      <c r="H113" s="7">
        <f t="shared" si="12"/>
        <v>148.14807886490556</v>
      </c>
      <c r="I113" s="7">
        <f t="shared" si="13"/>
        <v>321.94084542091878</v>
      </c>
      <c r="J113" s="7">
        <v>251.10755827773482</v>
      </c>
      <c r="K113" s="7">
        <f t="shared" si="14"/>
        <v>4.0049052356895505</v>
      </c>
      <c r="L113" s="7">
        <f t="shared" si="15"/>
        <v>15.074509707274775</v>
      </c>
      <c r="M113" s="7">
        <v>1129.8726392327967</v>
      </c>
      <c r="N113" s="7">
        <f t="shared" si="16"/>
        <v>90.101486382200704</v>
      </c>
      <c r="O113" s="7">
        <f t="shared" si="17"/>
        <v>34.106564701859931</v>
      </c>
    </row>
    <row r="114" spans="3:15" x14ac:dyDescent="0.2">
      <c r="C114">
        <v>95</v>
      </c>
      <c r="D114" s="7">
        <v>3601.1250000000005</v>
      </c>
      <c r="E114" s="7">
        <f t="shared" si="10"/>
        <v>107.68914473684212</v>
      </c>
      <c r="F114" s="7">
        <f t="shared" si="11"/>
        <v>290.79983990776066</v>
      </c>
      <c r="G114" s="7">
        <v>0</v>
      </c>
      <c r="H114" s="7">
        <f t="shared" si="12"/>
        <v>0</v>
      </c>
      <c r="I114" s="7">
        <f t="shared" si="13"/>
        <v>0</v>
      </c>
      <c r="J114" s="7">
        <v>0</v>
      </c>
      <c r="K114" s="7">
        <f t="shared" si="14"/>
        <v>0</v>
      </c>
      <c r="L114" s="7">
        <f t="shared" si="15"/>
        <v>0</v>
      </c>
      <c r="M114" s="7">
        <v>0</v>
      </c>
      <c r="N114" s="7">
        <f t="shared" si="16"/>
        <v>0</v>
      </c>
      <c r="O114" s="7">
        <f t="shared" si="17"/>
        <v>0</v>
      </c>
    </row>
    <row r="115" spans="3:15" x14ac:dyDescent="0.2">
      <c r="C115">
        <v>96</v>
      </c>
      <c r="D115" s="7">
        <v>2969.9999999999995</v>
      </c>
      <c r="E115" s="7">
        <f t="shared" si="10"/>
        <v>88.815789473684205</v>
      </c>
      <c r="F115" s="7">
        <f t="shared" si="11"/>
        <v>239.83491951155514</v>
      </c>
      <c r="G115" s="7">
        <v>0</v>
      </c>
      <c r="H115" s="7">
        <f t="shared" si="12"/>
        <v>0</v>
      </c>
      <c r="I115" s="7">
        <f t="shared" si="13"/>
        <v>0</v>
      </c>
      <c r="J115" s="7">
        <v>0</v>
      </c>
      <c r="K115" s="7">
        <f t="shared" si="14"/>
        <v>0</v>
      </c>
      <c r="L115" s="7">
        <f t="shared" si="15"/>
        <v>0</v>
      </c>
      <c r="M115" s="7">
        <v>0</v>
      </c>
      <c r="N115" s="7">
        <f t="shared" si="16"/>
        <v>0</v>
      </c>
      <c r="O115" s="7">
        <f t="shared" si="17"/>
        <v>0</v>
      </c>
    </row>
    <row r="116" spans="3:15" x14ac:dyDescent="0.2">
      <c r="C116">
        <v>97</v>
      </c>
      <c r="D116" s="7">
        <v>2524.5</v>
      </c>
      <c r="E116" s="7">
        <f t="shared" si="10"/>
        <v>75.493421052631589</v>
      </c>
      <c r="F116" s="7">
        <f t="shared" si="11"/>
        <v>203.85968158482189</v>
      </c>
      <c r="G116" s="7">
        <v>0</v>
      </c>
      <c r="H116" s="7">
        <f t="shared" si="12"/>
        <v>0</v>
      </c>
      <c r="I116" s="7">
        <f t="shared" si="13"/>
        <v>0</v>
      </c>
      <c r="J116" s="7">
        <v>0</v>
      </c>
      <c r="K116" s="7">
        <f t="shared" si="14"/>
        <v>0</v>
      </c>
      <c r="L116" s="7">
        <f t="shared" si="15"/>
        <v>0</v>
      </c>
      <c r="M116" s="7">
        <v>0</v>
      </c>
      <c r="N116" s="7">
        <f t="shared" si="16"/>
        <v>0</v>
      </c>
      <c r="O116" s="7">
        <f t="shared" si="17"/>
        <v>0</v>
      </c>
    </row>
    <row r="117" spans="3:15" x14ac:dyDescent="0.2">
      <c r="C117">
        <v>98</v>
      </c>
      <c r="D117" s="7">
        <v>2376</v>
      </c>
      <c r="E117" s="7">
        <f t="shared" si="10"/>
        <v>71.05263157894737</v>
      </c>
      <c r="F117" s="7">
        <f t="shared" si="11"/>
        <v>191.86793560924414</v>
      </c>
      <c r="G117" s="7">
        <v>0</v>
      </c>
      <c r="H117" s="7">
        <f t="shared" si="12"/>
        <v>0</v>
      </c>
      <c r="I117" s="7">
        <f t="shared" si="13"/>
        <v>0</v>
      </c>
      <c r="J117" s="7">
        <v>0</v>
      </c>
      <c r="K117" s="7">
        <f t="shared" si="14"/>
        <v>0</v>
      </c>
      <c r="L117" s="7">
        <f t="shared" si="15"/>
        <v>0</v>
      </c>
      <c r="M117" s="7">
        <v>0</v>
      </c>
      <c r="N117" s="7">
        <f t="shared" si="16"/>
        <v>0</v>
      </c>
      <c r="O117" s="7">
        <f t="shared" si="17"/>
        <v>0</v>
      </c>
    </row>
    <row r="118" spans="3:15" x14ac:dyDescent="0.2">
      <c r="C118">
        <v>99</v>
      </c>
      <c r="D118" s="7">
        <v>2524.5</v>
      </c>
      <c r="E118" s="7">
        <f t="shared" si="10"/>
        <v>75.493421052631589</v>
      </c>
      <c r="F118" s="7">
        <f t="shared" si="11"/>
        <v>203.85968158482189</v>
      </c>
      <c r="G118" s="7">
        <v>0</v>
      </c>
      <c r="H118" s="7">
        <f t="shared" si="12"/>
        <v>0</v>
      </c>
      <c r="I118" s="7">
        <f t="shared" si="13"/>
        <v>0</v>
      </c>
      <c r="J118" s="7">
        <v>0</v>
      </c>
      <c r="K118" s="7">
        <f t="shared" si="14"/>
        <v>0</v>
      </c>
      <c r="L118" s="7">
        <f t="shared" si="15"/>
        <v>0</v>
      </c>
      <c r="M118" s="7">
        <v>0</v>
      </c>
      <c r="N118" s="7">
        <f t="shared" si="16"/>
        <v>0</v>
      </c>
      <c r="O118" s="7">
        <f t="shared" si="17"/>
        <v>0</v>
      </c>
    </row>
    <row r="119" spans="3:15" x14ac:dyDescent="0.2">
      <c r="C119">
        <v>100</v>
      </c>
      <c r="D119" s="7">
        <v>2673</v>
      </c>
      <c r="E119" s="7">
        <f t="shared" si="10"/>
        <v>79.934210526315795</v>
      </c>
      <c r="F119" s="7">
        <f t="shared" si="11"/>
        <v>215.85142756039966</v>
      </c>
      <c r="G119" s="7">
        <v>0</v>
      </c>
      <c r="H119" s="7">
        <f t="shared" si="12"/>
        <v>0</v>
      </c>
      <c r="I119" s="7">
        <f t="shared" si="13"/>
        <v>0</v>
      </c>
      <c r="J119" s="7">
        <v>0</v>
      </c>
      <c r="K119" s="7">
        <f t="shared" si="14"/>
        <v>0</v>
      </c>
      <c r="L119" s="7">
        <f t="shared" si="15"/>
        <v>0</v>
      </c>
      <c r="M119" s="7">
        <v>0</v>
      </c>
      <c r="N119" s="7">
        <f t="shared" si="16"/>
        <v>0</v>
      </c>
      <c r="O119" s="7">
        <f t="shared" si="17"/>
        <v>0</v>
      </c>
    </row>
    <row r="120" spans="3:15" x14ac:dyDescent="0.2">
      <c r="C120">
        <v>101</v>
      </c>
      <c r="D120" s="7">
        <v>2943</v>
      </c>
      <c r="E120" s="7">
        <f t="shared" si="10"/>
        <v>88.008373205741634</v>
      </c>
      <c r="F120" s="7">
        <f t="shared" si="11"/>
        <v>237.65460206145011</v>
      </c>
      <c r="G120" s="7">
        <v>0</v>
      </c>
      <c r="H120" s="7">
        <f t="shared" si="12"/>
        <v>0</v>
      </c>
      <c r="I120" s="7">
        <f t="shared" si="13"/>
        <v>0</v>
      </c>
      <c r="J120" s="7">
        <v>0</v>
      </c>
      <c r="K120" s="7">
        <f t="shared" si="14"/>
        <v>0</v>
      </c>
      <c r="L120" s="7">
        <f t="shared" si="15"/>
        <v>0</v>
      </c>
      <c r="M120" s="7">
        <v>0</v>
      </c>
      <c r="N120" s="7">
        <f t="shared" si="16"/>
        <v>0</v>
      </c>
      <c r="O120" s="7">
        <f t="shared" si="17"/>
        <v>0</v>
      </c>
    </row>
    <row r="121" spans="3:15" x14ac:dyDescent="0.2">
      <c r="C121">
        <v>102</v>
      </c>
      <c r="D121" s="7">
        <v>3131.9999999999995</v>
      </c>
      <c r="E121" s="7">
        <f t="shared" si="10"/>
        <v>93.660287081339703</v>
      </c>
      <c r="F121" s="7">
        <f t="shared" si="11"/>
        <v>252.91682421218542</v>
      </c>
      <c r="G121" s="7">
        <v>0</v>
      </c>
      <c r="H121" s="7">
        <f t="shared" si="12"/>
        <v>0</v>
      </c>
      <c r="I121" s="7">
        <f t="shared" si="13"/>
        <v>0</v>
      </c>
      <c r="J121" s="7">
        <v>0</v>
      </c>
      <c r="K121" s="7">
        <f t="shared" si="14"/>
        <v>0</v>
      </c>
      <c r="L121" s="7">
        <f t="shared" si="15"/>
        <v>0</v>
      </c>
      <c r="M121" s="7">
        <v>0</v>
      </c>
      <c r="N121" s="7">
        <f t="shared" si="16"/>
        <v>0</v>
      </c>
      <c r="O121" s="7">
        <f t="shared" si="17"/>
        <v>0</v>
      </c>
    </row>
    <row r="122" spans="3:15" x14ac:dyDescent="0.2">
      <c r="C122">
        <v>103</v>
      </c>
      <c r="D122" s="7">
        <v>3321</v>
      </c>
      <c r="E122" s="7">
        <f t="shared" si="10"/>
        <v>99.312200956937801</v>
      </c>
      <c r="F122" s="7">
        <f t="shared" si="11"/>
        <v>268.17904636292076</v>
      </c>
      <c r="G122" s="7">
        <v>6204.8683723817303</v>
      </c>
      <c r="H122" s="7">
        <f t="shared" si="12"/>
        <v>148.44182709047203</v>
      </c>
      <c r="I122" s="7">
        <f t="shared" si="13"/>
        <v>322.57919019598665</v>
      </c>
      <c r="J122" s="7">
        <v>0</v>
      </c>
      <c r="K122" s="7">
        <f t="shared" si="14"/>
        <v>0</v>
      </c>
      <c r="L122" s="7">
        <f t="shared" si="15"/>
        <v>0</v>
      </c>
      <c r="M122" s="7">
        <v>1117.5939634041192</v>
      </c>
      <c r="N122" s="7">
        <f t="shared" si="16"/>
        <v>89.122325630312545</v>
      </c>
      <c r="O122" s="7">
        <f t="shared" si="17"/>
        <v>33.735918102356187</v>
      </c>
    </row>
    <row r="123" spans="3:15" x14ac:dyDescent="0.2">
      <c r="C123">
        <v>104</v>
      </c>
      <c r="D123" s="7">
        <v>3510</v>
      </c>
      <c r="E123" s="7">
        <f t="shared" si="10"/>
        <v>104.9641148325359</v>
      </c>
      <c r="F123" s="7">
        <f t="shared" si="11"/>
        <v>283.4412685136561</v>
      </c>
      <c r="G123" s="7">
        <v>6207.3271670292215</v>
      </c>
      <c r="H123" s="7">
        <f t="shared" si="12"/>
        <v>148.50064992892877</v>
      </c>
      <c r="I123" s="7">
        <f t="shared" si="13"/>
        <v>322.70701820758097</v>
      </c>
      <c r="J123" s="7">
        <v>0</v>
      </c>
      <c r="K123" s="7">
        <f t="shared" si="14"/>
        <v>0</v>
      </c>
      <c r="L123" s="7">
        <f t="shared" si="15"/>
        <v>0</v>
      </c>
      <c r="M123" s="7">
        <v>1115.1351687566271</v>
      </c>
      <c r="N123" s="7">
        <f t="shared" si="16"/>
        <v>88.926249502123383</v>
      </c>
      <c r="O123" s="7">
        <f t="shared" si="17"/>
        <v>33.661696428318464</v>
      </c>
    </row>
    <row r="124" spans="3:15" x14ac:dyDescent="0.2">
      <c r="C124">
        <v>105</v>
      </c>
      <c r="D124" s="7">
        <v>3699</v>
      </c>
      <c r="E124" s="7">
        <f t="shared" si="10"/>
        <v>110.61602870813398</v>
      </c>
      <c r="F124" s="7">
        <f t="shared" si="11"/>
        <v>298.70349066439144</v>
      </c>
      <c r="G124" s="7">
        <v>6209.7603477729535</v>
      </c>
      <c r="H124" s="7">
        <f t="shared" si="12"/>
        <v>148.55885999456828</v>
      </c>
      <c r="I124" s="7">
        <f t="shared" si="13"/>
        <v>322.8335146015105</v>
      </c>
      <c r="J124" s="7">
        <v>0</v>
      </c>
      <c r="K124" s="7">
        <f t="shared" si="14"/>
        <v>0</v>
      </c>
      <c r="L124" s="7">
        <f t="shared" si="15"/>
        <v>0</v>
      </c>
      <c r="M124" s="7">
        <v>1112.7019880128953</v>
      </c>
      <c r="N124" s="7">
        <f t="shared" si="16"/>
        <v>88.732215949991655</v>
      </c>
      <c r="O124" s="7">
        <f t="shared" si="17"/>
        <v>33.588247940775872</v>
      </c>
    </row>
    <row r="125" spans="3:15" x14ac:dyDescent="0.2">
      <c r="C125">
        <v>106</v>
      </c>
      <c r="D125" s="7">
        <v>3754.8469061234605</v>
      </c>
      <c r="E125" s="7">
        <f t="shared" si="10"/>
        <v>112.28609169029488</v>
      </c>
      <c r="F125" s="7">
        <f t="shared" si="11"/>
        <v>303.21326784792325</v>
      </c>
      <c r="G125" s="7">
        <v>6212.1017257518679</v>
      </c>
      <c r="H125" s="7">
        <f t="shared" si="12"/>
        <v>148.61487382181502</v>
      </c>
      <c r="I125" s="7">
        <f t="shared" si="13"/>
        <v>322.95523834600482</v>
      </c>
      <c r="J125" s="7">
        <v>133.15309387653906</v>
      </c>
      <c r="K125" s="7">
        <f t="shared" si="14"/>
        <v>2.1236538098331592</v>
      </c>
      <c r="L125" s="7">
        <f t="shared" si="15"/>
        <v>7.9934575444977094</v>
      </c>
      <c r="M125" s="7">
        <v>1110.3606100339812</v>
      </c>
      <c r="N125" s="7">
        <f t="shared" si="16"/>
        <v>88.545503192502494</v>
      </c>
      <c r="O125" s="7">
        <f t="shared" si="17"/>
        <v>33.517570630115827</v>
      </c>
    </row>
    <row r="126" spans="3:15" x14ac:dyDescent="0.2">
      <c r="C126">
        <v>107</v>
      </c>
      <c r="D126" s="7">
        <v>3762.5495769201107</v>
      </c>
      <c r="E126" s="7">
        <f t="shared" si="10"/>
        <v>112.51643471651049</v>
      </c>
      <c r="F126" s="7">
        <f t="shared" si="11"/>
        <v>303.83527775719551</v>
      </c>
      <c r="G126" s="7">
        <v>6214.1813039015051</v>
      </c>
      <c r="H126" s="7">
        <f t="shared" si="12"/>
        <v>148.66462449525133</v>
      </c>
      <c r="I126" s="7">
        <f t="shared" si="13"/>
        <v>323.06335162016308</v>
      </c>
      <c r="J126" s="7">
        <v>314.45042307988888</v>
      </c>
      <c r="K126" s="7">
        <f t="shared" si="14"/>
        <v>5.0151582628371436</v>
      </c>
      <c r="L126" s="7">
        <f t="shared" si="15"/>
        <v>18.877113806075137</v>
      </c>
      <c r="M126" s="7">
        <v>1108.2810318843435</v>
      </c>
      <c r="N126" s="7">
        <f t="shared" si="16"/>
        <v>88.379667614381461</v>
      </c>
      <c r="O126" s="7">
        <f t="shared" si="17"/>
        <v>33.454796062212885</v>
      </c>
    </row>
    <row r="127" spans="3:15" x14ac:dyDescent="0.2">
      <c r="C127">
        <v>108</v>
      </c>
      <c r="D127" s="7">
        <v>3770.2260487678459</v>
      </c>
      <c r="E127" s="7">
        <f t="shared" si="10"/>
        <v>112.74599428133511</v>
      </c>
      <c r="F127" s="7">
        <f t="shared" si="11"/>
        <v>304.45517203589395</v>
      </c>
      <c r="G127" s="7">
        <v>6215.9906294926159</v>
      </c>
      <c r="H127" s="7">
        <f t="shared" si="12"/>
        <v>148.70790979647407</v>
      </c>
      <c r="I127" s="7">
        <f t="shared" si="13"/>
        <v>323.15741498282512</v>
      </c>
      <c r="J127" s="7">
        <v>495.7739512321541</v>
      </c>
      <c r="K127" s="7">
        <f t="shared" si="14"/>
        <v>7.9070805619163336</v>
      </c>
      <c r="L127" s="7">
        <f t="shared" si="15"/>
        <v>29.762342845120727</v>
      </c>
      <c r="M127" s="7">
        <v>1106.4717062932334</v>
      </c>
      <c r="N127" s="7">
        <f t="shared" si="16"/>
        <v>88.235383276972371</v>
      </c>
      <c r="O127" s="7">
        <f t="shared" si="17"/>
        <v>33.400179392867017</v>
      </c>
    </row>
    <row r="128" spans="3:15" x14ac:dyDescent="0.2">
      <c r="C128">
        <v>109</v>
      </c>
      <c r="D128" s="7">
        <v>3777.8757868203161</v>
      </c>
      <c r="E128" s="7">
        <f t="shared" si="10"/>
        <v>112.9747543905597</v>
      </c>
      <c r="F128" s="7">
        <f t="shared" si="11"/>
        <v>305.07290749383964</v>
      </c>
      <c r="G128" s="7">
        <v>6217.5299085447205</v>
      </c>
      <c r="H128" s="7">
        <f t="shared" si="12"/>
        <v>148.74473465417992</v>
      </c>
      <c r="I128" s="7">
        <f t="shared" si="13"/>
        <v>323.23743914455008</v>
      </c>
      <c r="J128" s="7">
        <v>677.12421317968392</v>
      </c>
      <c r="K128" s="7">
        <f t="shared" si="14"/>
        <v>10.799429237315534</v>
      </c>
      <c r="L128" s="7">
        <f t="shared" si="15"/>
        <v>40.649176769574765</v>
      </c>
      <c r="M128" s="7">
        <v>1104.9324272411286</v>
      </c>
      <c r="N128" s="7">
        <f t="shared" si="16"/>
        <v>88.112633751286182</v>
      </c>
      <c r="O128" s="7">
        <f t="shared" si="17"/>
        <v>33.353714403131107</v>
      </c>
    </row>
    <row r="129" spans="3:15" x14ac:dyDescent="0.2">
      <c r="C129">
        <v>110</v>
      </c>
      <c r="D129" s="7">
        <v>3785.4983977696147</v>
      </c>
      <c r="E129" s="7">
        <f t="shared" si="10"/>
        <v>113.20270328258418</v>
      </c>
      <c r="F129" s="7">
        <f t="shared" si="11"/>
        <v>305.68845237043655</v>
      </c>
      <c r="G129" s="7">
        <v>6218.9841300564922</v>
      </c>
      <c r="H129" s="7">
        <f t="shared" si="12"/>
        <v>148.77952464249984</v>
      </c>
      <c r="I129" s="7">
        <f t="shared" si="13"/>
        <v>323.31304132810664</v>
      </c>
      <c r="J129" s="7">
        <v>584.64445937324217</v>
      </c>
      <c r="K129" s="7">
        <f t="shared" si="14"/>
        <v>9.3244730362558563</v>
      </c>
      <c r="L129" s="7">
        <f t="shared" si="15"/>
        <v>35.09742454019873</v>
      </c>
      <c r="M129" s="7">
        <v>1103.4782057293569</v>
      </c>
      <c r="N129" s="7">
        <f t="shared" si="16"/>
        <v>87.996667123553181</v>
      </c>
      <c r="O129" s="7">
        <f t="shared" si="17"/>
        <v>33.309816977563074</v>
      </c>
    </row>
    <row r="130" spans="3:15" x14ac:dyDescent="0.2">
      <c r="C130">
        <v>111</v>
      </c>
      <c r="D130" s="7">
        <v>3793.0940434697459</v>
      </c>
      <c r="E130" s="7">
        <f t="shared" si="10"/>
        <v>113.42984579754025</v>
      </c>
      <c r="F130" s="7">
        <f t="shared" si="11"/>
        <v>306.30181973579994</v>
      </c>
      <c r="G130" s="7">
        <v>6220.5379188719071</v>
      </c>
      <c r="H130" s="7">
        <f t="shared" si="12"/>
        <v>148.81669662372985</v>
      </c>
      <c r="I130" s="7">
        <f t="shared" si="13"/>
        <v>323.39381982456001</v>
      </c>
      <c r="J130" s="7">
        <v>492.19167081596879</v>
      </c>
      <c r="K130" s="7">
        <f t="shared" si="14"/>
        <v>7.8499469029660096</v>
      </c>
      <c r="L130" s="7">
        <f t="shared" si="15"/>
        <v>29.547291090891019</v>
      </c>
      <c r="M130" s="7">
        <v>1101.924416913942</v>
      </c>
      <c r="N130" s="7">
        <f t="shared" si="16"/>
        <v>87.872760519453109</v>
      </c>
      <c r="O130" s="7">
        <f t="shared" si="17"/>
        <v>33.262913993168333</v>
      </c>
    </row>
    <row r="131" spans="3:15" x14ac:dyDescent="0.2">
      <c r="C131">
        <v>112</v>
      </c>
      <c r="D131" s="7">
        <v>3800.3983447254332</v>
      </c>
      <c r="E131" s="7">
        <f t="shared" si="10"/>
        <v>113.64827585901416</v>
      </c>
      <c r="F131" s="7">
        <f t="shared" si="11"/>
        <v>306.89166030945177</v>
      </c>
      <c r="G131" s="7">
        <v>6222.1909285303718</v>
      </c>
      <c r="H131" s="7">
        <f t="shared" si="12"/>
        <v>148.85624230933905</v>
      </c>
      <c r="I131" s="7">
        <f t="shared" si="13"/>
        <v>323.47975662208933</v>
      </c>
      <c r="J131" s="7">
        <v>400.0302267031384</v>
      </c>
      <c r="K131" s="7">
        <f t="shared" si="14"/>
        <v>6.3800674115333083</v>
      </c>
      <c r="L131" s="7">
        <f t="shared" si="15"/>
        <v>24.014647655368801</v>
      </c>
      <c r="M131" s="7">
        <v>1100.2714072554772</v>
      </c>
      <c r="N131" s="7">
        <f t="shared" si="16"/>
        <v>87.740941567422439</v>
      </c>
      <c r="O131" s="7">
        <f t="shared" si="17"/>
        <v>33.21301590827666</v>
      </c>
    </row>
    <row r="132" spans="3:15" x14ac:dyDescent="0.2">
      <c r="C132">
        <v>113</v>
      </c>
      <c r="D132" s="7">
        <v>3805.2969294587338</v>
      </c>
      <c r="E132" s="7">
        <f t="shared" si="10"/>
        <v>113.79476463692386</v>
      </c>
      <c r="F132" s="7">
        <f t="shared" si="11"/>
        <v>307.28723326407521</v>
      </c>
      <c r="G132" s="7">
        <v>6223.9407165941957</v>
      </c>
      <c r="H132" s="7">
        <f t="shared" si="12"/>
        <v>148.89810326780375</v>
      </c>
      <c r="I132" s="7">
        <f t="shared" si="13"/>
        <v>323.57072474304988</v>
      </c>
      <c r="J132" s="7">
        <v>310.27449911269468</v>
      </c>
      <c r="K132" s="7">
        <f t="shared" si="14"/>
        <v>4.9485566046681768</v>
      </c>
      <c r="L132" s="7">
        <f t="shared" si="15"/>
        <v>18.626424393091852</v>
      </c>
      <c r="M132" s="7">
        <v>1098.5216191916538</v>
      </c>
      <c r="N132" s="7">
        <f t="shared" si="16"/>
        <v>87.601405039206853</v>
      </c>
      <c r="O132" s="7">
        <f t="shared" si="17"/>
        <v>33.160196450807668</v>
      </c>
    </row>
    <row r="133" spans="3:15" x14ac:dyDescent="0.2">
      <c r="C133">
        <v>114</v>
      </c>
      <c r="D133" s="7">
        <v>3810.1744381586327</v>
      </c>
      <c r="E133" s="7">
        <f t="shared" si="10"/>
        <v>113.94062315067683</v>
      </c>
      <c r="F133" s="7">
        <f t="shared" si="11"/>
        <v>307.68110427635037</v>
      </c>
      <c r="G133" s="7">
        <v>6225.7855017254969</v>
      </c>
      <c r="H133" s="7">
        <f t="shared" si="12"/>
        <v>148.94223688338511</v>
      </c>
      <c r="I133" s="7">
        <f t="shared" si="13"/>
        <v>323.66663157910614</v>
      </c>
      <c r="J133" s="7">
        <v>220.53984755565307</v>
      </c>
      <c r="K133" s="7">
        <f t="shared" si="14"/>
        <v>3.5173819386866518</v>
      </c>
      <c r="L133" s="7">
        <f t="shared" si="15"/>
        <v>13.239466368995274</v>
      </c>
      <c r="M133" s="7">
        <v>1096.6768340603523</v>
      </c>
      <c r="N133" s="7">
        <f t="shared" si="16"/>
        <v>87.454292987268929</v>
      </c>
      <c r="O133" s="7">
        <f t="shared" si="17"/>
        <v>33.104509392588</v>
      </c>
    </row>
    <row r="134" spans="3:15" x14ac:dyDescent="0.2">
      <c r="C134">
        <v>115</v>
      </c>
      <c r="D134" s="7">
        <v>3815.0311494996517</v>
      </c>
      <c r="E134" s="7">
        <f t="shared" si="10"/>
        <v>114.08585973384127</v>
      </c>
      <c r="F134" s="7">
        <f t="shared" si="11"/>
        <v>308.07329584994102</v>
      </c>
      <c r="G134" s="7">
        <v>6227.7249434977348</v>
      </c>
      <c r="H134" s="7">
        <f t="shared" si="12"/>
        <v>148.98863501190755</v>
      </c>
      <c r="I134" s="7">
        <f t="shared" si="13"/>
        <v>323.76745943213609</v>
      </c>
      <c r="J134" s="7">
        <v>130.82599335749183</v>
      </c>
      <c r="K134" s="7">
        <f t="shared" si="14"/>
        <v>2.0865389690190086</v>
      </c>
      <c r="L134" s="7">
        <f t="shared" si="15"/>
        <v>7.8537568536671207</v>
      </c>
      <c r="M134" s="7">
        <v>1094.7373922881145</v>
      </c>
      <c r="N134" s="7">
        <f t="shared" si="16"/>
        <v>87.299632558860807</v>
      </c>
      <c r="O134" s="7">
        <f t="shared" si="17"/>
        <v>33.045965009802309</v>
      </c>
    </row>
    <row r="135" spans="3:15" x14ac:dyDescent="0.2">
      <c r="C135">
        <v>116</v>
      </c>
      <c r="D135" s="7">
        <v>3819.8673402371337</v>
      </c>
      <c r="E135" s="7">
        <f t="shared" si="10"/>
        <v>114.23048266259372</v>
      </c>
      <c r="F135" s="7">
        <f t="shared" si="11"/>
        <v>308.46383033353243</v>
      </c>
      <c r="G135" s="7">
        <v>6229.7586937026153</v>
      </c>
      <c r="H135" s="7">
        <f t="shared" si="12"/>
        <v>149.03728932302909</v>
      </c>
      <c r="I135" s="7">
        <f t="shared" si="13"/>
        <v>323.87319019945926</v>
      </c>
      <c r="J135" s="7">
        <v>41.132659762866297</v>
      </c>
      <c r="K135" s="7">
        <f t="shared" si="14"/>
        <v>0.65602328170440671</v>
      </c>
      <c r="L135" s="7">
        <f t="shared" si="15"/>
        <v>2.4692792329076521</v>
      </c>
      <c r="M135" s="7">
        <v>1092.7036420832337</v>
      </c>
      <c r="N135" s="7">
        <f t="shared" si="16"/>
        <v>87.137451521788975</v>
      </c>
      <c r="O135" s="7">
        <f t="shared" si="17"/>
        <v>32.984573813536784</v>
      </c>
    </row>
    <row r="136" spans="3:15" x14ac:dyDescent="0.2">
      <c r="C136">
        <v>117</v>
      </c>
      <c r="D136" s="7">
        <v>3824.6830921773121</v>
      </c>
      <c r="E136" s="7">
        <f t="shared" si="10"/>
        <v>114.37449438329284</v>
      </c>
      <c r="F136" s="7">
        <f t="shared" si="11"/>
        <v>308.8527143331824</v>
      </c>
      <c r="G136" s="7">
        <v>6231.6287743026842</v>
      </c>
      <c r="H136" s="7">
        <f t="shared" si="12"/>
        <v>149.08202809336566</v>
      </c>
      <c r="I136" s="7">
        <f t="shared" si="13"/>
        <v>323.97041209835669</v>
      </c>
      <c r="J136" s="7">
        <v>333.31690782268788</v>
      </c>
      <c r="K136" s="7">
        <f t="shared" si="14"/>
        <v>5.3160591359280369</v>
      </c>
      <c r="L136" s="7">
        <f t="shared" si="15"/>
        <v>20.009708178574726</v>
      </c>
      <c r="M136" s="7">
        <v>1090.8335614831647</v>
      </c>
      <c r="N136" s="7">
        <f t="shared" si="16"/>
        <v>86.988322287333716</v>
      </c>
      <c r="O136" s="7">
        <f t="shared" si="17"/>
        <v>32.928123181165283</v>
      </c>
    </row>
    <row r="137" spans="3:15" x14ac:dyDescent="0.2">
      <c r="C137">
        <v>118</v>
      </c>
      <c r="D137" s="7">
        <v>3712.4999999999995</v>
      </c>
      <c r="E137" s="7">
        <f t="shared" si="10"/>
        <v>111.01973684210526</v>
      </c>
      <c r="F137" s="7">
        <f t="shared" si="11"/>
        <v>299.79364938944394</v>
      </c>
      <c r="G137" s="7">
        <v>6233.5581518712224</v>
      </c>
      <c r="H137" s="7">
        <f t="shared" si="12"/>
        <v>149.12818545146467</v>
      </c>
      <c r="I137" s="7">
        <f t="shared" si="13"/>
        <v>324.07071673276471</v>
      </c>
      <c r="J137" s="7">
        <v>0</v>
      </c>
      <c r="K137" s="7">
        <f t="shared" si="14"/>
        <v>0</v>
      </c>
      <c r="L137" s="7">
        <f t="shared" si="15"/>
        <v>0</v>
      </c>
      <c r="M137" s="7">
        <v>1088.9041839146269</v>
      </c>
      <c r="N137" s="7">
        <f t="shared" si="16"/>
        <v>86.834464427003738</v>
      </c>
      <c r="O137" s="7">
        <f t="shared" si="17"/>
        <v>32.869882598474184</v>
      </c>
    </row>
    <row r="138" spans="3:15" x14ac:dyDescent="0.2">
      <c r="C138">
        <v>119</v>
      </c>
      <c r="D138" s="7">
        <v>3267</v>
      </c>
      <c r="E138" s="7">
        <f t="shared" si="10"/>
        <v>97.697368421052644</v>
      </c>
      <c r="F138" s="7">
        <f t="shared" si="11"/>
        <v>263.81841146271069</v>
      </c>
      <c r="G138" s="7">
        <v>0</v>
      </c>
      <c r="H138" s="7">
        <f t="shared" si="12"/>
        <v>0</v>
      </c>
      <c r="I138" s="7">
        <f t="shared" si="13"/>
        <v>0</v>
      </c>
      <c r="J138" s="7">
        <v>0</v>
      </c>
      <c r="K138" s="7">
        <f t="shared" si="14"/>
        <v>0</v>
      </c>
      <c r="L138" s="7">
        <f t="shared" si="15"/>
        <v>0</v>
      </c>
      <c r="M138" s="7">
        <v>0</v>
      </c>
      <c r="N138" s="7">
        <f t="shared" si="16"/>
        <v>0</v>
      </c>
      <c r="O138" s="7">
        <f t="shared" si="17"/>
        <v>0</v>
      </c>
    </row>
    <row r="139" spans="3:15" x14ac:dyDescent="0.2">
      <c r="C139">
        <v>120</v>
      </c>
      <c r="D139" s="7">
        <v>2821.4999999999995</v>
      </c>
      <c r="E139" s="7">
        <f t="shared" si="10"/>
        <v>84.374999999999986</v>
      </c>
      <c r="F139" s="7">
        <f t="shared" si="11"/>
        <v>227.84317353597737</v>
      </c>
      <c r="G139" s="7">
        <v>0</v>
      </c>
      <c r="H139" s="7">
        <f t="shared" si="12"/>
        <v>0</v>
      </c>
      <c r="I139" s="7">
        <f t="shared" si="13"/>
        <v>0</v>
      </c>
      <c r="J139" s="7">
        <v>0</v>
      </c>
      <c r="K139" s="7">
        <f t="shared" si="14"/>
        <v>0</v>
      </c>
      <c r="L139" s="7">
        <f t="shared" si="15"/>
        <v>0</v>
      </c>
      <c r="M139" s="7">
        <v>0</v>
      </c>
      <c r="N139" s="7">
        <f t="shared" si="16"/>
        <v>0</v>
      </c>
      <c r="O139" s="7">
        <f t="shared" si="17"/>
        <v>0</v>
      </c>
    </row>
    <row r="140" spans="3:15" x14ac:dyDescent="0.2">
      <c r="C140">
        <v>121</v>
      </c>
      <c r="D140" s="7">
        <v>2376</v>
      </c>
      <c r="E140" s="7">
        <f t="shared" si="10"/>
        <v>71.05263157894737</v>
      </c>
      <c r="F140" s="7">
        <f t="shared" si="11"/>
        <v>191.86793560924414</v>
      </c>
      <c r="G140" s="7">
        <v>0</v>
      </c>
      <c r="H140" s="7">
        <f t="shared" si="12"/>
        <v>0</v>
      </c>
      <c r="I140" s="7">
        <f t="shared" si="13"/>
        <v>0</v>
      </c>
      <c r="J140" s="7">
        <v>0</v>
      </c>
      <c r="K140" s="7">
        <f t="shared" si="14"/>
        <v>0</v>
      </c>
      <c r="L140" s="7">
        <f t="shared" si="15"/>
        <v>0</v>
      </c>
      <c r="M140" s="7">
        <v>0</v>
      </c>
      <c r="N140" s="7">
        <f t="shared" si="16"/>
        <v>0</v>
      </c>
      <c r="O140" s="7">
        <f t="shared" si="17"/>
        <v>0</v>
      </c>
    </row>
    <row r="141" spans="3:15" x14ac:dyDescent="0.2">
      <c r="C141">
        <v>122</v>
      </c>
      <c r="D141" s="7">
        <v>2376</v>
      </c>
      <c r="E141" s="7">
        <f t="shared" si="10"/>
        <v>71.05263157894737</v>
      </c>
      <c r="F141" s="7">
        <f t="shared" si="11"/>
        <v>191.86793560924414</v>
      </c>
      <c r="G141" s="7">
        <v>0</v>
      </c>
      <c r="H141" s="7">
        <f t="shared" si="12"/>
        <v>0</v>
      </c>
      <c r="I141" s="7">
        <f t="shared" si="13"/>
        <v>0</v>
      </c>
      <c r="J141" s="7">
        <v>0</v>
      </c>
      <c r="K141" s="7">
        <f t="shared" si="14"/>
        <v>0</v>
      </c>
      <c r="L141" s="7">
        <f t="shared" si="15"/>
        <v>0</v>
      </c>
      <c r="M141" s="7">
        <v>0</v>
      </c>
      <c r="N141" s="7">
        <f t="shared" si="16"/>
        <v>0</v>
      </c>
      <c r="O141" s="7">
        <f t="shared" si="17"/>
        <v>0</v>
      </c>
    </row>
    <row r="142" spans="3:15" x14ac:dyDescent="0.2">
      <c r="C142">
        <v>123</v>
      </c>
      <c r="D142" s="7">
        <v>2545.7142857142858</v>
      </c>
      <c r="E142" s="7">
        <f t="shared" si="10"/>
        <v>76.127819548872182</v>
      </c>
      <c r="F142" s="7">
        <f t="shared" si="11"/>
        <v>205.57278815276158</v>
      </c>
      <c r="G142" s="7">
        <v>0</v>
      </c>
      <c r="H142" s="7">
        <f t="shared" si="12"/>
        <v>0</v>
      </c>
      <c r="I142" s="7">
        <f t="shared" si="13"/>
        <v>0</v>
      </c>
      <c r="J142" s="7">
        <v>0</v>
      </c>
      <c r="K142" s="7">
        <f t="shared" si="14"/>
        <v>0</v>
      </c>
      <c r="L142" s="7">
        <f t="shared" si="15"/>
        <v>0</v>
      </c>
      <c r="M142" s="7">
        <v>0</v>
      </c>
      <c r="N142" s="7">
        <f t="shared" si="16"/>
        <v>0</v>
      </c>
      <c r="O142" s="7">
        <f t="shared" si="17"/>
        <v>0</v>
      </c>
    </row>
    <row r="143" spans="3:15" x14ac:dyDescent="0.2">
      <c r="C143">
        <v>124</v>
      </c>
      <c r="D143" s="7">
        <v>2715.4285714285716</v>
      </c>
      <c r="E143" s="7">
        <f t="shared" si="10"/>
        <v>81.203007518797008</v>
      </c>
      <c r="F143" s="7">
        <f t="shared" si="11"/>
        <v>219.27764069627901</v>
      </c>
      <c r="G143" s="7">
        <v>0</v>
      </c>
      <c r="H143" s="7">
        <f t="shared" si="12"/>
        <v>0</v>
      </c>
      <c r="I143" s="7">
        <f t="shared" si="13"/>
        <v>0</v>
      </c>
      <c r="J143" s="7">
        <v>0</v>
      </c>
      <c r="K143" s="7">
        <f t="shared" si="14"/>
        <v>0</v>
      </c>
      <c r="L143" s="7">
        <f t="shared" si="15"/>
        <v>0</v>
      </c>
      <c r="M143" s="7">
        <v>0</v>
      </c>
      <c r="N143" s="7">
        <f t="shared" si="16"/>
        <v>0</v>
      </c>
      <c r="O143" s="7">
        <f t="shared" si="17"/>
        <v>0</v>
      </c>
    </row>
    <row r="144" spans="3:15" x14ac:dyDescent="0.2">
      <c r="C144">
        <v>125</v>
      </c>
      <c r="D144" s="7">
        <v>2885.1428571428573</v>
      </c>
      <c r="E144" s="7">
        <f t="shared" si="10"/>
        <v>86.278195488721821</v>
      </c>
      <c r="F144" s="7">
        <f t="shared" si="11"/>
        <v>232.98249323979647</v>
      </c>
      <c r="G144" s="7">
        <v>0</v>
      </c>
      <c r="H144" s="7">
        <f t="shared" si="12"/>
        <v>0</v>
      </c>
      <c r="I144" s="7">
        <f t="shared" si="13"/>
        <v>0</v>
      </c>
      <c r="J144" s="7">
        <v>0</v>
      </c>
      <c r="K144" s="7">
        <f t="shared" si="14"/>
        <v>0</v>
      </c>
      <c r="L144" s="7">
        <f t="shared" si="15"/>
        <v>0</v>
      </c>
      <c r="M144" s="7">
        <v>0</v>
      </c>
      <c r="N144" s="7">
        <f t="shared" si="16"/>
        <v>0</v>
      </c>
      <c r="O144" s="7">
        <f t="shared" si="17"/>
        <v>0</v>
      </c>
    </row>
    <row r="145" spans="3:15" x14ac:dyDescent="0.2">
      <c r="C145">
        <v>126</v>
      </c>
      <c r="D145" s="7">
        <v>3054.8571428571431</v>
      </c>
      <c r="E145" s="7">
        <f t="shared" si="10"/>
        <v>91.353383458646633</v>
      </c>
      <c r="F145" s="7">
        <f t="shared" si="11"/>
        <v>246.6873457833139</v>
      </c>
      <c r="G145" s="7">
        <v>0</v>
      </c>
      <c r="H145" s="7">
        <f t="shared" si="12"/>
        <v>0</v>
      </c>
      <c r="I145" s="7">
        <f t="shared" si="13"/>
        <v>0</v>
      </c>
      <c r="J145" s="7">
        <v>0</v>
      </c>
      <c r="K145" s="7">
        <f t="shared" si="14"/>
        <v>0</v>
      </c>
      <c r="L145" s="7">
        <f t="shared" si="15"/>
        <v>0</v>
      </c>
      <c r="M145" s="7">
        <v>0</v>
      </c>
      <c r="N145" s="7">
        <f t="shared" si="16"/>
        <v>0</v>
      </c>
      <c r="O145" s="7">
        <f t="shared" si="17"/>
        <v>0</v>
      </c>
    </row>
    <row r="146" spans="3:15" x14ac:dyDescent="0.2">
      <c r="C146">
        <v>127</v>
      </c>
      <c r="D146" s="7">
        <v>3224.5714285714284</v>
      </c>
      <c r="E146" s="7">
        <f t="shared" si="10"/>
        <v>96.428571428571431</v>
      </c>
      <c r="F146" s="7">
        <f t="shared" si="11"/>
        <v>260.39219832683131</v>
      </c>
      <c r="G146" s="7">
        <v>6240.7780527257328</v>
      </c>
      <c r="H146" s="7">
        <f t="shared" si="12"/>
        <v>149.30091035229026</v>
      </c>
      <c r="I146" s="7">
        <f t="shared" si="13"/>
        <v>324.44606551233096</v>
      </c>
      <c r="J146" s="7">
        <v>0</v>
      </c>
      <c r="K146" s="7">
        <f t="shared" si="14"/>
        <v>0</v>
      </c>
      <c r="L146" s="7">
        <f t="shared" si="15"/>
        <v>0</v>
      </c>
      <c r="M146" s="7">
        <v>1081.6842830601158</v>
      </c>
      <c r="N146" s="7">
        <f t="shared" si="16"/>
        <v>86.258714757584997</v>
      </c>
      <c r="O146" s="7">
        <f t="shared" si="17"/>
        <v>32.651941206599609</v>
      </c>
    </row>
    <row r="147" spans="3:15" x14ac:dyDescent="0.2">
      <c r="C147">
        <v>128</v>
      </c>
      <c r="D147" s="7">
        <v>3394.2857142857147</v>
      </c>
      <c r="E147" s="7">
        <f t="shared" si="10"/>
        <v>101.50375939849626</v>
      </c>
      <c r="F147" s="7">
        <f t="shared" si="11"/>
        <v>274.09705087034877</v>
      </c>
      <c r="G147" s="7">
        <v>6242.6134566864275</v>
      </c>
      <c r="H147" s="7">
        <f t="shared" si="12"/>
        <v>149.34481953795282</v>
      </c>
      <c r="I147" s="7">
        <f t="shared" si="13"/>
        <v>324.54148463934405</v>
      </c>
      <c r="J147" s="7">
        <v>0</v>
      </c>
      <c r="K147" s="7">
        <f t="shared" si="14"/>
        <v>0</v>
      </c>
      <c r="L147" s="7">
        <f t="shared" si="15"/>
        <v>0</v>
      </c>
      <c r="M147" s="7">
        <v>1079.8488790994218</v>
      </c>
      <c r="N147" s="7">
        <f t="shared" si="16"/>
        <v>86.112350805376536</v>
      </c>
      <c r="O147" s="7">
        <f t="shared" si="17"/>
        <v>32.596537330299029</v>
      </c>
    </row>
    <row r="148" spans="3:15" x14ac:dyDescent="0.2">
      <c r="C148">
        <v>129</v>
      </c>
      <c r="D148" s="7">
        <v>3564</v>
      </c>
      <c r="E148" s="7">
        <f t="shared" si="10"/>
        <v>106.57894736842105</v>
      </c>
      <c r="F148" s="7">
        <f t="shared" si="11"/>
        <v>287.80190341386617</v>
      </c>
      <c r="G148" s="7">
        <v>0</v>
      </c>
      <c r="H148" s="7">
        <f t="shared" si="12"/>
        <v>0</v>
      </c>
      <c r="I148" s="7">
        <f t="shared" si="13"/>
        <v>0</v>
      </c>
      <c r="J148" s="7">
        <v>0</v>
      </c>
      <c r="K148" s="7">
        <f t="shared" si="14"/>
        <v>0</v>
      </c>
      <c r="L148" s="7">
        <f t="shared" si="15"/>
        <v>0</v>
      </c>
      <c r="M148" s="7">
        <v>0</v>
      </c>
      <c r="N148" s="7">
        <f t="shared" si="16"/>
        <v>0</v>
      </c>
      <c r="O148" s="7">
        <f t="shared" si="17"/>
        <v>0</v>
      </c>
    </row>
    <row r="149" spans="3:15" x14ac:dyDescent="0.2">
      <c r="C149">
        <v>130</v>
      </c>
      <c r="D149" s="7">
        <v>3733.7142857142858</v>
      </c>
      <c r="E149" s="7">
        <f t="shared" ref="E149:E212" si="18">D149/($C$3*($D$8-$D$6))</f>
        <v>111.65413533834588</v>
      </c>
      <c r="F149" s="7">
        <f t="shared" ref="F149:F212" si="19">E149*$C$3*((($D$8)-($D$6))-$C$2*LN(($D$8)/($D$6)))</f>
        <v>301.50675595738369</v>
      </c>
      <c r="G149" s="7">
        <v>0</v>
      </c>
      <c r="H149" s="7">
        <f t="shared" ref="H149:H212" si="20">G149/($C$3*($D$6-$D$9))</f>
        <v>0</v>
      </c>
      <c r="I149" s="7">
        <f t="shared" ref="I149:I212" si="21">ABS(H149*$C$3*(($D$9-$D$6)-$C$2*(LN($D$9/$D$6))))</f>
        <v>0</v>
      </c>
      <c r="J149" s="7">
        <v>0</v>
      </c>
      <c r="K149" s="7">
        <f t="shared" ref="K149:K212" si="22">J149/($C$3*($D$10-$D$7))</f>
        <v>0</v>
      </c>
      <c r="L149" s="7">
        <f t="shared" ref="L149:L212" si="23">K149*$C$3*(($D$10-$D$7)-$C$2*LN($D$10/$D$7))</f>
        <v>0</v>
      </c>
      <c r="M149" s="7">
        <v>0</v>
      </c>
      <c r="N149" s="7">
        <f t="shared" ref="N149:N212" si="24">M149/($C$3*($D$7-$D$11))</f>
        <v>0</v>
      </c>
      <c r="O149" s="7">
        <f t="shared" ref="O149:O212" si="25">ABS(N149*$C$3*(($D$11-$D$7)-$C$2*LN($D$11/$D$7)))</f>
        <v>0</v>
      </c>
    </row>
    <row r="150" spans="3:15" x14ac:dyDescent="0.2">
      <c r="C150">
        <v>131</v>
      </c>
      <c r="D150" s="7">
        <v>3764.8271272522506</v>
      </c>
      <c r="E150" s="7">
        <f t="shared" si="18"/>
        <v>112.5845432790745</v>
      </c>
      <c r="F150" s="7">
        <f t="shared" si="19"/>
        <v>304.01919563618281</v>
      </c>
      <c r="G150" s="7">
        <v>0</v>
      </c>
      <c r="H150" s="7">
        <f t="shared" si="20"/>
        <v>0</v>
      </c>
      <c r="I150" s="7">
        <f t="shared" si="21"/>
        <v>0</v>
      </c>
      <c r="J150" s="7">
        <v>138.60144417632137</v>
      </c>
      <c r="K150" s="7">
        <f t="shared" si="22"/>
        <v>2.2105493489046473</v>
      </c>
      <c r="L150" s="7">
        <f t="shared" si="23"/>
        <v>8.3205333603194767</v>
      </c>
      <c r="M150" s="7">
        <v>0</v>
      </c>
      <c r="N150" s="7">
        <f t="shared" si="24"/>
        <v>0</v>
      </c>
      <c r="O150" s="7">
        <f t="shared" si="25"/>
        <v>0</v>
      </c>
    </row>
    <row r="151" spans="3:15" x14ac:dyDescent="0.2">
      <c r="C151">
        <v>132</v>
      </c>
      <c r="D151" s="7">
        <v>3755.2519492244101</v>
      </c>
      <c r="E151" s="7">
        <f t="shared" si="18"/>
        <v>112.29820422321801</v>
      </c>
      <c r="F151" s="7">
        <f t="shared" si="19"/>
        <v>303.24597609018417</v>
      </c>
      <c r="G151" s="7">
        <v>0</v>
      </c>
      <c r="H151" s="7">
        <f t="shared" si="20"/>
        <v>0</v>
      </c>
      <c r="I151" s="7">
        <f t="shared" si="21"/>
        <v>0</v>
      </c>
      <c r="J151" s="7">
        <v>317.89090791844774</v>
      </c>
      <c r="K151" s="7">
        <f t="shared" si="22"/>
        <v>5.0700304293213359</v>
      </c>
      <c r="L151" s="7">
        <f t="shared" si="23"/>
        <v>19.083653276461067</v>
      </c>
      <c r="M151" s="7">
        <v>0</v>
      </c>
      <c r="N151" s="7">
        <f t="shared" si="24"/>
        <v>0</v>
      </c>
      <c r="O151" s="7">
        <f t="shared" si="25"/>
        <v>0</v>
      </c>
    </row>
    <row r="152" spans="3:15" x14ac:dyDescent="0.2">
      <c r="C152">
        <v>133</v>
      </c>
      <c r="D152" s="7">
        <v>3745.4523949426916</v>
      </c>
      <c r="E152" s="7">
        <f t="shared" si="18"/>
        <v>112.00515535115706</v>
      </c>
      <c r="F152" s="7">
        <f t="shared" si="19"/>
        <v>302.45463760115894</v>
      </c>
      <c r="G152" s="7">
        <v>0</v>
      </c>
      <c r="H152" s="7">
        <f t="shared" si="20"/>
        <v>0</v>
      </c>
      <c r="I152" s="7">
        <f t="shared" si="21"/>
        <v>0</v>
      </c>
      <c r="J152" s="7">
        <v>412.54760505730837</v>
      </c>
      <c r="K152" s="7">
        <f t="shared" si="22"/>
        <v>6.5797066197337859</v>
      </c>
      <c r="L152" s="7">
        <f t="shared" si="23"/>
        <v>24.76609194802073</v>
      </c>
      <c r="M152" s="7">
        <v>0</v>
      </c>
      <c r="N152" s="7">
        <f t="shared" si="24"/>
        <v>0</v>
      </c>
      <c r="O152" s="7">
        <f t="shared" si="25"/>
        <v>0</v>
      </c>
    </row>
    <row r="153" spans="3:15" x14ac:dyDescent="0.2">
      <c r="C153">
        <v>134</v>
      </c>
      <c r="D153" s="7">
        <v>3735.693119367616</v>
      </c>
      <c r="E153" s="7">
        <f t="shared" si="18"/>
        <v>111.71331098587369</v>
      </c>
      <c r="F153" s="7">
        <f t="shared" si="19"/>
        <v>301.66655171831741</v>
      </c>
      <c r="G153" s="7">
        <v>0</v>
      </c>
      <c r="H153" s="7">
        <f t="shared" si="20"/>
        <v>0</v>
      </c>
      <c r="I153" s="7">
        <f t="shared" si="21"/>
        <v>0</v>
      </c>
      <c r="J153" s="7">
        <v>422.30688063238404</v>
      </c>
      <c r="K153" s="7">
        <f t="shared" si="22"/>
        <v>6.7353569478849131</v>
      </c>
      <c r="L153" s="7">
        <f t="shared" si="23"/>
        <v>25.351961586519351</v>
      </c>
      <c r="M153" s="7">
        <v>0</v>
      </c>
      <c r="N153" s="7">
        <f t="shared" si="24"/>
        <v>0</v>
      </c>
      <c r="O153" s="7">
        <f t="shared" si="25"/>
        <v>0</v>
      </c>
    </row>
    <row r="154" spans="3:15" x14ac:dyDescent="0.2">
      <c r="C154">
        <v>135</v>
      </c>
      <c r="D154" s="7">
        <v>3725.9739995101318</v>
      </c>
      <c r="E154" s="7">
        <f t="shared" si="18"/>
        <v>111.42266744946566</v>
      </c>
      <c r="F154" s="7">
        <f t="shared" si="19"/>
        <v>300.88170850998642</v>
      </c>
      <c r="G154" s="7">
        <v>0</v>
      </c>
      <c r="H154" s="7">
        <f t="shared" si="20"/>
        <v>0</v>
      </c>
      <c r="I154" s="7">
        <f t="shared" si="21"/>
        <v>0</v>
      </c>
      <c r="J154" s="7">
        <v>856.31171477558291</v>
      </c>
      <c r="K154" s="7">
        <f t="shared" si="22"/>
        <v>13.65728412720228</v>
      </c>
      <c r="L154" s="7">
        <f t="shared" si="23"/>
        <v>51.406175685720889</v>
      </c>
      <c r="M154" s="7">
        <v>0</v>
      </c>
      <c r="N154" s="7">
        <f t="shared" si="24"/>
        <v>0</v>
      </c>
      <c r="O154" s="7">
        <f t="shared" si="25"/>
        <v>0</v>
      </c>
    </row>
    <row r="155" spans="3:15" x14ac:dyDescent="0.2">
      <c r="C155">
        <v>136</v>
      </c>
      <c r="D155" s="7">
        <v>3725.0992878755396</v>
      </c>
      <c r="E155" s="7">
        <f t="shared" si="18"/>
        <v>111.39650980489054</v>
      </c>
      <c r="F155" s="7">
        <f t="shared" si="19"/>
        <v>300.81107336033045</v>
      </c>
      <c r="G155" s="7">
        <v>6243.8335630730953</v>
      </c>
      <c r="H155" s="7">
        <f t="shared" si="20"/>
        <v>149.37400868595924</v>
      </c>
      <c r="I155" s="7">
        <f t="shared" si="21"/>
        <v>324.60491562716584</v>
      </c>
      <c r="J155" s="7">
        <v>1026.9007121244604</v>
      </c>
      <c r="K155" s="7">
        <f t="shared" si="22"/>
        <v>16.378001788268907</v>
      </c>
      <c r="L155" s="7">
        <f t="shared" si="23"/>
        <v>61.646988483739875</v>
      </c>
      <c r="M155" s="7">
        <v>1078.6287727127537</v>
      </c>
      <c r="N155" s="7">
        <f t="shared" si="24"/>
        <v>86.015053645355167</v>
      </c>
      <c r="O155" s="7">
        <f t="shared" si="25"/>
        <v>32.559706951391632</v>
      </c>
    </row>
    <row r="156" spans="3:15" x14ac:dyDescent="0.2">
      <c r="C156">
        <v>137</v>
      </c>
      <c r="D156" s="7">
        <v>3732.9700944612714</v>
      </c>
      <c r="E156" s="7">
        <f t="shared" si="18"/>
        <v>111.63188081522942</v>
      </c>
      <c r="F156" s="7">
        <f t="shared" si="19"/>
        <v>301.4466606545999</v>
      </c>
      <c r="G156" s="7">
        <v>6244.2171801356853</v>
      </c>
      <c r="H156" s="7">
        <f t="shared" si="20"/>
        <v>149.38318612764797</v>
      </c>
      <c r="I156" s="7">
        <f t="shared" si="21"/>
        <v>324.62485914151114</v>
      </c>
      <c r="J156" s="7">
        <v>781.42990553872824</v>
      </c>
      <c r="K156" s="7">
        <f t="shared" si="22"/>
        <v>12.462996898544311</v>
      </c>
      <c r="L156" s="7">
        <f t="shared" si="23"/>
        <v>46.910864720247048</v>
      </c>
      <c r="M156" s="7">
        <v>1078.2451556501637</v>
      </c>
      <c r="N156" s="7">
        <f t="shared" si="24"/>
        <v>85.984462173059313</v>
      </c>
      <c r="O156" s="7">
        <f t="shared" si="25"/>
        <v>32.548127008917014</v>
      </c>
    </row>
    <row r="157" spans="3:15" x14ac:dyDescent="0.2">
      <c r="C157">
        <v>138</v>
      </c>
      <c r="D157" s="7">
        <v>3740.8109576061365</v>
      </c>
      <c r="E157" s="7">
        <f t="shared" si="18"/>
        <v>111.86635638774332</v>
      </c>
      <c r="F157" s="7">
        <f t="shared" si="19"/>
        <v>302.07982994121596</v>
      </c>
      <c r="G157" s="7">
        <v>6244.9060460228775</v>
      </c>
      <c r="H157" s="7">
        <f t="shared" si="20"/>
        <v>149.39966617279612</v>
      </c>
      <c r="I157" s="7">
        <f t="shared" si="21"/>
        <v>324.66067195601551</v>
      </c>
      <c r="J157" s="7">
        <v>535.98904239386366</v>
      </c>
      <c r="K157" s="7">
        <f t="shared" si="22"/>
        <v>8.5484695756597073</v>
      </c>
      <c r="L157" s="7">
        <f t="shared" si="23"/>
        <v>32.176538523872956</v>
      </c>
      <c r="M157" s="7">
        <v>1077.5562897629716</v>
      </c>
      <c r="N157" s="7">
        <f t="shared" si="24"/>
        <v>85.929528689232185</v>
      </c>
      <c r="O157" s="7">
        <f t="shared" si="25"/>
        <v>32.527332763498009</v>
      </c>
    </row>
    <row r="158" spans="3:15" x14ac:dyDescent="0.2">
      <c r="C158">
        <v>139</v>
      </c>
      <c r="D158" s="7">
        <v>3748.6225895942634</v>
      </c>
      <c r="E158" s="7">
        <f t="shared" si="18"/>
        <v>112.09995782279496</v>
      </c>
      <c r="F158" s="7">
        <f t="shared" si="19"/>
        <v>302.71063873890159</v>
      </c>
      <c r="G158" s="7">
        <v>6245.8194484760297</v>
      </c>
      <c r="H158" s="7">
        <f t="shared" si="20"/>
        <v>149.42151790612513</v>
      </c>
      <c r="I158" s="7">
        <f t="shared" si="21"/>
        <v>324.70815799536047</v>
      </c>
      <c r="J158" s="7">
        <v>409.37741040573655</v>
      </c>
      <c r="K158" s="7">
        <f t="shared" si="22"/>
        <v>6.5291453015268992</v>
      </c>
      <c r="L158" s="7">
        <f t="shared" si="23"/>
        <v>24.575778560495323</v>
      </c>
      <c r="M158" s="7">
        <v>1076.6428873098191</v>
      </c>
      <c r="N158" s="7">
        <f t="shared" si="24"/>
        <v>85.856689578135502</v>
      </c>
      <c r="O158" s="7">
        <f t="shared" si="25"/>
        <v>32.499760611747845</v>
      </c>
    </row>
    <row r="159" spans="3:15" x14ac:dyDescent="0.2">
      <c r="C159">
        <v>140</v>
      </c>
      <c r="D159" s="7">
        <v>3756.4055786974905</v>
      </c>
      <c r="E159" s="7">
        <f t="shared" si="18"/>
        <v>112.33270271224553</v>
      </c>
      <c r="F159" s="7">
        <f t="shared" si="19"/>
        <v>303.33913455207727</v>
      </c>
      <c r="G159" s="7">
        <v>6247.0371156376486</v>
      </c>
      <c r="H159" s="7">
        <f t="shared" si="20"/>
        <v>149.45064869946529</v>
      </c>
      <c r="I159" s="7">
        <f t="shared" si="21"/>
        <v>324.77146217255643</v>
      </c>
      <c r="J159" s="7">
        <v>45.194421302508545</v>
      </c>
      <c r="K159" s="7">
        <f t="shared" si="22"/>
        <v>0.72080416750412357</v>
      </c>
      <c r="L159" s="7">
        <f t="shared" si="23"/>
        <v>2.7131152375979237</v>
      </c>
      <c r="M159" s="7">
        <v>1075.4252201482007</v>
      </c>
      <c r="N159" s="7">
        <f t="shared" si="24"/>
        <v>85.759586933668317</v>
      </c>
      <c r="O159" s="7">
        <f t="shared" si="25"/>
        <v>32.463003863782632</v>
      </c>
    </row>
    <row r="160" spans="3:15" x14ac:dyDescent="0.2">
      <c r="C160">
        <v>141</v>
      </c>
      <c r="D160" s="7">
        <v>3563.9999999999991</v>
      </c>
      <c r="E160" s="7">
        <f t="shared" si="18"/>
        <v>106.57894736842103</v>
      </c>
      <c r="F160" s="7">
        <f t="shared" si="19"/>
        <v>287.80190341386611</v>
      </c>
      <c r="G160" s="7">
        <v>6248.5283520500425</v>
      </c>
      <c r="H160" s="7">
        <f t="shared" si="20"/>
        <v>149.48632421172351</v>
      </c>
      <c r="I160" s="7">
        <f t="shared" si="21"/>
        <v>324.84898868970902</v>
      </c>
      <c r="J160" s="7">
        <v>0</v>
      </c>
      <c r="K160" s="7">
        <f t="shared" si="22"/>
        <v>0</v>
      </c>
      <c r="L160" s="7">
        <f t="shared" si="23"/>
        <v>0</v>
      </c>
      <c r="M160" s="7">
        <v>1073.9339837358068</v>
      </c>
      <c r="N160" s="7">
        <f t="shared" si="24"/>
        <v>85.640668559474236</v>
      </c>
      <c r="O160" s="7">
        <f t="shared" si="25"/>
        <v>32.417989098915321</v>
      </c>
    </row>
    <row r="161" spans="3:15" x14ac:dyDescent="0.2">
      <c r="C161">
        <v>142</v>
      </c>
      <c r="D161" s="7">
        <v>3326.3999999999996</v>
      </c>
      <c r="E161" s="7">
        <f t="shared" si="18"/>
        <v>99.473684210526315</v>
      </c>
      <c r="F161" s="7">
        <f t="shared" si="19"/>
        <v>268.61510985294177</v>
      </c>
      <c r="G161" s="7">
        <v>6249.9972477173033</v>
      </c>
      <c r="H161" s="7">
        <f t="shared" si="20"/>
        <v>149.52146525639483</v>
      </c>
      <c r="I161" s="7">
        <f t="shared" si="21"/>
        <v>324.92535375442765</v>
      </c>
      <c r="J161" s="7">
        <v>0</v>
      </c>
      <c r="K161" s="7">
        <f t="shared" si="22"/>
        <v>0</v>
      </c>
      <c r="L161" s="7">
        <f t="shared" si="23"/>
        <v>0</v>
      </c>
      <c r="M161" s="7">
        <v>1072.4650880685463</v>
      </c>
      <c r="N161" s="7">
        <f t="shared" si="24"/>
        <v>85.52353174390322</v>
      </c>
      <c r="O161" s="7">
        <f t="shared" si="25"/>
        <v>32.3736487163128</v>
      </c>
    </row>
    <row r="162" spans="3:15" x14ac:dyDescent="0.2">
      <c r="C162">
        <v>143</v>
      </c>
      <c r="D162" s="7">
        <v>2673</v>
      </c>
      <c r="E162" s="7">
        <f t="shared" si="18"/>
        <v>79.934210526315795</v>
      </c>
      <c r="F162" s="7">
        <f t="shared" si="19"/>
        <v>215.85142756039966</v>
      </c>
      <c r="G162" s="7">
        <v>0</v>
      </c>
      <c r="H162" s="7">
        <f t="shared" si="20"/>
        <v>0</v>
      </c>
      <c r="I162" s="7">
        <f t="shared" si="21"/>
        <v>0</v>
      </c>
      <c r="J162" s="7">
        <v>0</v>
      </c>
      <c r="K162" s="7">
        <f t="shared" si="22"/>
        <v>0</v>
      </c>
      <c r="L162" s="7">
        <f t="shared" si="23"/>
        <v>0</v>
      </c>
      <c r="M162" s="7">
        <v>0</v>
      </c>
      <c r="N162" s="7">
        <f t="shared" si="24"/>
        <v>0</v>
      </c>
      <c r="O162" s="7">
        <f t="shared" si="25"/>
        <v>0</v>
      </c>
    </row>
    <row r="163" spans="3:15" x14ac:dyDescent="0.2">
      <c r="C163">
        <v>144</v>
      </c>
      <c r="D163" s="7">
        <v>2524.5</v>
      </c>
      <c r="E163" s="7">
        <f t="shared" si="18"/>
        <v>75.493421052631589</v>
      </c>
      <c r="F163" s="7">
        <f t="shared" si="19"/>
        <v>203.85968158482189</v>
      </c>
      <c r="G163" s="7">
        <v>0</v>
      </c>
      <c r="H163" s="7">
        <f t="shared" si="20"/>
        <v>0</v>
      </c>
      <c r="I163" s="7">
        <f t="shared" si="21"/>
        <v>0</v>
      </c>
      <c r="J163" s="7">
        <v>0</v>
      </c>
      <c r="K163" s="7">
        <f t="shared" si="22"/>
        <v>0</v>
      </c>
      <c r="L163" s="7">
        <f t="shared" si="23"/>
        <v>0</v>
      </c>
      <c r="M163" s="7">
        <v>0</v>
      </c>
      <c r="N163" s="7">
        <f t="shared" si="24"/>
        <v>0</v>
      </c>
      <c r="O163" s="7">
        <f t="shared" si="25"/>
        <v>0</v>
      </c>
    </row>
    <row r="164" spans="3:15" x14ac:dyDescent="0.2">
      <c r="C164">
        <v>145</v>
      </c>
      <c r="D164" s="7">
        <v>2376</v>
      </c>
      <c r="E164" s="7">
        <f t="shared" si="18"/>
        <v>71.05263157894737</v>
      </c>
      <c r="F164" s="7">
        <f t="shared" si="19"/>
        <v>191.86793560924414</v>
      </c>
      <c r="G164" s="7">
        <v>0</v>
      </c>
      <c r="H164" s="7">
        <f t="shared" si="20"/>
        <v>0</v>
      </c>
      <c r="I164" s="7">
        <f t="shared" si="21"/>
        <v>0</v>
      </c>
      <c r="J164" s="7">
        <v>0</v>
      </c>
      <c r="K164" s="7">
        <f t="shared" si="22"/>
        <v>0</v>
      </c>
      <c r="L164" s="7">
        <f t="shared" si="23"/>
        <v>0</v>
      </c>
      <c r="M164" s="7">
        <v>0</v>
      </c>
      <c r="N164" s="7">
        <f t="shared" si="24"/>
        <v>0</v>
      </c>
      <c r="O164" s="7">
        <f t="shared" si="25"/>
        <v>0</v>
      </c>
    </row>
    <row r="165" spans="3:15" x14ac:dyDescent="0.2">
      <c r="C165">
        <v>146</v>
      </c>
      <c r="D165" s="7">
        <v>2376</v>
      </c>
      <c r="E165" s="7">
        <f t="shared" si="18"/>
        <v>71.05263157894737</v>
      </c>
      <c r="F165" s="7">
        <f t="shared" si="19"/>
        <v>191.86793560924414</v>
      </c>
      <c r="G165" s="7">
        <v>0</v>
      </c>
      <c r="H165" s="7">
        <f t="shared" si="20"/>
        <v>0</v>
      </c>
      <c r="I165" s="7">
        <f t="shared" si="21"/>
        <v>0</v>
      </c>
      <c r="J165" s="7">
        <v>0</v>
      </c>
      <c r="K165" s="7">
        <f t="shared" si="22"/>
        <v>0</v>
      </c>
      <c r="L165" s="7">
        <f t="shared" si="23"/>
        <v>0</v>
      </c>
      <c r="M165" s="7">
        <v>0</v>
      </c>
      <c r="N165" s="7">
        <f t="shared" si="24"/>
        <v>0</v>
      </c>
      <c r="O165" s="7">
        <f t="shared" si="25"/>
        <v>0</v>
      </c>
    </row>
    <row r="166" spans="3:15" x14ac:dyDescent="0.2">
      <c r="C166">
        <v>147</v>
      </c>
      <c r="D166" s="7">
        <v>2524.5000000000005</v>
      </c>
      <c r="E166" s="7">
        <f t="shared" si="18"/>
        <v>75.493421052631604</v>
      </c>
      <c r="F166" s="7">
        <f t="shared" si="19"/>
        <v>203.85968158482191</v>
      </c>
      <c r="G166" s="7">
        <v>0</v>
      </c>
      <c r="H166" s="7">
        <f t="shared" si="20"/>
        <v>0</v>
      </c>
      <c r="I166" s="7">
        <f t="shared" si="21"/>
        <v>0</v>
      </c>
      <c r="J166" s="7">
        <v>0</v>
      </c>
      <c r="K166" s="7">
        <f t="shared" si="22"/>
        <v>0</v>
      </c>
      <c r="L166" s="7">
        <f t="shared" si="23"/>
        <v>0</v>
      </c>
      <c r="M166" s="7">
        <v>0</v>
      </c>
      <c r="N166" s="7">
        <f t="shared" si="24"/>
        <v>0</v>
      </c>
      <c r="O166" s="7">
        <f t="shared" si="25"/>
        <v>0</v>
      </c>
    </row>
    <row r="167" spans="3:15" x14ac:dyDescent="0.2">
      <c r="C167">
        <v>148</v>
      </c>
      <c r="D167" s="7">
        <v>2673</v>
      </c>
      <c r="E167" s="7">
        <f t="shared" si="18"/>
        <v>79.934210526315795</v>
      </c>
      <c r="F167" s="7">
        <f t="shared" si="19"/>
        <v>215.85142756039966</v>
      </c>
      <c r="G167" s="7">
        <v>0</v>
      </c>
      <c r="H167" s="7">
        <f t="shared" si="20"/>
        <v>0</v>
      </c>
      <c r="I167" s="7">
        <f t="shared" si="21"/>
        <v>0</v>
      </c>
      <c r="J167" s="7">
        <v>0</v>
      </c>
      <c r="K167" s="7">
        <f t="shared" si="22"/>
        <v>0</v>
      </c>
      <c r="L167" s="7">
        <f t="shared" si="23"/>
        <v>0</v>
      </c>
      <c r="M167" s="7">
        <v>0</v>
      </c>
      <c r="N167" s="7">
        <f t="shared" si="24"/>
        <v>0</v>
      </c>
      <c r="O167" s="7">
        <f t="shared" si="25"/>
        <v>0</v>
      </c>
    </row>
    <row r="168" spans="3:15" x14ac:dyDescent="0.2">
      <c r="C168">
        <v>149</v>
      </c>
      <c r="D168" s="7">
        <v>2821.4999999999995</v>
      </c>
      <c r="E168" s="7">
        <f t="shared" si="18"/>
        <v>84.374999999999986</v>
      </c>
      <c r="F168" s="7">
        <f t="shared" si="19"/>
        <v>227.84317353597737</v>
      </c>
      <c r="G168" s="7">
        <v>0</v>
      </c>
      <c r="H168" s="7">
        <f t="shared" si="20"/>
        <v>0</v>
      </c>
      <c r="I168" s="7">
        <f t="shared" si="21"/>
        <v>0</v>
      </c>
      <c r="J168" s="7">
        <v>0</v>
      </c>
      <c r="K168" s="7">
        <f t="shared" si="22"/>
        <v>0</v>
      </c>
      <c r="L168" s="7">
        <f t="shared" si="23"/>
        <v>0</v>
      </c>
      <c r="M168" s="7">
        <v>0</v>
      </c>
      <c r="N168" s="7">
        <f t="shared" si="24"/>
        <v>0</v>
      </c>
      <c r="O168" s="7">
        <f t="shared" si="25"/>
        <v>0</v>
      </c>
    </row>
    <row r="169" spans="3:15" x14ac:dyDescent="0.2">
      <c r="C169">
        <v>150</v>
      </c>
      <c r="D169" s="7">
        <v>2969.9999999999995</v>
      </c>
      <c r="E169" s="7">
        <f t="shared" si="18"/>
        <v>88.815789473684205</v>
      </c>
      <c r="F169" s="7">
        <f t="shared" si="19"/>
        <v>239.83491951155514</v>
      </c>
      <c r="G169" s="7">
        <v>0</v>
      </c>
      <c r="H169" s="7">
        <f t="shared" si="20"/>
        <v>0</v>
      </c>
      <c r="I169" s="7">
        <f t="shared" si="21"/>
        <v>0</v>
      </c>
      <c r="J169" s="7">
        <v>0</v>
      </c>
      <c r="K169" s="7">
        <f t="shared" si="22"/>
        <v>0</v>
      </c>
      <c r="L169" s="7">
        <f t="shared" si="23"/>
        <v>0</v>
      </c>
      <c r="M169" s="7">
        <v>0</v>
      </c>
      <c r="N169" s="7">
        <f t="shared" si="24"/>
        <v>0</v>
      </c>
      <c r="O169" s="7">
        <f t="shared" si="25"/>
        <v>0</v>
      </c>
    </row>
    <row r="170" spans="3:15" x14ac:dyDescent="0.2">
      <c r="C170">
        <v>151</v>
      </c>
      <c r="D170" s="7">
        <v>3118.5</v>
      </c>
      <c r="E170" s="7">
        <f t="shared" si="18"/>
        <v>93.256578947368425</v>
      </c>
      <c r="F170" s="7">
        <f t="shared" si="19"/>
        <v>251.82666548713291</v>
      </c>
      <c r="G170" s="7">
        <v>6251.6887841578591</v>
      </c>
      <c r="H170" s="7">
        <f t="shared" si="20"/>
        <v>149.5619326353555</v>
      </c>
      <c r="I170" s="7">
        <f t="shared" si="21"/>
        <v>325.013293485367</v>
      </c>
      <c r="J170" s="7">
        <v>0</v>
      </c>
      <c r="K170" s="7">
        <f t="shared" si="22"/>
        <v>0</v>
      </c>
      <c r="L170" s="7">
        <f t="shared" si="23"/>
        <v>0</v>
      </c>
      <c r="M170" s="7">
        <v>1070.7735516279899</v>
      </c>
      <c r="N170" s="7">
        <f t="shared" si="24"/>
        <v>85.388640480700957</v>
      </c>
      <c r="O170" s="7">
        <f t="shared" si="25"/>
        <v>32.322587654161076</v>
      </c>
    </row>
    <row r="171" spans="3:15" x14ac:dyDescent="0.2">
      <c r="C171">
        <v>152</v>
      </c>
      <c r="D171" s="7">
        <v>3267</v>
      </c>
      <c r="E171" s="7">
        <f t="shared" si="18"/>
        <v>97.697368421052644</v>
      </c>
      <c r="F171" s="7">
        <f t="shared" si="19"/>
        <v>263.81841146271069</v>
      </c>
      <c r="G171" s="7">
        <v>6252.8938465341935</v>
      </c>
      <c r="H171" s="7">
        <f t="shared" si="20"/>
        <v>149.59076187880848</v>
      </c>
      <c r="I171" s="7">
        <f t="shared" si="21"/>
        <v>325.07594236398364</v>
      </c>
      <c r="J171" s="7">
        <v>0</v>
      </c>
      <c r="K171" s="7">
        <f t="shared" si="22"/>
        <v>0</v>
      </c>
      <c r="L171" s="7">
        <f t="shared" si="23"/>
        <v>0</v>
      </c>
      <c r="M171" s="7">
        <v>1069.5684892516556</v>
      </c>
      <c r="N171" s="7">
        <f t="shared" si="24"/>
        <v>85.292543002524368</v>
      </c>
      <c r="O171" s="7">
        <f t="shared" si="25"/>
        <v>32.286211396801548</v>
      </c>
    </row>
    <row r="172" spans="3:15" x14ac:dyDescent="0.2">
      <c r="C172">
        <v>153</v>
      </c>
      <c r="D172" s="7">
        <v>3415.5</v>
      </c>
      <c r="E172" s="7">
        <f t="shared" si="18"/>
        <v>102.13815789473685</v>
      </c>
      <c r="F172" s="7">
        <f t="shared" si="19"/>
        <v>275.81015743828846</v>
      </c>
      <c r="G172" s="7">
        <v>0</v>
      </c>
      <c r="H172" s="7">
        <f t="shared" si="20"/>
        <v>0</v>
      </c>
      <c r="I172" s="7">
        <f t="shared" si="21"/>
        <v>0</v>
      </c>
      <c r="J172" s="7">
        <v>0</v>
      </c>
      <c r="K172" s="7">
        <f t="shared" si="22"/>
        <v>0</v>
      </c>
      <c r="L172" s="7">
        <f t="shared" si="23"/>
        <v>0</v>
      </c>
      <c r="M172" s="7">
        <v>0</v>
      </c>
      <c r="N172" s="7">
        <f t="shared" si="24"/>
        <v>0</v>
      </c>
      <c r="O172" s="7">
        <f t="shared" si="25"/>
        <v>0</v>
      </c>
    </row>
    <row r="173" spans="3:15" x14ac:dyDescent="0.2">
      <c r="C173">
        <v>154</v>
      </c>
      <c r="D173" s="7">
        <v>3564</v>
      </c>
      <c r="E173" s="7">
        <f t="shared" si="18"/>
        <v>106.57894736842105</v>
      </c>
      <c r="F173" s="7">
        <f t="shared" si="19"/>
        <v>287.80190341386617</v>
      </c>
      <c r="G173" s="7">
        <v>0</v>
      </c>
      <c r="H173" s="7">
        <f t="shared" si="20"/>
        <v>0</v>
      </c>
      <c r="I173" s="7">
        <f t="shared" si="21"/>
        <v>0</v>
      </c>
      <c r="J173" s="7">
        <v>0</v>
      </c>
      <c r="K173" s="7">
        <f t="shared" si="22"/>
        <v>0</v>
      </c>
      <c r="L173" s="7">
        <f t="shared" si="23"/>
        <v>0</v>
      </c>
      <c r="M173" s="7">
        <v>0</v>
      </c>
      <c r="N173" s="7">
        <f t="shared" si="24"/>
        <v>0</v>
      </c>
      <c r="O173" s="7">
        <f t="shared" si="25"/>
        <v>0</v>
      </c>
    </row>
    <row r="174" spans="3:15" x14ac:dyDescent="0.2">
      <c r="C174">
        <v>155</v>
      </c>
      <c r="D174" s="7">
        <v>3712.5000000000005</v>
      </c>
      <c r="E174" s="7">
        <f t="shared" si="18"/>
        <v>111.01973684210529</v>
      </c>
      <c r="F174" s="7">
        <f t="shared" si="19"/>
        <v>299.793649389444</v>
      </c>
      <c r="G174" s="7">
        <v>0</v>
      </c>
      <c r="H174" s="7">
        <f t="shared" si="20"/>
        <v>0</v>
      </c>
      <c r="I174" s="7">
        <f t="shared" si="21"/>
        <v>0</v>
      </c>
      <c r="J174" s="7">
        <v>0</v>
      </c>
      <c r="K174" s="7">
        <f t="shared" si="22"/>
        <v>0</v>
      </c>
      <c r="L174" s="7">
        <f t="shared" si="23"/>
        <v>0</v>
      </c>
      <c r="M174" s="7">
        <v>0</v>
      </c>
      <c r="N174" s="7">
        <f t="shared" si="24"/>
        <v>0</v>
      </c>
      <c r="O174" s="7">
        <f t="shared" si="25"/>
        <v>0</v>
      </c>
    </row>
    <row r="175" spans="3:15" x14ac:dyDescent="0.2">
      <c r="C175">
        <v>156</v>
      </c>
      <c r="D175" s="7">
        <v>3742.1908227744166</v>
      </c>
      <c r="E175" s="7">
        <f t="shared" si="18"/>
        <v>111.90762029827802</v>
      </c>
      <c r="F175" s="7">
        <f t="shared" si="19"/>
        <v>302.19125750066752</v>
      </c>
      <c r="G175" s="7">
        <v>0</v>
      </c>
      <c r="H175" s="7">
        <f t="shared" si="20"/>
        <v>0</v>
      </c>
      <c r="I175" s="7">
        <f t="shared" si="21"/>
        <v>0</v>
      </c>
      <c r="J175" s="7">
        <v>118.80917722558434</v>
      </c>
      <c r="K175" s="7">
        <f t="shared" si="22"/>
        <v>1.8948832093394632</v>
      </c>
      <c r="L175" s="7">
        <f t="shared" si="23"/>
        <v>7.132362353742832</v>
      </c>
      <c r="M175" s="7">
        <v>0</v>
      </c>
      <c r="N175" s="7">
        <f t="shared" si="24"/>
        <v>0</v>
      </c>
      <c r="O175" s="7">
        <f t="shared" si="25"/>
        <v>0</v>
      </c>
    </row>
    <row r="176" spans="3:15" x14ac:dyDescent="0.2">
      <c r="C176">
        <v>157</v>
      </c>
      <c r="D176" s="7">
        <v>3736.0623422459084</v>
      </c>
      <c r="E176" s="7">
        <f t="shared" si="18"/>
        <v>111.72435233988962</v>
      </c>
      <c r="F176" s="7">
        <f t="shared" si="19"/>
        <v>301.69636738811437</v>
      </c>
      <c r="G176" s="7">
        <v>0</v>
      </c>
      <c r="H176" s="7">
        <f t="shared" si="20"/>
        <v>0</v>
      </c>
      <c r="I176" s="7">
        <f t="shared" si="21"/>
        <v>0</v>
      </c>
      <c r="J176" s="7">
        <v>273.43765775409202</v>
      </c>
      <c r="K176" s="7">
        <f t="shared" si="22"/>
        <v>4.3610471731115155</v>
      </c>
      <c r="L176" s="7">
        <f t="shared" si="23"/>
        <v>16.415032085929933</v>
      </c>
      <c r="M176" s="7">
        <v>0</v>
      </c>
      <c r="N176" s="7">
        <f t="shared" si="24"/>
        <v>0</v>
      </c>
      <c r="O176" s="7">
        <f t="shared" si="25"/>
        <v>0</v>
      </c>
    </row>
    <row r="177" spans="3:15" x14ac:dyDescent="0.2">
      <c r="C177">
        <v>158</v>
      </c>
      <c r="D177" s="7">
        <v>3729.9668794727181</v>
      </c>
      <c r="E177" s="7">
        <f t="shared" si="18"/>
        <v>111.54207175456693</v>
      </c>
      <c r="F177" s="7">
        <f t="shared" si="19"/>
        <v>301.20414354178649</v>
      </c>
      <c r="G177" s="7">
        <v>0</v>
      </c>
      <c r="H177" s="7">
        <f t="shared" si="20"/>
        <v>0</v>
      </c>
      <c r="I177" s="7">
        <f t="shared" si="21"/>
        <v>0</v>
      </c>
      <c r="J177" s="7">
        <v>428.03312052728279</v>
      </c>
      <c r="K177" s="7">
        <f t="shared" si="22"/>
        <v>6.8266845379151961</v>
      </c>
      <c r="L177" s="7">
        <f t="shared" si="23"/>
        <v>25.695719693498997</v>
      </c>
      <c r="M177" s="7">
        <v>0</v>
      </c>
      <c r="N177" s="7">
        <f t="shared" si="24"/>
        <v>0</v>
      </c>
      <c r="O177" s="7">
        <f t="shared" si="25"/>
        <v>0</v>
      </c>
    </row>
    <row r="178" spans="3:15" x14ac:dyDescent="0.2">
      <c r="C178">
        <v>159</v>
      </c>
      <c r="D178" s="7">
        <v>3723.9043215991683</v>
      </c>
      <c r="E178" s="7">
        <f t="shared" si="18"/>
        <v>111.36077516743924</v>
      </c>
      <c r="F178" s="7">
        <f t="shared" si="19"/>
        <v>300.71457684830602</v>
      </c>
      <c r="G178" s="7">
        <v>0</v>
      </c>
      <c r="H178" s="7">
        <f t="shared" si="20"/>
        <v>0</v>
      </c>
      <c r="I178" s="7">
        <f t="shared" si="21"/>
        <v>0</v>
      </c>
      <c r="J178" s="7">
        <v>285.59567840083173</v>
      </c>
      <c r="K178" s="7">
        <f t="shared" si="22"/>
        <v>4.5549549984183688</v>
      </c>
      <c r="L178" s="7">
        <f t="shared" si="23"/>
        <v>17.144903386967453</v>
      </c>
      <c r="M178" s="7">
        <v>0</v>
      </c>
      <c r="N178" s="7">
        <f t="shared" si="24"/>
        <v>0</v>
      </c>
      <c r="O178" s="7">
        <f t="shared" si="25"/>
        <v>0</v>
      </c>
    </row>
    <row r="179" spans="3:15" x14ac:dyDescent="0.2">
      <c r="C179">
        <v>160</v>
      </c>
      <c r="D179" s="7">
        <v>3723.8709494384898</v>
      </c>
      <c r="E179" s="7">
        <f t="shared" si="18"/>
        <v>111.3597771961271</v>
      </c>
      <c r="F179" s="7">
        <f t="shared" si="19"/>
        <v>300.71188196296254</v>
      </c>
      <c r="G179" s="7">
        <v>6250.9438124005246</v>
      </c>
      <c r="H179" s="7">
        <f t="shared" si="20"/>
        <v>149.54411034451016</v>
      </c>
      <c r="I179" s="7">
        <f t="shared" si="21"/>
        <v>324.97456383442551</v>
      </c>
      <c r="J179" s="7">
        <v>434.12905056151021</v>
      </c>
      <c r="K179" s="7">
        <f t="shared" si="22"/>
        <v>6.9239083024164314</v>
      </c>
      <c r="L179" s="7">
        <f t="shared" si="23"/>
        <v>26.061671069499365</v>
      </c>
      <c r="M179" s="7">
        <v>1071.5185233853247</v>
      </c>
      <c r="N179" s="7">
        <f t="shared" si="24"/>
        <v>85.44804811685205</v>
      </c>
      <c r="O179" s="7">
        <f t="shared" si="25"/>
        <v>32.345075522758236</v>
      </c>
    </row>
    <row r="180" spans="3:15" x14ac:dyDescent="0.2">
      <c r="C180">
        <v>161</v>
      </c>
      <c r="D180" s="7">
        <v>3731.8788260511888</v>
      </c>
      <c r="E180" s="7">
        <f t="shared" si="18"/>
        <v>111.59924719052599</v>
      </c>
      <c r="F180" s="7">
        <f t="shared" si="19"/>
        <v>301.35853800433125</v>
      </c>
      <c r="G180" s="7">
        <v>6250.9346705996613</v>
      </c>
      <c r="H180" s="7">
        <f t="shared" si="20"/>
        <v>149.54389164114022</v>
      </c>
      <c r="I180" s="7">
        <f t="shared" si="21"/>
        <v>324.97408856975551</v>
      </c>
      <c r="J180" s="7">
        <v>1020.1211739488112</v>
      </c>
      <c r="K180" s="7">
        <f t="shared" si="22"/>
        <v>16.269875182596671</v>
      </c>
      <c r="L180" s="7">
        <f t="shared" si="23"/>
        <v>61.239998687253426</v>
      </c>
      <c r="M180" s="7">
        <v>1071.5276651861882</v>
      </c>
      <c r="N180" s="7">
        <f t="shared" si="24"/>
        <v>85.448777128085183</v>
      </c>
      <c r="O180" s="7">
        <f t="shared" si="25"/>
        <v>32.345351479013679</v>
      </c>
    </row>
    <row r="181" spans="3:15" x14ac:dyDescent="0.2">
      <c r="C181">
        <v>162</v>
      </c>
      <c r="D181" s="7">
        <v>3739.8543710574031</v>
      </c>
      <c r="E181" s="7">
        <f t="shared" si="18"/>
        <v>111.83775033066398</v>
      </c>
      <c r="F181" s="7">
        <f t="shared" si="19"/>
        <v>302.0025831877071</v>
      </c>
      <c r="G181" s="7">
        <v>6250.6100647147487</v>
      </c>
      <c r="H181" s="7">
        <f t="shared" si="20"/>
        <v>149.53612595011361</v>
      </c>
      <c r="I181" s="7">
        <f t="shared" si="21"/>
        <v>324.95721293320639</v>
      </c>
      <c r="J181" s="7">
        <v>863.64562894259689</v>
      </c>
      <c r="K181" s="7">
        <f t="shared" si="22"/>
        <v>13.774252455224831</v>
      </c>
      <c r="L181" s="7">
        <f t="shared" si="23"/>
        <v>51.846445827572587</v>
      </c>
      <c r="M181" s="7">
        <v>1071.8522710711006</v>
      </c>
      <c r="N181" s="7">
        <f t="shared" si="24"/>
        <v>85.474662764840573</v>
      </c>
      <c r="O181" s="7">
        <f t="shared" si="25"/>
        <v>32.355150098107501</v>
      </c>
    </row>
    <row r="182" spans="3:15" x14ac:dyDescent="0.2">
      <c r="C182">
        <v>163</v>
      </c>
      <c r="D182" s="7">
        <v>3747.7974995061463</v>
      </c>
      <c r="E182" s="7">
        <f t="shared" si="18"/>
        <v>112.07528407614075</v>
      </c>
      <c r="F182" s="7">
        <f t="shared" si="19"/>
        <v>302.64401065308562</v>
      </c>
      <c r="G182" s="7">
        <v>6250.1705771734514</v>
      </c>
      <c r="H182" s="7">
        <f t="shared" si="20"/>
        <v>149.52561189410173</v>
      </c>
      <c r="I182" s="7">
        <f t="shared" si="21"/>
        <v>324.93436481997259</v>
      </c>
      <c r="J182" s="7">
        <v>1152.7025004938528</v>
      </c>
      <c r="K182" s="7">
        <f t="shared" si="22"/>
        <v>18.384409896233699</v>
      </c>
      <c r="L182" s="7">
        <f t="shared" si="23"/>
        <v>69.199131848016634</v>
      </c>
      <c r="M182" s="7">
        <v>1072.2917586123979</v>
      </c>
      <c r="N182" s="7">
        <f t="shared" si="24"/>
        <v>85.509709618213549</v>
      </c>
      <c r="O182" s="7">
        <f t="shared" si="25"/>
        <v>32.368416558186659</v>
      </c>
    </row>
    <row r="183" spans="3:15" x14ac:dyDescent="0.2">
      <c r="C183">
        <v>164</v>
      </c>
      <c r="D183" s="7">
        <v>3755.7079173433635</v>
      </c>
      <c r="E183" s="7">
        <f t="shared" si="18"/>
        <v>112.3118396334738</v>
      </c>
      <c r="F183" s="7">
        <f t="shared" si="19"/>
        <v>303.28279665486735</v>
      </c>
      <c r="G183" s="7">
        <v>6249.7367521989372</v>
      </c>
      <c r="H183" s="7">
        <f t="shared" si="20"/>
        <v>149.51523330619469</v>
      </c>
      <c r="I183" s="7">
        <f t="shared" si="21"/>
        <v>324.91181109271082</v>
      </c>
      <c r="J183" s="7">
        <v>818.09208265663665</v>
      </c>
      <c r="K183" s="7">
        <f t="shared" si="22"/>
        <v>13.047720616533281</v>
      </c>
      <c r="L183" s="7">
        <f t="shared" si="23"/>
        <v>49.111771569265386</v>
      </c>
      <c r="M183" s="7">
        <v>1072.7255835869119</v>
      </c>
      <c r="N183" s="7">
        <f t="shared" si="24"/>
        <v>85.544304911236992</v>
      </c>
      <c r="O183" s="7">
        <f t="shared" si="25"/>
        <v>32.381512086876143</v>
      </c>
    </row>
    <row r="184" spans="3:15" x14ac:dyDescent="0.2">
      <c r="C184">
        <v>165</v>
      </c>
      <c r="D184" s="7">
        <v>3763.0570614987205</v>
      </c>
      <c r="E184" s="7">
        <f t="shared" si="18"/>
        <v>112.53161069075122</v>
      </c>
      <c r="F184" s="7">
        <f t="shared" si="19"/>
        <v>303.8762584046919</v>
      </c>
      <c r="G184" s="7">
        <v>6249.7290768747607</v>
      </c>
      <c r="H184" s="7">
        <f t="shared" si="20"/>
        <v>149.51504968599906</v>
      </c>
      <c r="I184" s="7">
        <f t="shared" si="21"/>
        <v>324.91141206734738</v>
      </c>
      <c r="J184" s="7">
        <v>484.04293850127988</v>
      </c>
      <c r="K184" s="7">
        <f t="shared" si="22"/>
        <v>7.7199830701958518</v>
      </c>
      <c r="L184" s="7">
        <f t="shared" si="23"/>
        <v>29.058105718605663</v>
      </c>
      <c r="M184" s="7">
        <v>1072.7332589110886</v>
      </c>
      <c r="N184" s="7">
        <f t="shared" si="24"/>
        <v>85.544916978555719</v>
      </c>
      <c r="O184" s="7">
        <f t="shared" si="25"/>
        <v>32.381743775768818</v>
      </c>
    </row>
    <row r="185" spans="3:15" x14ac:dyDescent="0.2">
      <c r="C185">
        <v>166</v>
      </c>
      <c r="D185" s="7">
        <v>3768.2610720666689</v>
      </c>
      <c r="E185" s="7">
        <f t="shared" si="18"/>
        <v>112.68723301634776</v>
      </c>
      <c r="F185" s="7">
        <f t="shared" si="19"/>
        <v>304.29649525846332</v>
      </c>
      <c r="G185" s="7">
        <v>6250.1445118788879</v>
      </c>
      <c r="H185" s="7">
        <f t="shared" si="20"/>
        <v>149.52498832246144</v>
      </c>
      <c r="I185" s="7">
        <f t="shared" si="21"/>
        <v>324.93300973536674</v>
      </c>
      <c r="J185" s="7">
        <v>152.13892793333071</v>
      </c>
      <c r="K185" s="7">
        <f t="shared" si="22"/>
        <v>2.4264581807548757</v>
      </c>
      <c r="L185" s="7">
        <f t="shared" si="23"/>
        <v>9.1332167048861148</v>
      </c>
      <c r="M185" s="7">
        <v>1072.3178239069614</v>
      </c>
      <c r="N185" s="7">
        <f t="shared" si="24"/>
        <v>85.511788190347801</v>
      </c>
      <c r="O185" s="7">
        <f t="shared" si="25"/>
        <v>32.369203370456141</v>
      </c>
    </row>
    <row r="186" spans="3:15" x14ac:dyDescent="0.2">
      <c r="C186">
        <v>167</v>
      </c>
      <c r="D186" s="7">
        <v>3593.7</v>
      </c>
      <c r="E186" s="7">
        <f t="shared" si="18"/>
        <v>107.46710526315789</v>
      </c>
      <c r="F186" s="7">
        <f t="shared" si="19"/>
        <v>290.20025260898171</v>
      </c>
      <c r="G186" s="7">
        <v>0</v>
      </c>
      <c r="H186" s="7">
        <f t="shared" si="20"/>
        <v>0</v>
      </c>
      <c r="I186" s="7">
        <f t="shared" si="21"/>
        <v>0</v>
      </c>
      <c r="J186" s="7">
        <v>0</v>
      </c>
      <c r="K186" s="7">
        <f t="shared" si="22"/>
        <v>0</v>
      </c>
      <c r="L186" s="7">
        <f t="shared" si="23"/>
        <v>0</v>
      </c>
      <c r="M186" s="7">
        <v>0</v>
      </c>
      <c r="N186" s="7">
        <f t="shared" si="24"/>
        <v>0</v>
      </c>
      <c r="O186" s="7">
        <f t="shared" si="25"/>
        <v>0</v>
      </c>
    </row>
    <row r="187" spans="3:15" x14ac:dyDescent="0.2">
      <c r="C187">
        <v>168</v>
      </c>
      <c r="D187" s="7">
        <v>3267</v>
      </c>
      <c r="E187" s="7">
        <f t="shared" si="18"/>
        <v>97.697368421052644</v>
      </c>
      <c r="F187" s="7">
        <f t="shared" si="19"/>
        <v>263.81841146271069</v>
      </c>
      <c r="G187" s="7">
        <v>0</v>
      </c>
      <c r="H187" s="7">
        <f t="shared" si="20"/>
        <v>0</v>
      </c>
      <c r="I187" s="7">
        <f t="shared" si="21"/>
        <v>0</v>
      </c>
      <c r="J187" s="7">
        <v>0</v>
      </c>
      <c r="K187" s="7">
        <f t="shared" si="22"/>
        <v>0</v>
      </c>
      <c r="L187" s="7">
        <f t="shared" si="23"/>
        <v>0</v>
      </c>
      <c r="M187" s="7">
        <v>0</v>
      </c>
      <c r="N187" s="7">
        <f t="shared" si="24"/>
        <v>0</v>
      </c>
      <c r="O187" s="7">
        <f t="shared" si="25"/>
        <v>0</v>
      </c>
    </row>
    <row r="188" spans="3:15" x14ac:dyDescent="0.2">
      <c r="C188">
        <v>169</v>
      </c>
      <c r="D188" s="7">
        <v>2524.5</v>
      </c>
      <c r="E188" s="7">
        <f t="shared" si="18"/>
        <v>75.493421052631589</v>
      </c>
      <c r="F188" s="7">
        <f t="shared" si="19"/>
        <v>203.85968158482189</v>
      </c>
      <c r="G188" s="7">
        <v>0</v>
      </c>
      <c r="H188" s="7">
        <f t="shared" si="20"/>
        <v>0</v>
      </c>
      <c r="I188" s="7">
        <f t="shared" si="21"/>
        <v>0</v>
      </c>
      <c r="J188" s="7">
        <v>0</v>
      </c>
      <c r="K188" s="7">
        <f t="shared" si="22"/>
        <v>0</v>
      </c>
      <c r="L188" s="7">
        <f t="shared" si="23"/>
        <v>0</v>
      </c>
      <c r="M188" s="7">
        <v>0</v>
      </c>
      <c r="N188" s="7">
        <f t="shared" si="24"/>
        <v>0</v>
      </c>
      <c r="O188" s="7">
        <f t="shared" si="25"/>
        <v>0</v>
      </c>
    </row>
    <row r="189" spans="3:15" x14ac:dyDescent="0.2">
      <c r="C189">
        <v>170</v>
      </c>
      <c r="D189" s="7">
        <v>2376</v>
      </c>
      <c r="E189" s="7">
        <f t="shared" si="18"/>
        <v>71.05263157894737</v>
      </c>
      <c r="F189" s="7">
        <f t="shared" si="19"/>
        <v>191.86793560924414</v>
      </c>
      <c r="G189" s="7">
        <v>0</v>
      </c>
      <c r="H189" s="7">
        <f t="shared" si="20"/>
        <v>0</v>
      </c>
      <c r="I189" s="7">
        <f t="shared" si="21"/>
        <v>0</v>
      </c>
      <c r="J189" s="7">
        <v>0</v>
      </c>
      <c r="K189" s="7">
        <f t="shared" si="22"/>
        <v>0</v>
      </c>
      <c r="L189" s="7">
        <f t="shared" si="23"/>
        <v>0</v>
      </c>
      <c r="M189" s="7">
        <v>0</v>
      </c>
      <c r="N189" s="7">
        <f t="shared" si="24"/>
        <v>0</v>
      </c>
      <c r="O189" s="7">
        <f t="shared" si="25"/>
        <v>0</v>
      </c>
    </row>
    <row r="190" spans="3:15" x14ac:dyDescent="0.2">
      <c r="C190">
        <v>171</v>
      </c>
      <c r="D190" s="7">
        <v>2524.5</v>
      </c>
      <c r="E190" s="7">
        <f t="shared" si="18"/>
        <v>75.493421052631589</v>
      </c>
      <c r="F190" s="7">
        <f t="shared" si="19"/>
        <v>203.85968158482189</v>
      </c>
      <c r="G190" s="7">
        <v>0</v>
      </c>
      <c r="H190" s="7">
        <f t="shared" si="20"/>
        <v>0</v>
      </c>
      <c r="I190" s="7">
        <f t="shared" si="21"/>
        <v>0</v>
      </c>
      <c r="J190" s="7">
        <v>0</v>
      </c>
      <c r="K190" s="7">
        <f t="shared" si="22"/>
        <v>0</v>
      </c>
      <c r="L190" s="7">
        <f t="shared" si="23"/>
        <v>0</v>
      </c>
      <c r="M190" s="7">
        <v>0</v>
      </c>
      <c r="N190" s="7">
        <f t="shared" si="24"/>
        <v>0</v>
      </c>
      <c r="O190" s="7">
        <f t="shared" si="25"/>
        <v>0</v>
      </c>
    </row>
    <row r="191" spans="3:15" x14ac:dyDescent="0.2">
      <c r="C191">
        <v>172</v>
      </c>
      <c r="D191" s="7">
        <v>2673</v>
      </c>
      <c r="E191" s="7">
        <f t="shared" si="18"/>
        <v>79.934210526315795</v>
      </c>
      <c r="F191" s="7">
        <f t="shared" si="19"/>
        <v>215.85142756039966</v>
      </c>
      <c r="G191" s="7">
        <v>0</v>
      </c>
      <c r="H191" s="7">
        <f t="shared" si="20"/>
        <v>0</v>
      </c>
      <c r="I191" s="7">
        <f t="shared" si="21"/>
        <v>0</v>
      </c>
      <c r="J191" s="7">
        <v>0</v>
      </c>
      <c r="K191" s="7">
        <f t="shared" si="22"/>
        <v>0</v>
      </c>
      <c r="L191" s="7">
        <f t="shared" si="23"/>
        <v>0</v>
      </c>
      <c r="M191" s="7">
        <v>0</v>
      </c>
      <c r="N191" s="7">
        <f t="shared" si="24"/>
        <v>0</v>
      </c>
      <c r="O191" s="7">
        <f t="shared" si="25"/>
        <v>0</v>
      </c>
    </row>
    <row r="192" spans="3:15" x14ac:dyDescent="0.2">
      <c r="C192">
        <v>173</v>
      </c>
      <c r="D192" s="7">
        <v>3044.2499999999995</v>
      </c>
      <c r="E192" s="7">
        <f t="shared" si="18"/>
        <v>91.036184210526315</v>
      </c>
      <c r="F192" s="7">
        <f t="shared" si="19"/>
        <v>245.830792499344</v>
      </c>
      <c r="G192" s="7">
        <v>0</v>
      </c>
      <c r="H192" s="7">
        <f t="shared" si="20"/>
        <v>0</v>
      </c>
      <c r="I192" s="7">
        <f t="shared" si="21"/>
        <v>0</v>
      </c>
      <c r="J192" s="7">
        <v>0</v>
      </c>
      <c r="K192" s="7">
        <f t="shared" si="22"/>
        <v>0</v>
      </c>
      <c r="L192" s="7">
        <f t="shared" si="23"/>
        <v>0</v>
      </c>
      <c r="M192" s="7">
        <v>0</v>
      </c>
      <c r="N192" s="7">
        <f t="shared" si="24"/>
        <v>0</v>
      </c>
      <c r="O192" s="7">
        <f t="shared" si="25"/>
        <v>0</v>
      </c>
    </row>
    <row r="193" spans="3:15" x14ac:dyDescent="0.2">
      <c r="C193">
        <v>174</v>
      </c>
      <c r="D193" s="7">
        <v>3266.9999999999995</v>
      </c>
      <c r="E193" s="7">
        <f t="shared" si="18"/>
        <v>97.69736842105263</v>
      </c>
      <c r="F193" s="7">
        <f t="shared" si="19"/>
        <v>263.81841146271063</v>
      </c>
      <c r="G193" s="7">
        <v>0</v>
      </c>
      <c r="H193" s="7">
        <f t="shared" si="20"/>
        <v>0</v>
      </c>
      <c r="I193" s="7">
        <f t="shared" si="21"/>
        <v>0</v>
      </c>
      <c r="J193" s="7">
        <v>0</v>
      </c>
      <c r="K193" s="7">
        <f t="shared" si="22"/>
        <v>0</v>
      </c>
      <c r="L193" s="7">
        <f t="shared" si="23"/>
        <v>0</v>
      </c>
      <c r="M193" s="7">
        <v>0</v>
      </c>
      <c r="N193" s="7">
        <f t="shared" si="24"/>
        <v>0</v>
      </c>
      <c r="O193" s="7">
        <f t="shared" si="25"/>
        <v>0</v>
      </c>
    </row>
    <row r="194" spans="3:15" x14ac:dyDescent="0.2">
      <c r="C194">
        <v>175</v>
      </c>
      <c r="D194" s="7">
        <v>3489.7499999999995</v>
      </c>
      <c r="E194" s="7">
        <f t="shared" si="18"/>
        <v>104.35855263157895</v>
      </c>
      <c r="F194" s="7">
        <f t="shared" si="19"/>
        <v>281.80603042607726</v>
      </c>
      <c r="G194" s="7">
        <v>6246.1972403438876</v>
      </c>
      <c r="H194" s="7">
        <f t="shared" si="20"/>
        <v>149.43055598908822</v>
      </c>
      <c r="I194" s="7">
        <f t="shared" si="21"/>
        <v>324.72779866901897</v>
      </c>
      <c r="J194" s="7">
        <v>0</v>
      </c>
      <c r="K194" s="7">
        <f t="shared" si="22"/>
        <v>0</v>
      </c>
      <c r="L194" s="7">
        <f t="shared" si="23"/>
        <v>0</v>
      </c>
      <c r="M194" s="7">
        <v>1076.2650954419616</v>
      </c>
      <c r="N194" s="7">
        <f t="shared" si="24"/>
        <v>85.826562634925182</v>
      </c>
      <c r="O194" s="7">
        <f t="shared" si="25"/>
        <v>32.488356509783166</v>
      </c>
    </row>
    <row r="195" spans="3:15" x14ac:dyDescent="0.2">
      <c r="C195">
        <v>176</v>
      </c>
      <c r="D195" s="7">
        <v>3712.4999999999991</v>
      </c>
      <c r="E195" s="7">
        <f t="shared" si="18"/>
        <v>111.01973684210525</v>
      </c>
      <c r="F195" s="7">
        <f t="shared" si="19"/>
        <v>299.79364938944389</v>
      </c>
      <c r="G195" s="7">
        <v>6246.7904367778956</v>
      </c>
      <c r="H195" s="7">
        <f t="shared" si="20"/>
        <v>149.44474729133722</v>
      </c>
      <c r="I195" s="7">
        <f t="shared" si="21"/>
        <v>324.75863781238598</v>
      </c>
      <c r="J195" s="7">
        <v>0</v>
      </c>
      <c r="K195" s="7">
        <f t="shared" si="22"/>
        <v>0</v>
      </c>
      <c r="L195" s="7">
        <f t="shared" si="23"/>
        <v>0</v>
      </c>
      <c r="M195" s="7">
        <v>1075.6718990079537</v>
      </c>
      <c r="N195" s="7">
        <f t="shared" si="24"/>
        <v>85.7792582940952</v>
      </c>
      <c r="O195" s="7">
        <f t="shared" si="25"/>
        <v>32.470450161886163</v>
      </c>
    </row>
    <row r="196" spans="3:15" x14ac:dyDescent="0.2">
      <c r="C196">
        <v>177</v>
      </c>
      <c r="D196" s="7">
        <v>3726.0636595304009</v>
      </c>
      <c r="E196" s="7">
        <f t="shared" si="18"/>
        <v>111.42534867016749</v>
      </c>
      <c r="F196" s="7">
        <f t="shared" si="19"/>
        <v>300.88894878060756</v>
      </c>
      <c r="G196" s="7">
        <v>0</v>
      </c>
      <c r="H196" s="7">
        <f t="shared" si="20"/>
        <v>0</v>
      </c>
      <c r="I196" s="7">
        <f t="shared" si="21"/>
        <v>0</v>
      </c>
      <c r="J196" s="7">
        <v>209.18634046959824</v>
      </c>
      <c r="K196" s="7">
        <f t="shared" si="22"/>
        <v>3.3363052706474998</v>
      </c>
      <c r="L196" s="7">
        <f t="shared" si="23"/>
        <v>12.557891692572952</v>
      </c>
      <c r="M196" s="7">
        <v>0</v>
      </c>
      <c r="N196" s="7">
        <f t="shared" si="24"/>
        <v>0</v>
      </c>
      <c r="O196" s="7">
        <f t="shared" si="25"/>
        <v>0</v>
      </c>
    </row>
    <row r="197" spans="3:15" x14ac:dyDescent="0.2">
      <c r="C197">
        <v>178</v>
      </c>
      <c r="D197" s="7">
        <v>3719.1610427236305</v>
      </c>
      <c r="E197" s="7">
        <f t="shared" si="18"/>
        <v>111.21893070345786</v>
      </c>
      <c r="F197" s="7">
        <f t="shared" si="19"/>
        <v>300.33154522967459</v>
      </c>
      <c r="G197" s="7">
        <v>0</v>
      </c>
      <c r="H197" s="7">
        <f t="shared" si="20"/>
        <v>0</v>
      </c>
      <c r="I197" s="7">
        <f t="shared" si="21"/>
        <v>0</v>
      </c>
      <c r="J197" s="7">
        <v>438.83895727636764</v>
      </c>
      <c r="K197" s="7">
        <f t="shared" si="22"/>
        <v>6.9990264318399946</v>
      </c>
      <c r="L197" s="7">
        <f t="shared" si="23"/>
        <v>26.344416578955315</v>
      </c>
      <c r="M197" s="7">
        <v>0</v>
      </c>
      <c r="N197" s="7">
        <f t="shared" si="24"/>
        <v>0</v>
      </c>
      <c r="O197" s="7">
        <f t="shared" si="25"/>
        <v>0</v>
      </c>
    </row>
    <row r="198" spans="3:15" x14ac:dyDescent="0.2">
      <c r="C198">
        <v>179</v>
      </c>
      <c r="D198" s="7">
        <v>3712.2927220376459</v>
      </c>
      <c r="E198" s="7">
        <f t="shared" si="18"/>
        <v>111.01353833844635</v>
      </c>
      <c r="F198" s="7">
        <f t="shared" si="19"/>
        <v>299.77691117617201</v>
      </c>
      <c r="G198" s="7">
        <v>0</v>
      </c>
      <c r="H198" s="7">
        <f t="shared" si="20"/>
        <v>0</v>
      </c>
      <c r="I198" s="7">
        <f t="shared" si="21"/>
        <v>0</v>
      </c>
      <c r="J198" s="7">
        <v>668.45727796235224</v>
      </c>
      <c r="K198" s="7">
        <f t="shared" si="22"/>
        <v>10.661200605460165</v>
      </c>
      <c r="L198" s="7">
        <f t="shared" si="23"/>
        <v>40.128882597778137</v>
      </c>
      <c r="M198" s="7">
        <v>0</v>
      </c>
      <c r="N198" s="7">
        <f t="shared" si="24"/>
        <v>0</v>
      </c>
      <c r="O198" s="7">
        <f t="shared" si="25"/>
        <v>0</v>
      </c>
    </row>
    <row r="199" spans="3:15" x14ac:dyDescent="0.2">
      <c r="C199">
        <v>180</v>
      </c>
      <c r="D199" s="7">
        <v>3705.4585836404772</v>
      </c>
      <c r="E199" s="7">
        <f t="shared" si="18"/>
        <v>110.80916817106691</v>
      </c>
      <c r="F199" s="7">
        <f t="shared" si="19"/>
        <v>299.22503742788388</v>
      </c>
      <c r="G199" s="7">
        <v>0</v>
      </c>
      <c r="H199" s="7">
        <f t="shared" si="20"/>
        <v>0</v>
      </c>
      <c r="I199" s="7">
        <f t="shared" si="21"/>
        <v>0</v>
      </c>
      <c r="J199" s="7">
        <v>898.04141635952101</v>
      </c>
      <c r="K199" s="7">
        <f t="shared" si="22"/>
        <v>14.322829607009906</v>
      </c>
      <c r="L199" s="7">
        <f t="shared" si="23"/>
        <v>53.911296582611598</v>
      </c>
      <c r="M199" s="7">
        <v>0</v>
      </c>
      <c r="N199" s="7">
        <f t="shared" si="24"/>
        <v>0</v>
      </c>
      <c r="O199" s="7">
        <f t="shared" si="25"/>
        <v>0</v>
      </c>
    </row>
    <row r="200" spans="3:15" x14ac:dyDescent="0.2">
      <c r="C200">
        <v>181</v>
      </c>
      <c r="D200" s="7">
        <v>3698.6585140060124</v>
      </c>
      <c r="E200" s="7">
        <f t="shared" si="18"/>
        <v>110.6058168063999</v>
      </c>
      <c r="F200" s="7">
        <f t="shared" si="19"/>
        <v>298.67591481729301</v>
      </c>
      <c r="G200" s="7">
        <v>0</v>
      </c>
      <c r="H200" s="7">
        <f t="shared" si="20"/>
        <v>0</v>
      </c>
      <c r="I200" s="7">
        <f t="shared" si="21"/>
        <v>0</v>
      </c>
      <c r="J200" s="7">
        <v>1127.5914859939876</v>
      </c>
      <c r="K200" s="7">
        <f t="shared" si="22"/>
        <v>17.983915247113043</v>
      </c>
      <c r="L200" s="7">
        <f t="shared" si="23"/>
        <v>67.691665348664756</v>
      </c>
      <c r="M200" s="7">
        <v>0</v>
      </c>
      <c r="N200" s="7">
        <f t="shared" si="24"/>
        <v>0</v>
      </c>
      <c r="O200" s="7">
        <f t="shared" si="25"/>
        <v>0</v>
      </c>
    </row>
    <row r="201" spans="3:15" x14ac:dyDescent="0.2">
      <c r="C201">
        <v>182</v>
      </c>
      <c r="D201" s="7">
        <v>3691.8923999133144</v>
      </c>
      <c r="E201" s="7">
        <f t="shared" si="18"/>
        <v>110.40348085865176</v>
      </c>
      <c r="F201" s="7">
        <f t="shared" si="19"/>
        <v>298.12953420152593</v>
      </c>
      <c r="G201" s="7">
        <v>0</v>
      </c>
      <c r="H201" s="7">
        <f t="shared" si="20"/>
        <v>0</v>
      </c>
      <c r="I201" s="7">
        <f t="shared" si="21"/>
        <v>0</v>
      </c>
      <c r="J201" s="7">
        <v>1357.1076000866856</v>
      </c>
      <c r="K201" s="7">
        <f t="shared" si="22"/>
        <v>21.644459331526086</v>
      </c>
      <c r="L201" s="7">
        <f t="shared" si="23"/>
        <v>81.469995692826018</v>
      </c>
      <c r="M201" s="7">
        <v>0</v>
      </c>
      <c r="N201" s="7">
        <f t="shared" si="24"/>
        <v>0</v>
      </c>
      <c r="O201" s="7">
        <f t="shared" si="25"/>
        <v>0</v>
      </c>
    </row>
    <row r="202" spans="3:15" x14ac:dyDescent="0.2">
      <c r="C202">
        <v>183</v>
      </c>
      <c r="D202" s="7">
        <v>3685.1601284459271</v>
      </c>
      <c r="E202" s="7">
        <f t="shared" si="18"/>
        <v>110.20215695113419</v>
      </c>
      <c r="F202" s="7">
        <f t="shared" si="19"/>
        <v>297.58588646229668</v>
      </c>
      <c r="G202" s="7">
        <v>0</v>
      </c>
      <c r="H202" s="7">
        <f t="shared" si="20"/>
        <v>0</v>
      </c>
      <c r="I202" s="7">
        <f t="shared" si="21"/>
        <v>0</v>
      </c>
      <c r="J202" s="7">
        <v>1215.339871554072</v>
      </c>
      <c r="K202" s="7">
        <f t="shared" si="22"/>
        <v>19.383411029570528</v>
      </c>
      <c r="L202" s="7">
        <f t="shared" si="23"/>
        <v>72.95938368815078</v>
      </c>
      <c r="M202" s="7">
        <v>0</v>
      </c>
      <c r="N202" s="7">
        <f t="shared" si="24"/>
        <v>0</v>
      </c>
      <c r="O202" s="7">
        <f t="shared" si="25"/>
        <v>0</v>
      </c>
    </row>
    <row r="203" spans="3:15" x14ac:dyDescent="0.2">
      <c r="C203">
        <v>184</v>
      </c>
      <c r="D203" s="7">
        <v>3684.4250010681958</v>
      </c>
      <c r="E203" s="7">
        <f t="shared" si="18"/>
        <v>110.18017347691973</v>
      </c>
      <c r="F203" s="7">
        <f t="shared" si="19"/>
        <v>297.52652309008494</v>
      </c>
      <c r="G203" s="7">
        <v>6232.7851615392383</v>
      </c>
      <c r="H203" s="7">
        <f t="shared" si="20"/>
        <v>149.10969285979041</v>
      </c>
      <c r="I203" s="7">
        <f t="shared" si="21"/>
        <v>324.03053044993703</v>
      </c>
      <c r="J203" s="7">
        <v>1414.0749989318042</v>
      </c>
      <c r="K203" s="7">
        <f t="shared" si="22"/>
        <v>22.553030285993689</v>
      </c>
      <c r="L203" s="7">
        <f t="shared" si="23"/>
        <v>84.889867291987983</v>
      </c>
      <c r="M203" s="7">
        <v>1089.6771742466108</v>
      </c>
      <c r="N203" s="7">
        <f t="shared" si="24"/>
        <v>86.896106399251266</v>
      </c>
      <c r="O203" s="7">
        <f t="shared" si="25"/>
        <v>32.893216241449757</v>
      </c>
    </row>
    <row r="204" spans="3:15" x14ac:dyDescent="0.2">
      <c r="C204">
        <v>185</v>
      </c>
      <c r="D204" s="7">
        <v>3691.7222360878345</v>
      </c>
      <c r="E204" s="7">
        <f t="shared" si="18"/>
        <v>110.39839222750702</v>
      </c>
      <c r="F204" s="7">
        <f t="shared" si="19"/>
        <v>298.11579304752331</v>
      </c>
      <c r="G204" s="7">
        <v>6230.8034440781139</v>
      </c>
      <c r="H204" s="7">
        <f t="shared" si="20"/>
        <v>149.06228335115105</v>
      </c>
      <c r="I204" s="7">
        <f t="shared" si="21"/>
        <v>323.92750476503255</v>
      </c>
      <c r="J204" s="7">
        <v>2099.7777639121655</v>
      </c>
      <c r="K204" s="7">
        <f t="shared" si="22"/>
        <v>33.489278531294509</v>
      </c>
      <c r="L204" s="7">
        <f t="shared" si="23"/>
        <v>126.05403239278075</v>
      </c>
      <c r="M204" s="7">
        <v>1091.6588917077354</v>
      </c>
      <c r="N204" s="7">
        <f t="shared" si="24"/>
        <v>87.054138094715753</v>
      </c>
      <c r="O204" s="7">
        <f t="shared" si="25"/>
        <v>32.953036766756519</v>
      </c>
    </row>
    <row r="205" spans="3:15" x14ac:dyDescent="0.2">
      <c r="C205">
        <v>186</v>
      </c>
      <c r="D205" s="7">
        <v>3698.9837499180571</v>
      </c>
      <c r="E205" s="7">
        <f t="shared" si="18"/>
        <v>110.61554276070746</v>
      </c>
      <c r="F205" s="7">
        <f t="shared" si="19"/>
        <v>298.70217842967935</v>
      </c>
      <c r="G205" s="7">
        <v>6228.4433620318596</v>
      </c>
      <c r="H205" s="7">
        <f t="shared" si="20"/>
        <v>149.00582205817847</v>
      </c>
      <c r="I205" s="7">
        <f t="shared" si="21"/>
        <v>323.80480863199847</v>
      </c>
      <c r="J205" s="7">
        <v>1944.016250081942</v>
      </c>
      <c r="K205" s="7">
        <f t="shared" si="22"/>
        <v>31.005043860956015</v>
      </c>
      <c r="L205" s="7">
        <f t="shared" si="23"/>
        <v>116.70334431171348</v>
      </c>
      <c r="M205" s="7">
        <v>1094.0189737539899</v>
      </c>
      <c r="N205" s="7">
        <f t="shared" si="24"/>
        <v>87.242342404624409</v>
      </c>
      <c r="O205" s="7">
        <f t="shared" si="25"/>
        <v>33.024278682187749</v>
      </c>
    </row>
    <row r="206" spans="3:15" x14ac:dyDescent="0.2">
      <c r="C206">
        <v>187</v>
      </c>
      <c r="D206" s="7">
        <v>3706.2094367786185</v>
      </c>
      <c r="E206" s="7">
        <f t="shared" si="18"/>
        <v>110.83162191323621</v>
      </c>
      <c r="F206" s="7">
        <f t="shared" si="19"/>
        <v>299.28567069453408</v>
      </c>
      <c r="G206" s="7">
        <v>6225.9725317971897</v>
      </c>
      <c r="H206" s="7">
        <f t="shared" si="20"/>
        <v>148.94671128701412</v>
      </c>
      <c r="I206" s="7">
        <f t="shared" si="21"/>
        <v>323.67635491334119</v>
      </c>
      <c r="J206" s="7">
        <v>2233.7905632213806</v>
      </c>
      <c r="K206" s="7">
        <f t="shared" si="22"/>
        <v>35.626643751537173</v>
      </c>
      <c r="L206" s="7">
        <f t="shared" si="23"/>
        <v>134.09909984491784</v>
      </c>
      <c r="M206" s="7">
        <v>1096.4898039886596</v>
      </c>
      <c r="N206" s="7">
        <f t="shared" si="24"/>
        <v>87.439378308505553</v>
      </c>
      <c r="O206" s="7">
        <f t="shared" si="25"/>
        <v>33.098863664901636</v>
      </c>
    </row>
    <row r="207" spans="3:15" x14ac:dyDescent="0.2">
      <c r="C207">
        <v>188</v>
      </c>
      <c r="D207" s="7">
        <v>3713.3990172496251</v>
      </c>
      <c r="E207" s="7">
        <f t="shared" si="18"/>
        <v>111.04662132923521</v>
      </c>
      <c r="F207" s="7">
        <f t="shared" si="19"/>
        <v>299.86624727823295</v>
      </c>
      <c r="G207" s="7">
        <v>6223.49163556239</v>
      </c>
      <c r="H207" s="7">
        <f t="shared" si="20"/>
        <v>148.88735970244954</v>
      </c>
      <c r="I207" s="7">
        <f t="shared" si="21"/>
        <v>323.54737788266891</v>
      </c>
      <c r="J207" s="7">
        <v>1929.600982750374</v>
      </c>
      <c r="K207" s="7">
        <f t="shared" si="22"/>
        <v>30.775135291074548</v>
      </c>
      <c r="L207" s="7">
        <f t="shared" si="23"/>
        <v>115.83796579099871</v>
      </c>
      <c r="M207" s="7">
        <v>1098.9707002234591</v>
      </c>
      <c r="N207" s="7">
        <f t="shared" si="24"/>
        <v>87.637216923720828</v>
      </c>
      <c r="O207" s="7">
        <f t="shared" si="25"/>
        <v>33.173752501937507</v>
      </c>
    </row>
    <row r="208" spans="3:15" x14ac:dyDescent="0.2">
      <c r="C208">
        <v>189</v>
      </c>
      <c r="D208" s="7">
        <v>3720.5528137888577</v>
      </c>
      <c r="E208" s="7">
        <f t="shared" si="18"/>
        <v>111.26055065158069</v>
      </c>
      <c r="F208" s="7">
        <f t="shared" si="19"/>
        <v>300.44393422004742</v>
      </c>
      <c r="G208" s="7">
        <v>6220.9004794302364</v>
      </c>
      <c r="H208" s="7">
        <f t="shared" si="20"/>
        <v>148.82537032129753</v>
      </c>
      <c r="I208" s="7">
        <f t="shared" si="21"/>
        <v>323.41266865168791</v>
      </c>
      <c r="J208" s="7">
        <v>2367.9471862111413</v>
      </c>
      <c r="K208" s="7">
        <f t="shared" si="22"/>
        <v>37.766302810385035</v>
      </c>
      <c r="L208" s="7">
        <f t="shared" si="23"/>
        <v>142.15280133214097</v>
      </c>
      <c r="M208" s="7">
        <v>1101.5618563556127</v>
      </c>
      <c r="N208" s="7">
        <f t="shared" si="24"/>
        <v>87.84384819422749</v>
      </c>
      <c r="O208" s="7">
        <f t="shared" si="25"/>
        <v>33.251969666603003</v>
      </c>
    </row>
    <row r="209" spans="3:15" x14ac:dyDescent="0.2">
      <c r="C209">
        <v>190</v>
      </c>
      <c r="D209" s="7">
        <v>3728.11151145445</v>
      </c>
      <c r="E209" s="7">
        <f t="shared" si="18"/>
        <v>111.48658826119768</v>
      </c>
      <c r="F209" s="7">
        <f t="shared" si="19"/>
        <v>301.05431793931996</v>
      </c>
      <c r="G209" s="7">
        <v>6218.5003781238238</v>
      </c>
      <c r="H209" s="7">
        <f t="shared" si="20"/>
        <v>148.76795162975657</v>
      </c>
      <c r="I209" s="7">
        <f t="shared" si="21"/>
        <v>323.28789199417548</v>
      </c>
      <c r="J209" s="7">
        <v>1617.88848854555</v>
      </c>
      <c r="K209" s="7">
        <f t="shared" si="22"/>
        <v>25.803644155431421</v>
      </c>
      <c r="L209" s="7">
        <f t="shared" si="23"/>
        <v>97.125215557601635</v>
      </c>
      <c r="M209" s="7">
        <v>1103.9619576620253</v>
      </c>
      <c r="N209" s="7">
        <f t="shared" si="24"/>
        <v>88.03524383269739</v>
      </c>
      <c r="O209" s="7">
        <f t="shared" si="25"/>
        <v>33.324419611539952</v>
      </c>
    </row>
    <row r="210" spans="3:15" x14ac:dyDescent="0.2">
      <c r="C210">
        <v>191</v>
      </c>
      <c r="D210" s="7">
        <v>3728.0397434203323</v>
      </c>
      <c r="E210" s="7">
        <f t="shared" si="18"/>
        <v>111.48444208792861</v>
      </c>
      <c r="F210" s="7">
        <f t="shared" si="19"/>
        <v>301.04852249127754</v>
      </c>
      <c r="G210" s="7">
        <v>0</v>
      </c>
      <c r="H210" s="7">
        <f t="shared" si="20"/>
        <v>0</v>
      </c>
      <c r="I210" s="7">
        <f t="shared" si="21"/>
        <v>0</v>
      </c>
      <c r="J210" s="7">
        <v>875.46025657966584</v>
      </c>
      <c r="K210" s="7">
        <f t="shared" si="22"/>
        <v>13.962683518017</v>
      </c>
      <c r="L210" s="7">
        <f t="shared" si="23"/>
        <v>52.555702531052013</v>
      </c>
      <c r="M210" s="7">
        <v>0</v>
      </c>
      <c r="N210" s="7">
        <f t="shared" si="24"/>
        <v>0</v>
      </c>
      <c r="O210" s="7">
        <f t="shared" si="25"/>
        <v>0</v>
      </c>
    </row>
    <row r="211" spans="3:15" x14ac:dyDescent="0.2">
      <c r="C211">
        <v>192</v>
      </c>
      <c r="D211" s="7">
        <v>3722.0513855824129</v>
      </c>
      <c r="E211" s="7">
        <f t="shared" si="18"/>
        <v>111.30536440138795</v>
      </c>
      <c r="F211" s="7">
        <f t="shared" si="19"/>
        <v>300.56494763603718</v>
      </c>
      <c r="G211" s="7">
        <v>0</v>
      </c>
      <c r="H211" s="7">
        <f t="shared" si="20"/>
        <v>0</v>
      </c>
      <c r="I211" s="7">
        <f t="shared" si="21"/>
        <v>0</v>
      </c>
      <c r="J211" s="7">
        <v>138.94861441758621</v>
      </c>
      <c r="K211" s="7">
        <f t="shared" si="22"/>
        <v>2.2160863543474676</v>
      </c>
      <c r="L211" s="7">
        <f t="shared" si="23"/>
        <v>8.3413747129570393</v>
      </c>
      <c r="M211" s="7">
        <v>0</v>
      </c>
      <c r="N211" s="7">
        <f t="shared" si="24"/>
        <v>0</v>
      </c>
      <c r="O211" s="7">
        <f t="shared" si="25"/>
        <v>0</v>
      </c>
    </row>
    <row r="212" spans="3:15" x14ac:dyDescent="0.2">
      <c r="C212">
        <v>193</v>
      </c>
      <c r="D212" s="7">
        <v>2524.5</v>
      </c>
      <c r="E212" s="7">
        <f t="shared" si="18"/>
        <v>75.493421052631589</v>
      </c>
      <c r="F212" s="7">
        <f t="shared" si="19"/>
        <v>203.85968158482189</v>
      </c>
      <c r="G212" s="7">
        <v>0</v>
      </c>
      <c r="H212" s="7">
        <f t="shared" si="20"/>
        <v>0</v>
      </c>
      <c r="I212" s="7">
        <f t="shared" si="21"/>
        <v>0</v>
      </c>
      <c r="J212" s="7">
        <v>0</v>
      </c>
      <c r="K212" s="7">
        <f t="shared" si="22"/>
        <v>0</v>
      </c>
      <c r="L212" s="7">
        <f t="shared" si="23"/>
        <v>0</v>
      </c>
      <c r="M212" s="7">
        <v>0</v>
      </c>
      <c r="N212" s="7">
        <f t="shared" si="24"/>
        <v>0</v>
      </c>
      <c r="O212" s="7">
        <f t="shared" si="25"/>
        <v>0</v>
      </c>
    </row>
    <row r="213" spans="3:15" x14ac:dyDescent="0.2">
      <c r="C213">
        <v>194</v>
      </c>
      <c r="D213" s="7">
        <v>2376</v>
      </c>
      <c r="E213" s="7">
        <f t="shared" ref="E213:E276" si="26">D213/($C$3*($D$8-$D$6))</f>
        <v>71.05263157894737</v>
      </c>
      <c r="F213" s="7">
        <f t="shared" ref="F213:F276" si="27">E213*$C$3*((($D$8)-($D$6))-$C$2*LN(($D$8)/($D$6)))</f>
        <v>191.86793560924414</v>
      </c>
      <c r="G213" s="7">
        <v>0</v>
      </c>
      <c r="H213" s="7">
        <f t="shared" ref="H213:H276" si="28">G213/($C$3*($D$6-$D$9))</f>
        <v>0</v>
      </c>
      <c r="I213" s="7">
        <f t="shared" ref="I213:I276" si="29">ABS(H213*$C$3*(($D$9-$D$6)-$C$2*(LN($D$9/$D$6))))</f>
        <v>0</v>
      </c>
      <c r="J213" s="7">
        <v>0</v>
      </c>
      <c r="K213" s="7">
        <f t="shared" ref="K213:K276" si="30">J213/($C$3*($D$10-$D$7))</f>
        <v>0</v>
      </c>
      <c r="L213" s="7">
        <f t="shared" ref="L213:L276" si="31">K213*$C$3*(($D$10-$D$7)-$C$2*LN($D$10/$D$7))</f>
        <v>0</v>
      </c>
      <c r="M213" s="7">
        <v>0</v>
      </c>
      <c r="N213" s="7">
        <f t="shared" ref="N213:N276" si="32">M213/($C$3*($D$7-$D$11))</f>
        <v>0</v>
      </c>
      <c r="O213" s="7">
        <f t="shared" ref="O213:O276" si="33">ABS(N213*$C$3*(($D$11-$D$7)-$C$2*LN($D$11/$D$7)))</f>
        <v>0</v>
      </c>
    </row>
    <row r="214" spans="3:15" x14ac:dyDescent="0.2">
      <c r="C214">
        <v>195</v>
      </c>
      <c r="D214" s="7">
        <v>2554.1999999999998</v>
      </c>
      <c r="E214" s="7">
        <f t="shared" si="26"/>
        <v>76.381578947368425</v>
      </c>
      <c r="F214" s="7">
        <f t="shared" si="27"/>
        <v>206.25803077993743</v>
      </c>
      <c r="G214" s="7">
        <v>0</v>
      </c>
      <c r="H214" s="7">
        <f t="shared" si="28"/>
        <v>0</v>
      </c>
      <c r="I214" s="7">
        <f t="shared" si="29"/>
        <v>0</v>
      </c>
      <c r="J214" s="7">
        <v>0</v>
      </c>
      <c r="K214" s="7">
        <f t="shared" si="30"/>
        <v>0</v>
      </c>
      <c r="L214" s="7">
        <f t="shared" si="31"/>
        <v>0</v>
      </c>
      <c r="M214" s="7">
        <v>0</v>
      </c>
      <c r="N214" s="7">
        <f t="shared" si="32"/>
        <v>0</v>
      </c>
      <c r="O214" s="7">
        <f t="shared" si="33"/>
        <v>0</v>
      </c>
    </row>
    <row r="215" spans="3:15" x14ac:dyDescent="0.2">
      <c r="C215">
        <v>196</v>
      </c>
      <c r="D215" s="7">
        <v>2673</v>
      </c>
      <c r="E215" s="7">
        <f t="shared" si="26"/>
        <v>79.934210526315795</v>
      </c>
      <c r="F215" s="7">
        <f t="shared" si="27"/>
        <v>215.85142756039966</v>
      </c>
      <c r="G215" s="7">
        <v>0</v>
      </c>
      <c r="H215" s="7">
        <f t="shared" si="28"/>
        <v>0</v>
      </c>
      <c r="I215" s="7">
        <f t="shared" si="29"/>
        <v>0</v>
      </c>
      <c r="J215" s="7">
        <v>0</v>
      </c>
      <c r="K215" s="7">
        <f t="shared" si="30"/>
        <v>0</v>
      </c>
      <c r="L215" s="7">
        <f t="shared" si="31"/>
        <v>0</v>
      </c>
      <c r="M215" s="7">
        <v>0</v>
      </c>
      <c r="N215" s="7">
        <f t="shared" si="32"/>
        <v>0</v>
      </c>
      <c r="O215" s="7">
        <f t="shared" si="33"/>
        <v>0</v>
      </c>
    </row>
    <row r="216" spans="3:15" x14ac:dyDescent="0.2">
      <c r="C216">
        <v>197</v>
      </c>
      <c r="D216" s="7">
        <v>2948.7857142857142</v>
      </c>
      <c r="E216" s="7">
        <f t="shared" si="26"/>
        <v>88.181390977443613</v>
      </c>
      <c r="F216" s="7">
        <f t="shared" si="27"/>
        <v>238.12181294361548</v>
      </c>
      <c r="G216" s="7">
        <v>0</v>
      </c>
      <c r="H216" s="7">
        <f t="shared" si="28"/>
        <v>0</v>
      </c>
      <c r="I216" s="7">
        <f t="shared" si="29"/>
        <v>0</v>
      </c>
      <c r="J216" s="7">
        <v>0</v>
      </c>
      <c r="K216" s="7">
        <f t="shared" si="30"/>
        <v>0</v>
      </c>
      <c r="L216" s="7">
        <f t="shared" si="31"/>
        <v>0</v>
      </c>
      <c r="M216" s="7">
        <v>0</v>
      </c>
      <c r="N216" s="7">
        <f t="shared" si="32"/>
        <v>0</v>
      </c>
      <c r="O216" s="7">
        <f t="shared" si="33"/>
        <v>0</v>
      </c>
    </row>
    <row r="217" spans="3:15" x14ac:dyDescent="0.2">
      <c r="C217">
        <v>198</v>
      </c>
      <c r="D217" s="7">
        <v>3139.7142857142858</v>
      </c>
      <c r="E217" s="7">
        <f t="shared" si="26"/>
        <v>93.890977443609032</v>
      </c>
      <c r="F217" s="7">
        <f t="shared" si="27"/>
        <v>253.5397720550726</v>
      </c>
      <c r="G217" s="7">
        <v>0</v>
      </c>
      <c r="H217" s="7">
        <f t="shared" si="28"/>
        <v>0</v>
      </c>
      <c r="I217" s="7">
        <f t="shared" si="29"/>
        <v>0</v>
      </c>
      <c r="J217" s="7">
        <v>0</v>
      </c>
      <c r="K217" s="7">
        <f t="shared" si="30"/>
        <v>0</v>
      </c>
      <c r="L217" s="7">
        <f t="shared" si="31"/>
        <v>0</v>
      </c>
      <c r="M217" s="7">
        <v>0</v>
      </c>
      <c r="N217" s="7">
        <f t="shared" si="32"/>
        <v>0</v>
      </c>
      <c r="O217" s="7">
        <f t="shared" si="33"/>
        <v>0</v>
      </c>
    </row>
    <row r="218" spans="3:15" x14ac:dyDescent="0.2">
      <c r="C218">
        <v>199</v>
      </c>
      <c r="D218" s="7">
        <v>3330.6428571428564</v>
      </c>
      <c r="E218" s="7">
        <f t="shared" si="26"/>
        <v>99.600563909774422</v>
      </c>
      <c r="F218" s="7">
        <f t="shared" si="27"/>
        <v>268.95773116652964</v>
      </c>
      <c r="G218" s="7">
        <v>6207.1020313604558</v>
      </c>
      <c r="H218" s="7">
        <f t="shared" si="28"/>
        <v>148.49526390814489</v>
      </c>
      <c r="I218" s="7">
        <f t="shared" si="29"/>
        <v>322.69531383653617</v>
      </c>
      <c r="J218" s="7">
        <v>0</v>
      </c>
      <c r="K218" s="7">
        <f t="shared" si="30"/>
        <v>0</v>
      </c>
      <c r="L218" s="7">
        <f t="shared" si="31"/>
        <v>0</v>
      </c>
      <c r="M218" s="7">
        <v>1115.3603044253935</v>
      </c>
      <c r="N218" s="7">
        <f t="shared" si="32"/>
        <v>88.944202904736329</v>
      </c>
      <c r="O218" s="7">
        <f t="shared" si="33"/>
        <v>33.668492419288469</v>
      </c>
    </row>
    <row r="219" spans="3:15" x14ac:dyDescent="0.2">
      <c r="C219">
        <v>200</v>
      </c>
      <c r="D219" s="7">
        <v>3521.5714285714284</v>
      </c>
      <c r="E219" s="7">
        <f t="shared" si="26"/>
        <v>105.31015037593986</v>
      </c>
      <c r="F219" s="7">
        <f t="shared" si="27"/>
        <v>284.37569027798685</v>
      </c>
      <c r="G219" s="7">
        <v>6207.1877446945664</v>
      </c>
      <c r="H219" s="7">
        <f t="shared" si="28"/>
        <v>148.49731446637719</v>
      </c>
      <c r="I219" s="7">
        <f t="shared" si="29"/>
        <v>322.69976990816366</v>
      </c>
      <c r="J219" s="7">
        <v>0</v>
      </c>
      <c r="K219" s="7">
        <f t="shared" si="30"/>
        <v>0</v>
      </c>
      <c r="L219" s="7">
        <f t="shared" si="31"/>
        <v>0</v>
      </c>
      <c r="M219" s="7">
        <v>1115.2745910912824</v>
      </c>
      <c r="N219" s="7">
        <f t="shared" si="32"/>
        <v>88.937367710628592</v>
      </c>
      <c r="O219" s="7">
        <f t="shared" si="33"/>
        <v>33.665905059196575</v>
      </c>
    </row>
    <row r="220" spans="3:15" x14ac:dyDescent="0.2">
      <c r="C220">
        <v>201</v>
      </c>
      <c r="D220" s="7">
        <v>3709.5603778306117</v>
      </c>
      <c r="E220" s="7">
        <f t="shared" si="26"/>
        <v>110.9318294805805</v>
      </c>
      <c r="F220" s="7">
        <f t="shared" si="27"/>
        <v>299.55626755564276</v>
      </c>
      <c r="G220" s="7">
        <v>0</v>
      </c>
      <c r="H220" s="7">
        <f t="shared" si="28"/>
        <v>0</v>
      </c>
      <c r="I220" s="7">
        <f t="shared" si="29"/>
        <v>0</v>
      </c>
      <c r="J220" s="7">
        <v>2.9396221693878033</v>
      </c>
      <c r="K220" s="7">
        <f t="shared" si="30"/>
        <v>4.6883926146535942E-2</v>
      </c>
      <c r="L220" s="7">
        <f t="shared" si="31"/>
        <v>0.17647164120461981</v>
      </c>
      <c r="M220" s="7">
        <v>0</v>
      </c>
      <c r="N220" s="7">
        <f t="shared" si="32"/>
        <v>0</v>
      </c>
      <c r="O220" s="7">
        <f t="shared" si="33"/>
        <v>0</v>
      </c>
    </row>
    <row r="221" spans="3:15" x14ac:dyDescent="0.2">
      <c r="C221">
        <v>202</v>
      </c>
      <c r="D221" s="7">
        <v>3703.7076192990153</v>
      </c>
      <c r="E221" s="7">
        <f t="shared" si="26"/>
        <v>110.75680679721937</v>
      </c>
      <c r="F221" s="7">
        <f t="shared" si="27"/>
        <v>299.08364268313568</v>
      </c>
      <c r="G221" s="7">
        <v>0</v>
      </c>
      <c r="H221" s="7">
        <f t="shared" si="28"/>
        <v>0</v>
      </c>
      <c r="I221" s="7">
        <f t="shared" si="29"/>
        <v>0</v>
      </c>
      <c r="J221" s="7">
        <v>199.72095212955628</v>
      </c>
      <c r="K221" s="7">
        <f t="shared" si="30"/>
        <v>3.1853421392273731</v>
      </c>
      <c r="L221" s="7">
        <f t="shared" si="31"/>
        <v>11.989664716874868</v>
      </c>
      <c r="M221" s="7">
        <v>0</v>
      </c>
      <c r="N221" s="7">
        <f t="shared" si="32"/>
        <v>0</v>
      </c>
      <c r="O221" s="7">
        <f t="shared" si="33"/>
        <v>0</v>
      </c>
    </row>
    <row r="222" spans="3:15" x14ac:dyDescent="0.2">
      <c r="C222">
        <v>203</v>
      </c>
      <c r="D222" s="7">
        <v>3697.8868188718238</v>
      </c>
      <c r="E222" s="7">
        <f t="shared" si="26"/>
        <v>110.58273979879857</v>
      </c>
      <c r="F222" s="7">
        <f t="shared" si="27"/>
        <v>298.61359850739552</v>
      </c>
      <c r="G222" s="7">
        <v>0</v>
      </c>
      <c r="H222" s="7">
        <f t="shared" si="28"/>
        <v>0</v>
      </c>
      <c r="I222" s="7">
        <f t="shared" si="29"/>
        <v>0</v>
      </c>
      <c r="J222" s="7">
        <v>396.47032398531837</v>
      </c>
      <c r="K222" s="7">
        <f t="shared" si="30"/>
        <v>6.3232906536733395</v>
      </c>
      <c r="L222" s="7">
        <f t="shared" si="31"/>
        <v>23.800939280978184</v>
      </c>
      <c r="M222" s="7">
        <v>0</v>
      </c>
      <c r="N222" s="7">
        <f t="shared" si="32"/>
        <v>0</v>
      </c>
      <c r="O222" s="7">
        <f t="shared" si="33"/>
        <v>0</v>
      </c>
    </row>
    <row r="223" spans="3:15" x14ac:dyDescent="0.2">
      <c r="C223">
        <v>204</v>
      </c>
      <c r="D223" s="7">
        <v>3692.097866815714</v>
      </c>
      <c r="E223" s="7">
        <f t="shared" si="26"/>
        <v>110.4096252038192</v>
      </c>
      <c r="F223" s="7">
        <f t="shared" si="27"/>
        <v>298.14612616718227</v>
      </c>
      <c r="G223" s="7">
        <v>0</v>
      </c>
      <c r="H223" s="7">
        <f t="shared" si="28"/>
        <v>0</v>
      </c>
      <c r="I223" s="7">
        <f t="shared" si="29"/>
        <v>0</v>
      </c>
      <c r="J223" s="7">
        <v>593.18784746999972</v>
      </c>
      <c r="K223" s="7">
        <f t="shared" si="30"/>
        <v>9.4607312196172213</v>
      </c>
      <c r="L223" s="7">
        <f t="shared" si="31"/>
        <v>35.610301921034647</v>
      </c>
      <c r="M223" s="7">
        <v>0</v>
      </c>
      <c r="N223" s="7">
        <f t="shared" si="32"/>
        <v>0</v>
      </c>
      <c r="O223" s="7">
        <f t="shared" si="33"/>
        <v>0</v>
      </c>
    </row>
    <row r="224" spans="3:15" x14ac:dyDescent="0.2">
      <c r="C224">
        <v>205</v>
      </c>
      <c r="D224" s="7">
        <v>3686.3406536991815</v>
      </c>
      <c r="E224" s="7">
        <f t="shared" si="26"/>
        <v>110.23745973980807</v>
      </c>
      <c r="F224" s="7">
        <f t="shared" si="27"/>
        <v>297.68121682562855</v>
      </c>
      <c r="G224" s="7">
        <v>0</v>
      </c>
      <c r="H224" s="7">
        <f t="shared" si="28"/>
        <v>0</v>
      </c>
      <c r="I224" s="7">
        <f t="shared" si="29"/>
        <v>0</v>
      </c>
      <c r="J224" s="7">
        <v>789.87363201510288</v>
      </c>
      <c r="K224" s="7">
        <f t="shared" si="30"/>
        <v>12.597665582378037</v>
      </c>
      <c r="L224" s="7">
        <f t="shared" si="31"/>
        <v>47.417759206445268</v>
      </c>
      <c r="M224" s="7">
        <v>0</v>
      </c>
      <c r="N224" s="7">
        <f t="shared" si="32"/>
        <v>0</v>
      </c>
      <c r="O224" s="7">
        <f t="shared" si="33"/>
        <v>0</v>
      </c>
    </row>
    <row r="225" spans="3:15" x14ac:dyDescent="0.2">
      <c r="C225">
        <v>206</v>
      </c>
      <c r="D225" s="7">
        <v>3679.7335623419453</v>
      </c>
      <c r="E225" s="7">
        <f t="shared" si="26"/>
        <v>110.03987925663714</v>
      </c>
      <c r="F225" s="7">
        <f t="shared" si="27"/>
        <v>297.14767769301301</v>
      </c>
      <c r="G225" s="7">
        <v>0</v>
      </c>
      <c r="H225" s="7">
        <f t="shared" si="28"/>
        <v>0</v>
      </c>
      <c r="I225" s="7">
        <f t="shared" si="29"/>
        <v>0</v>
      </c>
      <c r="J225" s="7">
        <v>987.40929480091154</v>
      </c>
      <c r="K225" s="7">
        <f t="shared" si="30"/>
        <v>15.748154622024108</v>
      </c>
      <c r="L225" s="7">
        <f t="shared" si="31"/>
        <v>59.276236452694128</v>
      </c>
      <c r="M225" s="7">
        <v>0</v>
      </c>
      <c r="N225" s="7">
        <f t="shared" si="32"/>
        <v>0</v>
      </c>
      <c r="O225" s="7">
        <f t="shared" si="33"/>
        <v>0</v>
      </c>
    </row>
    <row r="226" spans="3:15" x14ac:dyDescent="0.2">
      <c r="C226">
        <v>207</v>
      </c>
      <c r="D226" s="7">
        <v>3673.1596613617189</v>
      </c>
      <c r="E226" s="7">
        <f t="shared" si="26"/>
        <v>109.84329130866385</v>
      </c>
      <c r="F226" s="7">
        <f t="shared" si="27"/>
        <v>296.61681876625556</v>
      </c>
      <c r="G226" s="7">
        <v>0</v>
      </c>
      <c r="H226" s="7">
        <f t="shared" si="28"/>
        <v>0</v>
      </c>
      <c r="I226" s="7">
        <f t="shared" si="29"/>
        <v>0</v>
      </c>
      <c r="J226" s="7">
        <v>1184.9117672097095</v>
      </c>
      <c r="K226" s="7">
        <f t="shared" si="30"/>
        <v>18.898114309564747</v>
      </c>
      <c r="L226" s="7">
        <f t="shared" si="31"/>
        <v>71.132721211485162</v>
      </c>
      <c r="M226" s="7">
        <v>0</v>
      </c>
      <c r="N226" s="7">
        <f t="shared" si="32"/>
        <v>0</v>
      </c>
      <c r="O226" s="7">
        <f t="shared" si="33"/>
        <v>0</v>
      </c>
    </row>
    <row r="227" spans="3:15" x14ac:dyDescent="0.2">
      <c r="C227">
        <v>208</v>
      </c>
      <c r="D227" s="7">
        <v>3672.5040168179066</v>
      </c>
      <c r="E227" s="7">
        <f t="shared" si="26"/>
        <v>109.82368471345416</v>
      </c>
      <c r="F227" s="7">
        <f t="shared" si="27"/>
        <v>296.563873831443</v>
      </c>
      <c r="G227" s="7">
        <v>6191.4909247045507</v>
      </c>
      <c r="H227" s="7">
        <f t="shared" si="28"/>
        <v>148.12179245704667</v>
      </c>
      <c r="I227" s="7">
        <f t="shared" si="29"/>
        <v>321.88372238271256</v>
      </c>
      <c r="J227" s="7">
        <v>1376.4959831820934</v>
      </c>
      <c r="K227" s="7">
        <f t="shared" si="30"/>
        <v>21.953683942298142</v>
      </c>
      <c r="L227" s="7">
        <f t="shared" si="31"/>
        <v>82.633920710394889</v>
      </c>
      <c r="M227" s="7">
        <v>1130.9714110812988</v>
      </c>
      <c r="N227" s="7">
        <f t="shared" si="32"/>
        <v>90.189107741730368</v>
      </c>
      <c r="O227" s="7">
        <f t="shared" si="33"/>
        <v>34.139732451783466</v>
      </c>
    </row>
    <row r="228" spans="3:15" x14ac:dyDescent="0.2">
      <c r="C228">
        <v>209</v>
      </c>
      <c r="D228" s="7">
        <v>3679.866164434743</v>
      </c>
      <c r="E228" s="7">
        <f t="shared" si="26"/>
        <v>110.04384463022558</v>
      </c>
      <c r="F228" s="7">
        <f t="shared" si="27"/>
        <v>297.15838564326663</v>
      </c>
      <c r="G228" s="7">
        <v>6189.8697631985051</v>
      </c>
      <c r="H228" s="7">
        <f t="shared" si="28"/>
        <v>148.08300868895947</v>
      </c>
      <c r="I228" s="7">
        <f t="shared" si="29"/>
        <v>321.79944130946296</v>
      </c>
      <c r="J228" s="7">
        <v>1220.633835565256</v>
      </c>
      <c r="K228" s="7">
        <f t="shared" si="30"/>
        <v>19.467844267388454</v>
      </c>
      <c r="L228" s="7">
        <f t="shared" si="31"/>
        <v>73.27719137352635</v>
      </c>
      <c r="M228" s="7">
        <v>1132.5925725873437</v>
      </c>
      <c r="N228" s="7">
        <f t="shared" si="32"/>
        <v>90.318386968687705</v>
      </c>
      <c r="O228" s="7">
        <f t="shared" si="33"/>
        <v>34.188669161885258</v>
      </c>
    </row>
    <row r="229" spans="3:15" x14ac:dyDescent="0.2">
      <c r="C229">
        <v>210</v>
      </c>
      <c r="D229" s="7">
        <v>3687.1938758468723</v>
      </c>
      <c r="E229" s="7">
        <f t="shared" si="26"/>
        <v>110.26297475618638</v>
      </c>
      <c r="F229" s="7">
        <f t="shared" si="27"/>
        <v>297.75011664553324</v>
      </c>
      <c r="G229" s="7">
        <v>6188.2024303020116</v>
      </c>
      <c r="H229" s="7">
        <f t="shared" si="28"/>
        <v>148.0431203421534</v>
      </c>
      <c r="I229" s="7">
        <f t="shared" si="29"/>
        <v>321.71275987429635</v>
      </c>
      <c r="J229" s="7">
        <v>1510.3061241531277</v>
      </c>
      <c r="K229" s="7">
        <f t="shared" si="30"/>
        <v>24.087816972139201</v>
      </c>
      <c r="L229" s="7">
        <f t="shared" si="31"/>
        <v>90.666822160412764</v>
      </c>
      <c r="M229" s="7">
        <v>1134.2599054838372</v>
      </c>
      <c r="N229" s="7">
        <f t="shared" si="32"/>
        <v>90.45134812470792</v>
      </c>
      <c r="O229" s="7">
        <f t="shared" si="33"/>
        <v>34.238999610945797</v>
      </c>
    </row>
    <row r="230" spans="3:15" x14ac:dyDescent="0.2">
      <c r="C230">
        <v>211</v>
      </c>
      <c r="D230" s="7">
        <v>3694.4867091360516</v>
      </c>
      <c r="E230" s="7">
        <f t="shared" si="26"/>
        <v>110.4810618760781</v>
      </c>
      <c r="F230" s="7">
        <f t="shared" si="27"/>
        <v>298.33903115224081</v>
      </c>
      <c r="G230" s="7">
        <v>6186.1886937517647</v>
      </c>
      <c r="H230" s="7">
        <f t="shared" si="28"/>
        <v>147.99494482659725</v>
      </c>
      <c r="I230" s="7">
        <f t="shared" si="29"/>
        <v>321.60806957844125</v>
      </c>
      <c r="J230" s="7">
        <v>1800.0132908639484</v>
      </c>
      <c r="K230" s="7">
        <f t="shared" si="30"/>
        <v>28.70834594679344</v>
      </c>
      <c r="L230" s="7">
        <f t="shared" si="31"/>
        <v>108.05854675366078</v>
      </c>
      <c r="M230" s="7">
        <v>1136.2736420340843</v>
      </c>
      <c r="N230" s="7">
        <f t="shared" si="32"/>
        <v>90.611933176561749</v>
      </c>
      <c r="O230" s="7">
        <f t="shared" si="33"/>
        <v>34.299786670972431</v>
      </c>
    </row>
    <row r="231" spans="3:15" x14ac:dyDescent="0.2">
      <c r="C231">
        <v>212</v>
      </c>
      <c r="D231" s="7">
        <v>3701.7440762978422</v>
      </c>
      <c r="E231" s="7">
        <f t="shared" si="26"/>
        <v>110.69808840603596</v>
      </c>
      <c r="F231" s="7">
        <f t="shared" si="27"/>
        <v>298.92508168056202</v>
      </c>
      <c r="G231" s="7">
        <v>6183.9293991022059</v>
      </c>
      <c r="H231" s="7">
        <f t="shared" si="28"/>
        <v>147.94089471536378</v>
      </c>
      <c r="I231" s="7">
        <f t="shared" si="29"/>
        <v>321.49061318859856</v>
      </c>
      <c r="J231" s="7">
        <v>1941.2559237021569</v>
      </c>
      <c r="K231" s="7">
        <f t="shared" si="30"/>
        <v>30.961019516780816</v>
      </c>
      <c r="L231" s="7">
        <f t="shared" si="31"/>
        <v>116.53763617017958</v>
      </c>
      <c r="M231" s="7">
        <v>1138.5329366836436</v>
      </c>
      <c r="N231" s="7">
        <f t="shared" si="32"/>
        <v>90.792100214006666</v>
      </c>
      <c r="O231" s="7">
        <f t="shared" si="33"/>
        <v>34.367986197600565</v>
      </c>
    </row>
    <row r="232" spans="3:15" x14ac:dyDescent="0.2">
      <c r="C232">
        <v>213</v>
      </c>
      <c r="D232" s="7">
        <v>3708.9655433084672</v>
      </c>
      <c r="E232" s="7">
        <f t="shared" si="26"/>
        <v>110.91404136688001</v>
      </c>
      <c r="F232" s="7">
        <f t="shared" si="27"/>
        <v>299.50823318199247</v>
      </c>
      <c r="G232" s="7">
        <v>6181.3248386650275</v>
      </c>
      <c r="H232" s="7">
        <f t="shared" si="28"/>
        <v>147.8785846570581</v>
      </c>
      <c r="I232" s="7">
        <f t="shared" si="29"/>
        <v>321.3552070935425</v>
      </c>
      <c r="J232" s="7">
        <v>2379.5344566915319</v>
      </c>
      <c r="K232" s="7">
        <f t="shared" si="30"/>
        <v>37.951107762225391</v>
      </c>
      <c r="L232" s="7">
        <f t="shared" si="31"/>
        <v>142.84840931198625</v>
      </c>
      <c r="M232" s="7">
        <v>1141.1374971208213</v>
      </c>
      <c r="N232" s="7">
        <f t="shared" si="32"/>
        <v>90.999800408358965</v>
      </c>
      <c r="O232" s="7">
        <f t="shared" si="33"/>
        <v>34.446607987336826</v>
      </c>
    </row>
    <row r="233" spans="3:15" x14ac:dyDescent="0.2">
      <c r="C233">
        <v>214</v>
      </c>
      <c r="D233" s="7">
        <v>3716.1507553285537</v>
      </c>
      <c r="E233" s="7">
        <f t="shared" si="26"/>
        <v>111.12891014738499</v>
      </c>
      <c r="F233" s="7">
        <f t="shared" si="27"/>
        <v>300.08845700236651</v>
      </c>
      <c r="G233" s="7">
        <v>6178.9769415031278</v>
      </c>
      <c r="H233" s="7">
        <f t="shared" si="28"/>
        <v>147.82241486849588</v>
      </c>
      <c r="I233" s="7">
        <f t="shared" si="29"/>
        <v>321.23314442924476</v>
      </c>
      <c r="J233" s="7">
        <v>1629.8492446714463</v>
      </c>
      <c r="K233" s="7">
        <f t="shared" si="30"/>
        <v>25.994405816131522</v>
      </c>
      <c r="L233" s="7">
        <f t="shared" si="31"/>
        <v>97.843244658608413</v>
      </c>
      <c r="M233" s="7">
        <v>1143.485394282721</v>
      </c>
      <c r="N233" s="7">
        <f t="shared" si="32"/>
        <v>91.187033036899606</v>
      </c>
      <c r="O233" s="7">
        <f t="shared" si="33"/>
        <v>34.517482087376997</v>
      </c>
    </row>
    <row r="234" spans="3:15" x14ac:dyDescent="0.2">
      <c r="C234">
        <v>215</v>
      </c>
      <c r="D234" s="7">
        <v>3715.2786855777854</v>
      </c>
      <c r="E234" s="7">
        <f t="shared" si="26"/>
        <v>111.10283150651273</v>
      </c>
      <c r="F234" s="7">
        <f t="shared" si="27"/>
        <v>300.01803519142919</v>
      </c>
      <c r="G234" s="7">
        <v>0</v>
      </c>
      <c r="H234" s="7">
        <f t="shared" si="28"/>
        <v>0</v>
      </c>
      <c r="I234" s="7">
        <f t="shared" si="29"/>
        <v>0</v>
      </c>
      <c r="J234" s="7">
        <v>888.2213144222128</v>
      </c>
      <c r="K234" s="7">
        <f t="shared" si="30"/>
        <v>14.166209161438802</v>
      </c>
      <c r="L234" s="7">
        <f t="shared" si="31"/>
        <v>53.321775410904579</v>
      </c>
      <c r="M234" s="7">
        <v>0</v>
      </c>
      <c r="N234" s="7">
        <f t="shared" si="32"/>
        <v>0</v>
      </c>
      <c r="O234" s="7">
        <f t="shared" si="33"/>
        <v>0</v>
      </c>
    </row>
    <row r="235" spans="3:15" x14ac:dyDescent="0.2">
      <c r="C235">
        <v>216</v>
      </c>
      <c r="D235" s="7">
        <v>3708.5670618214399</v>
      </c>
      <c r="E235" s="7">
        <f t="shared" si="26"/>
        <v>110.9021250544689</v>
      </c>
      <c r="F235" s="7">
        <f t="shared" si="27"/>
        <v>299.47605480644768</v>
      </c>
      <c r="G235" s="7">
        <v>0</v>
      </c>
      <c r="H235" s="7">
        <f t="shared" si="28"/>
        <v>0</v>
      </c>
      <c r="I235" s="7">
        <f t="shared" si="29"/>
        <v>0</v>
      </c>
      <c r="J235" s="7">
        <v>152.4329381785592</v>
      </c>
      <c r="K235" s="7">
        <f t="shared" si="30"/>
        <v>2.4311473393709604</v>
      </c>
      <c r="L235" s="7">
        <f t="shared" si="31"/>
        <v>9.1508667522448377</v>
      </c>
      <c r="M235" s="7">
        <v>0</v>
      </c>
      <c r="N235" s="7">
        <f t="shared" si="32"/>
        <v>0</v>
      </c>
      <c r="O235" s="7">
        <f t="shared" si="33"/>
        <v>0</v>
      </c>
    </row>
    <row r="236" spans="3:15" x14ac:dyDescent="0.2">
      <c r="C236">
        <v>217</v>
      </c>
      <c r="D236" s="7">
        <v>2524.5</v>
      </c>
      <c r="E236" s="7">
        <f t="shared" si="26"/>
        <v>75.493421052631589</v>
      </c>
      <c r="F236" s="7">
        <f t="shared" si="27"/>
        <v>203.85968158482189</v>
      </c>
      <c r="G236" s="7">
        <v>0</v>
      </c>
      <c r="H236" s="7">
        <f t="shared" si="28"/>
        <v>0</v>
      </c>
      <c r="I236" s="7">
        <f t="shared" si="29"/>
        <v>0</v>
      </c>
      <c r="J236" s="7">
        <v>0</v>
      </c>
      <c r="K236" s="7">
        <f t="shared" si="30"/>
        <v>0</v>
      </c>
      <c r="L236" s="7">
        <f t="shared" si="31"/>
        <v>0</v>
      </c>
      <c r="M236" s="7">
        <v>0</v>
      </c>
      <c r="N236" s="7">
        <f t="shared" si="32"/>
        <v>0</v>
      </c>
      <c r="O236" s="7">
        <f t="shared" si="33"/>
        <v>0</v>
      </c>
    </row>
    <row r="237" spans="3:15" x14ac:dyDescent="0.2">
      <c r="C237">
        <v>218</v>
      </c>
      <c r="D237" s="7">
        <v>2376</v>
      </c>
      <c r="E237" s="7">
        <f t="shared" si="26"/>
        <v>71.05263157894737</v>
      </c>
      <c r="F237" s="7">
        <f t="shared" si="27"/>
        <v>191.86793560924414</v>
      </c>
      <c r="G237" s="7">
        <v>0</v>
      </c>
      <c r="H237" s="7">
        <f t="shared" si="28"/>
        <v>0</v>
      </c>
      <c r="I237" s="7">
        <f t="shared" si="29"/>
        <v>0</v>
      </c>
      <c r="J237" s="7">
        <v>0</v>
      </c>
      <c r="K237" s="7">
        <f t="shared" si="30"/>
        <v>0</v>
      </c>
      <c r="L237" s="7">
        <f t="shared" si="31"/>
        <v>0</v>
      </c>
      <c r="M237" s="7">
        <v>0</v>
      </c>
      <c r="N237" s="7">
        <f t="shared" si="32"/>
        <v>0</v>
      </c>
      <c r="O237" s="7">
        <f t="shared" si="33"/>
        <v>0</v>
      </c>
    </row>
    <row r="238" spans="3:15" x14ac:dyDescent="0.2">
      <c r="C238">
        <v>219</v>
      </c>
      <c r="D238" s="7">
        <v>2524.5</v>
      </c>
      <c r="E238" s="7">
        <f t="shared" si="26"/>
        <v>75.493421052631589</v>
      </c>
      <c r="F238" s="7">
        <f t="shared" si="27"/>
        <v>203.85968158482189</v>
      </c>
      <c r="G238" s="7">
        <v>0</v>
      </c>
      <c r="H238" s="7">
        <f t="shared" si="28"/>
        <v>0</v>
      </c>
      <c r="I238" s="7">
        <f t="shared" si="29"/>
        <v>0</v>
      </c>
      <c r="J238" s="7">
        <v>0</v>
      </c>
      <c r="K238" s="7">
        <f t="shared" si="30"/>
        <v>0</v>
      </c>
      <c r="L238" s="7">
        <f t="shared" si="31"/>
        <v>0</v>
      </c>
      <c r="M238" s="7">
        <v>0</v>
      </c>
      <c r="N238" s="7">
        <f t="shared" si="32"/>
        <v>0</v>
      </c>
      <c r="O238" s="7">
        <f t="shared" si="33"/>
        <v>0</v>
      </c>
    </row>
    <row r="239" spans="3:15" x14ac:dyDescent="0.2">
      <c r="C239">
        <v>220</v>
      </c>
      <c r="D239" s="7">
        <v>2673</v>
      </c>
      <c r="E239" s="7">
        <f t="shared" si="26"/>
        <v>79.934210526315795</v>
      </c>
      <c r="F239" s="7">
        <f t="shared" si="27"/>
        <v>215.85142756039966</v>
      </c>
      <c r="G239" s="7">
        <v>0</v>
      </c>
      <c r="H239" s="7">
        <f t="shared" si="28"/>
        <v>0</v>
      </c>
      <c r="I239" s="7">
        <f t="shared" si="29"/>
        <v>0</v>
      </c>
      <c r="J239" s="7">
        <v>0</v>
      </c>
      <c r="K239" s="7">
        <f t="shared" si="30"/>
        <v>0</v>
      </c>
      <c r="L239" s="7">
        <f t="shared" si="31"/>
        <v>0</v>
      </c>
      <c r="M239" s="7">
        <v>0</v>
      </c>
      <c r="N239" s="7">
        <f t="shared" si="32"/>
        <v>0</v>
      </c>
      <c r="O239" s="7">
        <f t="shared" si="33"/>
        <v>0</v>
      </c>
    </row>
    <row r="240" spans="3:15" x14ac:dyDescent="0.2">
      <c r="C240">
        <v>221</v>
      </c>
      <c r="D240" s="7">
        <v>2992.8461538461534</v>
      </c>
      <c r="E240" s="7">
        <f t="shared" si="26"/>
        <v>89.498987854250998</v>
      </c>
      <c r="F240" s="7">
        <f t="shared" si="27"/>
        <v>241.67980350779786</v>
      </c>
      <c r="G240" s="7">
        <v>0</v>
      </c>
      <c r="H240" s="7">
        <f t="shared" si="28"/>
        <v>0</v>
      </c>
      <c r="I240" s="7">
        <f t="shared" si="29"/>
        <v>0</v>
      </c>
      <c r="J240" s="7">
        <v>0</v>
      </c>
      <c r="K240" s="7">
        <f t="shared" si="30"/>
        <v>0</v>
      </c>
      <c r="L240" s="7">
        <f t="shared" si="31"/>
        <v>0</v>
      </c>
      <c r="M240" s="7">
        <v>0</v>
      </c>
      <c r="N240" s="7">
        <f t="shared" si="32"/>
        <v>0</v>
      </c>
      <c r="O240" s="7">
        <f t="shared" si="33"/>
        <v>0</v>
      </c>
    </row>
    <row r="241" spans="3:15" x14ac:dyDescent="0.2">
      <c r="C241">
        <v>222</v>
      </c>
      <c r="D241" s="7">
        <v>3198.4615384615386</v>
      </c>
      <c r="E241" s="7">
        <f t="shared" si="26"/>
        <v>95.647773279352236</v>
      </c>
      <c r="F241" s="7">
        <f t="shared" si="27"/>
        <v>258.28375947398251</v>
      </c>
      <c r="G241" s="7">
        <v>0</v>
      </c>
      <c r="H241" s="7">
        <f t="shared" si="28"/>
        <v>0</v>
      </c>
      <c r="I241" s="7">
        <f t="shared" si="29"/>
        <v>0</v>
      </c>
      <c r="J241" s="7">
        <v>0</v>
      </c>
      <c r="K241" s="7">
        <f t="shared" si="30"/>
        <v>0</v>
      </c>
      <c r="L241" s="7">
        <f t="shared" si="31"/>
        <v>0</v>
      </c>
      <c r="M241" s="7">
        <v>0</v>
      </c>
      <c r="N241" s="7">
        <f t="shared" si="32"/>
        <v>0</v>
      </c>
      <c r="O241" s="7">
        <f t="shared" si="33"/>
        <v>0</v>
      </c>
    </row>
    <row r="242" spans="3:15" x14ac:dyDescent="0.2">
      <c r="C242">
        <v>223</v>
      </c>
      <c r="D242" s="7">
        <v>3404.0769230769229</v>
      </c>
      <c r="E242" s="7">
        <f t="shared" si="26"/>
        <v>101.79655870445345</v>
      </c>
      <c r="F242" s="7">
        <f t="shared" si="27"/>
        <v>274.88771544016709</v>
      </c>
      <c r="G242" s="7">
        <v>6170.7128064501867</v>
      </c>
      <c r="H242" s="7">
        <f t="shared" si="28"/>
        <v>147.62470828828199</v>
      </c>
      <c r="I242" s="7">
        <f t="shared" si="29"/>
        <v>320.80350791915959</v>
      </c>
      <c r="J242" s="7">
        <v>0</v>
      </c>
      <c r="K242" s="7">
        <f t="shared" si="30"/>
        <v>0</v>
      </c>
      <c r="L242" s="7">
        <f t="shared" si="31"/>
        <v>0</v>
      </c>
      <c r="M242" s="7">
        <v>1151.7495293356621</v>
      </c>
      <c r="N242" s="7">
        <f t="shared" si="32"/>
        <v>91.846054970945957</v>
      </c>
      <c r="O242" s="7">
        <f t="shared" si="33"/>
        <v>34.766944944606145</v>
      </c>
    </row>
    <row r="243" spans="3:15" x14ac:dyDescent="0.2">
      <c r="C243">
        <v>224</v>
      </c>
      <c r="D243" s="7">
        <v>3609.6923076923063</v>
      </c>
      <c r="E243" s="7">
        <f t="shared" si="26"/>
        <v>107.94534412955463</v>
      </c>
      <c r="F243" s="7">
        <f t="shared" si="27"/>
        <v>291.49167140635154</v>
      </c>
      <c r="G243" s="7">
        <v>6171.5170003600388</v>
      </c>
      <c r="H243" s="7">
        <f t="shared" si="28"/>
        <v>147.64394737703444</v>
      </c>
      <c r="I243" s="7">
        <f t="shared" si="29"/>
        <v>320.84531641607401</v>
      </c>
      <c r="J243" s="7">
        <v>0</v>
      </c>
      <c r="K243" s="7">
        <f t="shared" si="30"/>
        <v>0</v>
      </c>
      <c r="L243" s="7">
        <f t="shared" si="31"/>
        <v>0</v>
      </c>
      <c r="M243" s="7">
        <v>1150.9453354258101</v>
      </c>
      <c r="N243" s="7">
        <f t="shared" si="32"/>
        <v>91.781924675104477</v>
      </c>
      <c r="O243" s="7">
        <f t="shared" si="33"/>
        <v>34.742669384098868</v>
      </c>
    </row>
    <row r="244" spans="3:15" x14ac:dyDescent="0.2">
      <c r="C244">
        <v>225</v>
      </c>
      <c r="D244" s="7">
        <v>3688.5069705267197</v>
      </c>
      <c r="E244" s="7">
        <f t="shared" si="26"/>
        <v>110.30224194158852</v>
      </c>
      <c r="F244" s="7">
        <f t="shared" si="27"/>
        <v>297.8561523212411</v>
      </c>
      <c r="G244" s="7">
        <v>0</v>
      </c>
      <c r="H244" s="7">
        <f t="shared" si="28"/>
        <v>0</v>
      </c>
      <c r="I244" s="7">
        <f t="shared" si="29"/>
        <v>0</v>
      </c>
      <c r="J244" s="7">
        <v>126.8007217809718</v>
      </c>
      <c r="K244" s="7">
        <f t="shared" si="30"/>
        <v>2.0223400603025805</v>
      </c>
      <c r="L244" s="7">
        <f t="shared" si="31"/>
        <v>7.6121114174610343</v>
      </c>
      <c r="M244" s="7">
        <v>0</v>
      </c>
      <c r="N244" s="7">
        <f t="shared" si="32"/>
        <v>0</v>
      </c>
      <c r="O244" s="7">
        <f t="shared" si="33"/>
        <v>0</v>
      </c>
    </row>
    <row r="245" spans="3:15" x14ac:dyDescent="0.2">
      <c r="C245">
        <v>226</v>
      </c>
      <c r="D245" s="7">
        <v>3681.9462648902199</v>
      </c>
      <c r="E245" s="7">
        <f t="shared" si="26"/>
        <v>110.10604859121472</v>
      </c>
      <c r="F245" s="7">
        <f t="shared" si="27"/>
        <v>297.32635895145359</v>
      </c>
      <c r="G245" s="7">
        <v>0</v>
      </c>
      <c r="H245" s="7">
        <f t="shared" si="28"/>
        <v>0</v>
      </c>
      <c r="I245" s="7">
        <f t="shared" si="29"/>
        <v>0</v>
      </c>
      <c r="J245" s="7">
        <v>338.97681203285629</v>
      </c>
      <c r="K245" s="7">
        <f t="shared" si="30"/>
        <v>5.4063287405559217</v>
      </c>
      <c r="L245" s="7">
        <f t="shared" si="31"/>
        <v>20.349484016242112</v>
      </c>
      <c r="M245" s="7">
        <v>0</v>
      </c>
      <c r="N245" s="7">
        <f t="shared" si="32"/>
        <v>0</v>
      </c>
      <c r="O245" s="7">
        <f t="shared" si="33"/>
        <v>0</v>
      </c>
    </row>
    <row r="246" spans="3:15" x14ac:dyDescent="0.2">
      <c r="C246">
        <v>227</v>
      </c>
      <c r="D246" s="7">
        <v>3675.4185229729483</v>
      </c>
      <c r="E246" s="7">
        <f t="shared" si="26"/>
        <v>109.91084099799487</v>
      </c>
      <c r="F246" s="7">
        <f t="shared" si="27"/>
        <v>296.79922748434211</v>
      </c>
      <c r="G246" s="7">
        <v>0</v>
      </c>
      <c r="H246" s="7">
        <f t="shared" si="28"/>
        <v>0</v>
      </c>
      <c r="I246" s="7">
        <f t="shared" si="29"/>
        <v>0</v>
      </c>
      <c r="J246" s="7">
        <v>551.11993856551271</v>
      </c>
      <c r="K246" s="7">
        <f t="shared" si="30"/>
        <v>8.789791683660491</v>
      </c>
      <c r="L246" s="7">
        <f t="shared" si="31"/>
        <v>33.084877734304108</v>
      </c>
      <c r="M246" s="7">
        <v>0</v>
      </c>
      <c r="N246" s="7">
        <f t="shared" si="32"/>
        <v>0</v>
      </c>
      <c r="O246" s="7">
        <f t="shared" si="33"/>
        <v>0</v>
      </c>
    </row>
    <row r="247" spans="3:15" x14ac:dyDescent="0.2">
      <c r="C247">
        <v>228</v>
      </c>
      <c r="D247" s="7">
        <v>3668.9236348991985</v>
      </c>
      <c r="E247" s="7">
        <f t="shared" si="26"/>
        <v>109.71661587617221</v>
      </c>
      <c r="F247" s="7">
        <f t="shared" si="27"/>
        <v>296.27474904716894</v>
      </c>
      <c r="G247" s="7">
        <v>0</v>
      </c>
      <c r="H247" s="7">
        <f t="shared" si="28"/>
        <v>0</v>
      </c>
      <c r="I247" s="7">
        <f t="shared" si="29"/>
        <v>0</v>
      </c>
      <c r="J247" s="7">
        <v>763.2302112546472</v>
      </c>
      <c r="K247" s="7">
        <f t="shared" si="30"/>
        <v>12.172730642019893</v>
      </c>
      <c r="L247" s="7">
        <f t="shared" si="31"/>
        <v>45.8182991677145</v>
      </c>
      <c r="M247" s="7">
        <v>0</v>
      </c>
      <c r="N247" s="7">
        <f t="shared" si="32"/>
        <v>0</v>
      </c>
      <c r="O247" s="7">
        <f t="shared" si="33"/>
        <v>0</v>
      </c>
    </row>
    <row r="248" spans="3:15" x14ac:dyDescent="0.2">
      <c r="C248">
        <v>229</v>
      </c>
      <c r="D248" s="7">
        <v>3662.4614910893702</v>
      </c>
      <c r="E248" s="7">
        <f t="shared" si="26"/>
        <v>109.5233699488448</v>
      </c>
      <c r="F248" s="7">
        <f t="shared" si="27"/>
        <v>295.75291479110757</v>
      </c>
      <c r="G248" s="7">
        <v>0</v>
      </c>
      <c r="H248" s="7">
        <f t="shared" si="28"/>
        <v>0</v>
      </c>
      <c r="I248" s="7">
        <f t="shared" si="29"/>
        <v>0</v>
      </c>
      <c r="J248" s="7">
        <v>975.30773967985942</v>
      </c>
      <c r="K248" s="7">
        <f t="shared" si="30"/>
        <v>15.555147363315143</v>
      </c>
      <c r="L248" s="7">
        <f t="shared" si="31"/>
        <v>58.549754894764881</v>
      </c>
      <c r="M248" s="7">
        <v>0</v>
      </c>
      <c r="N248" s="7">
        <f t="shared" si="32"/>
        <v>0</v>
      </c>
      <c r="O248" s="7">
        <f t="shared" si="33"/>
        <v>0</v>
      </c>
    </row>
    <row r="249" spans="3:15" x14ac:dyDescent="0.2">
      <c r="C249">
        <v>230</v>
      </c>
      <c r="D249" s="7">
        <v>3656.0319822593174</v>
      </c>
      <c r="E249" s="7">
        <f t="shared" si="26"/>
        <v>109.3310999479461</v>
      </c>
      <c r="F249" s="7">
        <f t="shared" si="27"/>
        <v>295.23371589119017</v>
      </c>
      <c r="G249" s="7">
        <v>0</v>
      </c>
      <c r="H249" s="7">
        <f t="shared" si="28"/>
        <v>0</v>
      </c>
      <c r="I249" s="7">
        <f t="shared" si="29"/>
        <v>0</v>
      </c>
      <c r="J249" s="7">
        <v>1187.3526331252979</v>
      </c>
      <c r="K249" s="7">
        <f t="shared" si="30"/>
        <v>18.93704359051512</v>
      </c>
      <c r="L249" s="7">
        <f t="shared" si="31"/>
        <v>71.279251476010288</v>
      </c>
      <c r="M249" s="7">
        <v>0</v>
      </c>
      <c r="N249" s="7">
        <f t="shared" si="32"/>
        <v>0</v>
      </c>
      <c r="O249" s="7">
        <f t="shared" si="33"/>
        <v>0</v>
      </c>
    </row>
    <row r="250" spans="3:15" x14ac:dyDescent="0.2">
      <c r="C250">
        <v>231</v>
      </c>
      <c r="D250" s="7">
        <v>3649.6349994196735</v>
      </c>
      <c r="E250" s="7">
        <f t="shared" si="26"/>
        <v>109.13980261422469</v>
      </c>
      <c r="F250" s="7">
        <f t="shared" si="27"/>
        <v>294.71714354625323</v>
      </c>
      <c r="G250" s="7">
        <v>0</v>
      </c>
      <c r="H250" s="7">
        <f t="shared" si="28"/>
        <v>0</v>
      </c>
      <c r="I250" s="7">
        <f t="shared" si="29"/>
        <v>0</v>
      </c>
      <c r="J250" s="7">
        <v>1399.3650005803265</v>
      </c>
      <c r="K250" s="7">
        <f t="shared" si="30"/>
        <v>22.318421061887186</v>
      </c>
      <c r="L250" s="7">
        <f t="shared" si="31"/>
        <v>84.006795454309227</v>
      </c>
      <c r="M250" s="7">
        <v>0</v>
      </c>
      <c r="N250" s="7">
        <f t="shared" si="32"/>
        <v>0</v>
      </c>
      <c r="O250" s="7">
        <f t="shared" si="33"/>
        <v>0</v>
      </c>
    </row>
    <row r="251" spans="3:15" x14ac:dyDescent="0.2">
      <c r="C251">
        <v>232</v>
      </c>
      <c r="D251" s="7">
        <v>3649.8039065213493</v>
      </c>
      <c r="E251" s="7">
        <f t="shared" si="26"/>
        <v>109.14485366391595</v>
      </c>
      <c r="F251" s="7">
        <f t="shared" si="27"/>
        <v>294.73078321666918</v>
      </c>
      <c r="G251" s="7">
        <v>6161.9366083523819</v>
      </c>
      <c r="H251" s="7">
        <f t="shared" si="28"/>
        <v>147.41475139599001</v>
      </c>
      <c r="I251" s="7">
        <f t="shared" si="29"/>
        <v>320.34725023479189</v>
      </c>
      <c r="J251" s="7">
        <v>1250.6960934786498</v>
      </c>
      <c r="K251" s="7">
        <f t="shared" si="30"/>
        <v>19.947306116086921</v>
      </c>
      <c r="L251" s="7">
        <f t="shared" si="31"/>
        <v>75.081891326989421</v>
      </c>
      <c r="M251" s="7">
        <v>1160.5257274334676</v>
      </c>
      <c r="N251" s="7">
        <f t="shared" si="32"/>
        <v>92.545911278585947</v>
      </c>
      <c r="O251" s="7">
        <f t="shared" si="33"/>
        <v>35.031865040788304</v>
      </c>
    </row>
    <row r="252" spans="3:15" x14ac:dyDescent="0.2">
      <c r="C252">
        <v>233</v>
      </c>
      <c r="D252" s="7">
        <v>3658.1569334868277</v>
      </c>
      <c r="E252" s="7">
        <f t="shared" si="26"/>
        <v>109.39464514015634</v>
      </c>
      <c r="F252" s="7">
        <f t="shared" si="27"/>
        <v>295.40531101126288</v>
      </c>
      <c r="G252" s="7">
        <v>6161.2858346951816</v>
      </c>
      <c r="H252" s="7">
        <f t="shared" si="28"/>
        <v>147.39918264821009</v>
      </c>
      <c r="I252" s="7">
        <f t="shared" si="29"/>
        <v>320.31341776216846</v>
      </c>
      <c r="J252" s="7">
        <v>1509.6430665131725</v>
      </c>
      <c r="K252" s="7">
        <f t="shared" si="30"/>
        <v>24.077241890162242</v>
      </c>
      <c r="L252" s="7">
        <f t="shared" si="31"/>
        <v>90.627017429330422</v>
      </c>
      <c r="M252" s="7">
        <v>1161.1765010906677</v>
      </c>
      <c r="N252" s="7">
        <f t="shared" si="32"/>
        <v>92.597807104518964</v>
      </c>
      <c r="O252" s="7">
        <f t="shared" si="33"/>
        <v>35.051509426425099</v>
      </c>
    </row>
    <row r="253" spans="3:15" x14ac:dyDescent="0.2">
      <c r="C253">
        <v>234</v>
      </c>
      <c r="D253" s="7">
        <v>3666.4752723370971</v>
      </c>
      <c r="E253" s="7">
        <f t="shared" si="26"/>
        <v>109.64339929237731</v>
      </c>
      <c r="F253" s="7">
        <f t="shared" si="27"/>
        <v>296.07703765389732</v>
      </c>
      <c r="G253" s="7">
        <v>6160.3310377940479</v>
      </c>
      <c r="H253" s="7">
        <f t="shared" si="28"/>
        <v>147.37634061708249</v>
      </c>
      <c r="I253" s="7">
        <f t="shared" si="29"/>
        <v>320.26377970497128</v>
      </c>
      <c r="J253" s="7">
        <v>1768.6247276629033</v>
      </c>
      <c r="K253" s="7">
        <f t="shared" si="30"/>
        <v>28.20773090371457</v>
      </c>
      <c r="L253" s="7">
        <f t="shared" si="31"/>
        <v>106.17422593147261</v>
      </c>
      <c r="M253" s="7">
        <v>1162.1312979918011</v>
      </c>
      <c r="N253" s="7">
        <f t="shared" si="32"/>
        <v>92.67394720827761</v>
      </c>
      <c r="O253" s="7">
        <f t="shared" si="33"/>
        <v>35.080331119379593</v>
      </c>
    </row>
    <row r="254" spans="3:15" x14ac:dyDescent="0.2">
      <c r="C254">
        <v>235</v>
      </c>
      <c r="D254" s="7">
        <v>3674.7582275080526</v>
      </c>
      <c r="E254" s="7">
        <f t="shared" si="26"/>
        <v>109.89109532021689</v>
      </c>
      <c r="F254" s="7">
        <f t="shared" si="27"/>
        <v>296.74590697603333</v>
      </c>
      <c r="G254" s="7">
        <v>6158.9124180807694</v>
      </c>
      <c r="H254" s="7">
        <f t="shared" si="28"/>
        <v>147.34240234642991</v>
      </c>
      <c r="I254" s="7">
        <f t="shared" si="29"/>
        <v>320.19002839054497</v>
      </c>
      <c r="J254" s="7">
        <v>2265.2417724919464</v>
      </c>
      <c r="K254" s="7">
        <f t="shared" si="30"/>
        <v>36.128257934480807</v>
      </c>
      <c r="L254" s="7">
        <f t="shared" si="31"/>
        <v>135.98718144113283</v>
      </c>
      <c r="M254" s="7">
        <v>1163.5499177050797</v>
      </c>
      <c r="N254" s="7">
        <f t="shared" si="32"/>
        <v>92.787074777119599</v>
      </c>
      <c r="O254" s="7">
        <f t="shared" si="33"/>
        <v>35.123153861835874</v>
      </c>
    </row>
    <row r="255" spans="3:15" x14ac:dyDescent="0.2">
      <c r="C255">
        <v>236</v>
      </c>
      <c r="D255" s="7">
        <v>3683.0048837340419</v>
      </c>
      <c r="E255" s="7">
        <f t="shared" si="26"/>
        <v>110.13770585329074</v>
      </c>
      <c r="F255" s="7">
        <f t="shared" si="27"/>
        <v>297.41184506768303</v>
      </c>
      <c r="G255" s="7">
        <v>6157.2111723744038</v>
      </c>
      <c r="H255" s="7">
        <f t="shared" si="28"/>
        <v>147.30170268838287</v>
      </c>
      <c r="I255" s="7">
        <f t="shared" si="29"/>
        <v>320.10158389352279</v>
      </c>
      <c r="J255" s="7">
        <v>2256.9951162659572</v>
      </c>
      <c r="K255" s="7">
        <f t="shared" si="30"/>
        <v>35.996732316841424</v>
      </c>
      <c r="L255" s="7">
        <f t="shared" si="31"/>
        <v>135.49211749250514</v>
      </c>
      <c r="M255" s="7">
        <v>1165.2511634114453</v>
      </c>
      <c r="N255" s="7">
        <f t="shared" si="32"/>
        <v>92.922740303943016</v>
      </c>
      <c r="O255" s="7">
        <f t="shared" si="33"/>
        <v>35.174508009855003</v>
      </c>
    </row>
    <row r="256" spans="3:15" x14ac:dyDescent="0.2">
      <c r="C256">
        <v>237</v>
      </c>
      <c r="D256" s="7">
        <v>3691.2150813796729</v>
      </c>
      <c r="E256" s="7">
        <f t="shared" si="26"/>
        <v>110.38322611781319</v>
      </c>
      <c r="F256" s="7">
        <f t="shared" si="27"/>
        <v>298.07483903788972</v>
      </c>
      <c r="G256" s="7">
        <v>6155.36792308637</v>
      </c>
      <c r="H256" s="7">
        <f t="shared" si="28"/>
        <v>147.25760581546339</v>
      </c>
      <c r="I256" s="7">
        <f t="shared" si="29"/>
        <v>320.00575690300838</v>
      </c>
      <c r="J256" s="7">
        <v>2545.7849186203271</v>
      </c>
      <c r="K256" s="7">
        <f t="shared" si="30"/>
        <v>40.602630281025952</v>
      </c>
      <c r="L256" s="7">
        <f t="shared" si="31"/>
        <v>152.82877079283281</v>
      </c>
      <c r="M256" s="7">
        <v>1167.0944126994791</v>
      </c>
      <c r="N256" s="7">
        <f t="shared" si="32"/>
        <v>93.069729880341242</v>
      </c>
      <c r="O256" s="7">
        <f t="shared" si="33"/>
        <v>35.230148706798218</v>
      </c>
    </row>
    <row r="257" spans="3:15" x14ac:dyDescent="0.2">
      <c r="C257">
        <v>238</v>
      </c>
      <c r="D257" s="7">
        <v>3699.3888577368089</v>
      </c>
      <c r="E257" s="7">
        <f t="shared" si="26"/>
        <v>110.62765722897156</v>
      </c>
      <c r="F257" s="7">
        <f t="shared" si="27"/>
        <v>298.73489189806446</v>
      </c>
      <c r="G257" s="7">
        <v>6153.9040735662948</v>
      </c>
      <c r="H257" s="7">
        <f t="shared" si="28"/>
        <v>147.22258549201663</v>
      </c>
      <c r="I257" s="7">
        <f t="shared" si="29"/>
        <v>319.92965417779084</v>
      </c>
      <c r="J257" s="7">
        <v>1765.4111422631913</v>
      </c>
      <c r="K257" s="7">
        <f t="shared" si="30"/>
        <v>28.156477548057278</v>
      </c>
      <c r="L257" s="7">
        <f t="shared" si="31"/>
        <v>105.98130770696605</v>
      </c>
      <c r="M257" s="7">
        <v>1168.5582622195545</v>
      </c>
      <c r="N257" s="7">
        <f t="shared" si="32"/>
        <v>93.186464291830518</v>
      </c>
      <c r="O257" s="7">
        <f t="shared" si="33"/>
        <v>35.274336765378109</v>
      </c>
    </row>
    <row r="258" spans="3:15" x14ac:dyDescent="0.2">
      <c r="C258">
        <v>239</v>
      </c>
      <c r="D258" s="7">
        <v>3699.5132855736906</v>
      </c>
      <c r="E258" s="7">
        <f t="shared" si="26"/>
        <v>110.63137815710797</v>
      </c>
      <c r="F258" s="7">
        <f t="shared" si="27"/>
        <v>298.74493975673238</v>
      </c>
      <c r="G258" s="7">
        <v>0</v>
      </c>
      <c r="H258" s="7">
        <f t="shared" si="28"/>
        <v>0</v>
      </c>
      <c r="I258" s="7">
        <f t="shared" si="29"/>
        <v>0</v>
      </c>
      <c r="J258" s="7">
        <v>993.08671442630975</v>
      </c>
      <c r="K258" s="7">
        <f t="shared" si="30"/>
        <v>15.838703579366983</v>
      </c>
      <c r="L258" s="7">
        <f t="shared" si="31"/>
        <v>59.617063777217275</v>
      </c>
      <c r="M258" s="7">
        <v>0</v>
      </c>
      <c r="N258" s="7">
        <f t="shared" si="32"/>
        <v>0</v>
      </c>
      <c r="O258" s="7">
        <f t="shared" si="33"/>
        <v>0</v>
      </c>
    </row>
    <row r="259" spans="3:15" x14ac:dyDescent="0.2">
      <c r="C259">
        <v>240</v>
      </c>
      <c r="D259" s="7">
        <v>3693.8433699813822</v>
      </c>
      <c r="E259" s="7">
        <f t="shared" si="26"/>
        <v>110.4618232649935</v>
      </c>
      <c r="F259" s="7">
        <f t="shared" si="27"/>
        <v>298.28707990834226</v>
      </c>
      <c r="G259" s="7">
        <v>0</v>
      </c>
      <c r="H259" s="7">
        <f t="shared" si="28"/>
        <v>0</v>
      </c>
      <c r="I259" s="7">
        <f t="shared" si="29"/>
        <v>0</v>
      </c>
      <c r="J259" s="7">
        <v>226.5566300186174</v>
      </c>
      <c r="K259" s="7">
        <f t="shared" si="30"/>
        <v>3.6133433814771516</v>
      </c>
      <c r="L259" s="7">
        <f t="shared" si="31"/>
        <v>13.600666351451393</v>
      </c>
      <c r="M259" s="7">
        <v>0</v>
      </c>
      <c r="N259" s="7">
        <f t="shared" si="32"/>
        <v>0</v>
      </c>
      <c r="O259" s="7">
        <f t="shared" si="33"/>
        <v>0</v>
      </c>
    </row>
    <row r="260" spans="3:15" x14ac:dyDescent="0.2">
      <c r="C260">
        <v>241</v>
      </c>
      <c r="D260" s="7">
        <v>2524.5</v>
      </c>
      <c r="E260" s="7">
        <f t="shared" si="26"/>
        <v>75.493421052631589</v>
      </c>
      <c r="F260" s="7">
        <f t="shared" si="27"/>
        <v>203.85968158482189</v>
      </c>
      <c r="G260" s="7">
        <v>0</v>
      </c>
      <c r="H260" s="7">
        <f t="shared" si="28"/>
        <v>0</v>
      </c>
      <c r="I260" s="7">
        <f t="shared" si="29"/>
        <v>0</v>
      </c>
      <c r="J260" s="7">
        <v>0</v>
      </c>
      <c r="K260" s="7">
        <f t="shared" si="30"/>
        <v>0</v>
      </c>
      <c r="L260" s="7">
        <f t="shared" si="31"/>
        <v>0</v>
      </c>
      <c r="M260" s="7">
        <v>0</v>
      </c>
      <c r="N260" s="7">
        <f t="shared" si="32"/>
        <v>0</v>
      </c>
      <c r="O260" s="7">
        <f t="shared" si="33"/>
        <v>0</v>
      </c>
    </row>
    <row r="261" spans="3:15" x14ac:dyDescent="0.2">
      <c r="C261">
        <v>242</v>
      </c>
      <c r="D261" s="7">
        <v>2376</v>
      </c>
      <c r="E261" s="7">
        <f t="shared" si="26"/>
        <v>71.05263157894737</v>
      </c>
      <c r="F261" s="7">
        <f t="shared" si="27"/>
        <v>191.86793560924414</v>
      </c>
      <c r="G261" s="7">
        <v>0</v>
      </c>
      <c r="H261" s="7">
        <f t="shared" si="28"/>
        <v>0</v>
      </c>
      <c r="I261" s="7">
        <f t="shared" si="29"/>
        <v>0</v>
      </c>
      <c r="J261" s="7">
        <v>0</v>
      </c>
      <c r="K261" s="7">
        <f t="shared" si="30"/>
        <v>0</v>
      </c>
      <c r="L261" s="7">
        <f t="shared" si="31"/>
        <v>0</v>
      </c>
      <c r="M261" s="7">
        <v>0</v>
      </c>
      <c r="N261" s="7">
        <f t="shared" si="32"/>
        <v>0</v>
      </c>
      <c r="O261" s="7">
        <f t="shared" si="33"/>
        <v>0</v>
      </c>
    </row>
    <row r="262" spans="3:15" x14ac:dyDescent="0.2">
      <c r="C262">
        <v>243</v>
      </c>
      <c r="D262" s="7">
        <v>2524.5</v>
      </c>
      <c r="E262" s="7">
        <f t="shared" si="26"/>
        <v>75.493421052631589</v>
      </c>
      <c r="F262" s="7">
        <f t="shared" si="27"/>
        <v>203.85968158482189</v>
      </c>
      <c r="G262" s="7">
        <v>0</v>
      </c>
      <c r="H262" s="7">
        <f t="shared" si="28"/>
        <v>0</v>
      </c>
      <c r="I262" s="7">
        <f t="shared" si="29"/>
        <v>0</v>
      </c>
      <c r="J262" s="7">
        <v>0</v>
      </c>
      <c r="K262" s="7">
        <f t="shared" si="30"/>
        <v>0</v>
      </c>
      <c r="L262" s="7">
        <f t="shared" si="31"/>
        <v>0</v>
      </c>
      <c r="M262" s="7">
        <v>0</v>
      </c>
      <c r="N262" s="7">
        <f t="shared" si="32"/>
        <v>0</v>
      </c>
      <c r="O262" s="7">
        <f t="shared" si="33"/>
        <v>0</v>
      </c>
    </row>
    <row r="263" spans="3:15" x14ac:dyDescent="0.2">
      <c r="C263">
        <v>244</v>
      </c>
      <c r="D263" s="7">
        <v>2673</v>
      </c>
      <c r="E263" s="7">
        <f t="shared" si="26"/>
        <v>79.934210526315795</v>
      </c>
      <c r="F263" s="7">
        <f t="shared" si="27"/>
        <v>215.85142756039966</v>
      </c>
      <c r="G263" s="7">
        <v>0</v>
      </c>
      <c r="H263" s="7">
        <f t="shared" si="28"/>
        <v>0</v>
      </c>
      <c r="I263" s="7">
        <f t="shared" si="29"/>
        <v>0</v>
      </c>
      <c r="J263" s="7">
        <v>0</v>
      </c>
      <c r="K263" s="7">
        <f t="shared" si="30"/>
        <v>0</v>
      </c>
      <c r="L263" s="7">
        <f t="shared" si="31"/>
        <v>0</v>
      </c>
      <c r="M263" s="7">
        <v>0</v>
      </c>
      <c r="N263" s="7">
        <f t="shared" si="32"/>
        <v>0</v>
      </c>
      <c r="O263" s="7">
        <f t="shared" si="33"/>
        <v>0</v>
      </c>
    </row>
    <row r="264" spans="3:15" x14ac:dyDescent="0.2">
      <c r="C264">
        <v>245</v>
      </c>
      <c r="D264" s="7">
        <v>2969.9999999999995</v>
      </c>
      <c r="E264" s="7">
        <f t="shared" si="26"/>
        <v>88.815789473684205</v>
      </c>
      <c r="F264" s="7">
        <f t="shared" si="27"/>
        <v>239.83491951155514</v>
      </c>
      <c r="G264" s="7">
        <v>0</v>
      </c>
      <c r="H264" s="7">
        <f t="shared" si="28"/>
        <v>0</v>
      </c>
      <c r="I264" s="7">
        <f t="shared" si="29"/>
        <v>0</v>
      </c>
      <c r="J264" s="7">
        <v>0</v>
      </c>
      <c r="K264" s="7">
        <f t="shared" si="30"/>
        <v>0</v>
      </c>
      <c r="L264" s="7">
        <f t="shared" si="31"/>
        <v>0</v>
      </c>
      <c r="M264" s="7">
        <v>0</v>
      </c>
      <c r="N264" s="7">
        <f t="shared" si="32"/>
        <v>0</v>
      </c>
      <c r="O264" s="7">
        <f t="shared" si="33"/>
        <v>0</v>
      </c>
    </row>
    <row r="265" spans="3:15" x14ac:dyDescent="0.2">
      <c r="C265">
        <v>246</v>
      </c>
      <c r="D265" s="7">
        <v>3167.9999999999995</v>
      </c>
      <c r="E265" s="7">
        <f t="shared" si="26"/>
        <v>94.73684210526315</v>
      </c>
      <c r="F265" s="7">
        <f t="shared" si="27"/>
        <v>255.82391414565882</v>
      </c>
      <c r="G265" s="7">
        <v>0</v>
      </c>
      <c r="H265" s="7">
        <f t="shared" si="28"/>
        <v>0</v>
      </c>
      <c r="I265" s="7">
        <f t="shared" si="29"/>
        <v>0</v>
      </c>
      <c r="J265" s="7">
        <v>0</v>
      </c>
      <c r="K265" s="7">
        <f t="shared" si="30"/>
        <v>0</v>
      </c>
      <c r="L265" s="7">
        <f t="shared" si="31"/>
        <v>0</v>
      </c>
      <c r="M265" s="7">
        <v>0</v>
      </c>
      <c r="N265" s="7">
        <f t="shared" si="32"/>
        <v>0</v>
      </c>
      <c r="O265" s="7">
        <f t="shared" si="33"/>
        <v>0</v>
      </c>
    </row>
    <row r="266" spans="3:15" x14ac:dyDescent="0.2">
      <c r="C266">
        <v>247</v>
      </c>
      <c r="D266" s="7">
        <v>3365.9999999999995</v>
      </c>
      <c r="E266" s="7">
        <f t="shared" si="26"/>
        <v>100.6578947368421</v>
      </c>
      <c r="F266" s="7">
        <f t="shared" si="27"/>
        <v>271.81290877976249</v>
      </c>
      <c r="G266" s="7">
        <v>6154.9559022278381</v>
      </c>
      <c r="H266" s="7">
        <f t="shared" si="28"/>
        <v>147.24774885712532</v>
      </c>
      <c r="I266" s="7">
        <f t="shared" si="29"/>
        <v>319.9843367298617</v>
      </c>
      <c r="J266" s="7">
        <v>0</v>
      </c>
      <c r="K266" s="7">
        <f t="shared" si="30"/>
        <v>0</v>
      </c>
      <c r="L266" s="7">
        <f t="shared" si="31"/>
        <v>0</v>
      </c>
      <c r="M266" s="7">
        <v>1167.5064335580109</v>
      </c>
      <c r="N266" s="7">
        <f t="shared" si="32"/>
        <v>93.102586408134854</v>
      </c>
      <c r="O266" s="7">
        <f t="shared" si="33"/>
        <v>35.242586052019334</v>
      </c>
    </row>
    <row r="267" spans="3:15" x14ac:dyDescent="0.2">
      <c r="C267">
        <v>248</v>
      </c>
      <c r="D267" s="7">
        <v>3563.9999999999995</v>
      </c>
      <c r="E267" s="7">
        <f t="shared" si="26"/>
        <v>106.57894736842104</v>
      </c>
      <c r="F267" s="7">
        <f t="shared" si="27"/>
        <v>287.80190341386617</v>
      </c>
      <c r="G267" s="7">
        <v>6156.8511276671243</v>
      </c>
      <c r="H267" s="7">
        <f t="shared" si="28"/>
        <v>147.29308917863935</v>
      </c>
      <c r="I267" s="7">
        <f t="shared" si="29"/>
        <v>320.08286586065924</v>
      </c>
      <c r="J267" s="7">
        <v>0</v>
      </c>
      <c r="K267" s="7">
        <f t="shared" si="30"/>
        <v>0</v>
      </c>
      <c r="L267" s="7">
        <f t="shared" si="31"/>
        <v>0</v>
      </c>
      <c r="M267" s="7">
        <v>1165.611208118725</v>
      </c>
      <c r="N267" s="7">
        <f t="shared" si="32"/>
        <v>92.951452003088122</v>
      </c>
      <c r="O267" s="7">
        <f t="shared" si="33"/>
        <v>35.185376392430165</v>
      </c>
    </row>
    <row r="268" spans="3:15" x14ac:dyDescent="0.2">
      <c r="C268">
        <v>249</v>
      </c>
      <c r="D268" s="7">
        <v>3691.0515321247517</v>
      </c>
      <c r="E268" s="7">
        <f t="shared" si="26"/>
        <v>110.37833529081196</v>
      </c>
      <c r="F268" s="7">
        <f t="shared" si="27"/>
        <v>298.06163202698389</v>
      </c>
      <c r="G268" s="7">
        <v>6158.7703546618441</v>
      </c>
      <c r="H268" s="7">
        <f t="shared" si="28"/>
        <v>147.33900370004412</v>
      </c>
      <c r="I268" s="7">
        <f t="shared" si="29"/>
        <v>320.1826427862286</v>
      </c>
      <c r="J268" s="7">
        <v>70.948467875247388</v>
      </c>
      <c r="K268" s="7">
        <f t="shared" si="30"/>
        <v>1.1315545115669441</v>
      </c>
      <c r="L268" s="7">
        <f t="shared" si="31"/>
        <v>4.259184291532816</v>
      </c>
      <c r="M268" s="7">
        <v>1163.6919811240048</v>
      </c>
      <c r="N268" s="7">
        <f t="shared" si="32"/>
        <v>92.798403598405486</v>
      </c>
      <c r="O268" s="7">
        <f t="shared" si="33"/>
        <v>35.127442217019535</v>
      </c>
    </row>
    <row r="269" spans="3:15" x14ac:dyDescent="0.2">
      <c r="C269">
        <v>250</v>
      </c>
      <c r="D269" s="7">
        <v>3699.3004024637848</v>
      </c>
      <c r="E269" s="7">
        <f t="shared" si="26"/>
        <v>110.62501203540027</v>
      </c>
      <c r="F269" s="7">
        <f t="shared" si="27"/>
        <v>298.72774891379311</v>
      </c>
      <c r="G269" s="7">
        <v>6160.5254074124896</v>
      </c>
      <c r="H269" s="7">
        <f t="shared" si="28"/>
        <v>147.38099060795432</v>
      </c>
      <c r="I269" s="7">
        <f t="shared" si="29"/>
        <v>320.27388460814615</v>
      </c>
      <c r="J269" s="7">
        <v>260.6995975362147</v>
      </c>
      <c r="K269" s="7">
        <f t="shared" si="30"/>
        <v>4.157888317961957</v>
      </c>
      <c r="L269" s="7">
        <f t="shared" si="31"/>
        <v>15.650339801383641</v>
      </c>
      <c r="M269" s="7">
        <v>1161.936928373359</v>
      </c>
      <c r="N269" s="7">
        <f t="shared" si="32"/>
        <v>92.658447238704866</v>
      </c>
      <c r="O269" s="7">
        <f t="shared" si="33"/>
        <v>35.074463838646096</v>
      </c>
    </row>
    <row r="270" spans="3:15" x14ac:dyDescent="0.2">
      <c r="C270">
        <v>251</v>
      </c>
      <c r="D270" s="7">
        <v>3707.5203037972587</v>
      </c>
      <c r="E270" s="7">
        <f t="shared" si="26"/>
        <v>110.87082248197545</v>
      </c>
      <c r="F270" s="7">
        <f t="shared" si="27"/>
        <v>299.39152648103436</v>
      </c>
      <c r="G270" s="7">
        <v>6162.0662265694955</v>
      </c>
      <c r="H270" s="7">
        <f t="shared" si="28"/>
        <v>147.41785231027501</v>
      </c>
      <c r="I270" s="7">
        <f t="shared" si="29"/>
        <v>320.35398883696712</v>
      </c>
      <c r="J270" s="7">
        <v>450.47969620274125</v>
      </c>
      <c r="K270" s="7">
        <f t="shared" si="30"/>
        <v>7.1846841499639762</v>
      </c>
      <c r="L270" s="7">
        <f t="shared" si="31"/>
        <v>27.043234380972187</v>
      </c>
      <c r="M270" s="7">
        <v>1160.396109216354</v>
      </c>
      <c r="N270" s="7">
        <f t="shared" si="32"/>
        <v>92.535574897635897</v>
      </c>
      <c r="O270" s="7">
        <f t="shared" si="33"/>
        <v>35.027952358991243</v>
      </c>
    </row>
    <row r="271" spans="3:15" x14ac:dyDescent="0.2">
      <c r="C271">
        <v>252</v>
      </c>
      <c r="D271" s="7">
        <v>3715.7108362274316</v>
      </c>
      <c r="E271" s="7">
        <f t="shared" si="26"/>
        <v>111.11575467187296</v>
      </c>
      <c r="F271" s="7">
        <f t="shared" si="27"/>
        <v>300.05293243596611</v>
      </c>
      <c r="G271" s="7">
        <v>6163.3929546438958</v>
      </c>
      <c r="H271" s="7">
        <f t="shared" si="28"/>
        <v>147.44959221636114</v>
      </c>
      <c r="I271" s="7">
        <f t="shared" si="29"/>
        <v>320.42296288156649</v>
      </c>
      <c r="J271" s="7">
        <v>640.28916377256837</v>
      </c>
      <c r="K271" s="7">
        <f t="shared" si="30"/>
        <v>10.211948385527407</v>
      </c>
      <c r="L271" s="7">
        <f t="shared" si="31"/>
        <v>38.437892036992729</v>
      </c>
      <c r="M271" s="7">
        <v>1159.0693811419537</v>
      </c>
      <c r="N271" s="7">
        <f t="shared" si="32"/>
        <v>92.429775210682124</v>
      </c>
      <c r="O271" s="7">
        <f t="shared" si="33"/>
        <v>34.987903476187924</v>
      </c>
    </row>
    <row r="272" spans="3:15" x14ac:dyDescent="0.2">
      <c r="C272">
        <v>253</v>
      </c>
      <c r="D272" s="7">
        <v>3723.8716022167678</v>
      </c>
      <c r="E272" s="7">
        <f t="shared" si="26"/>
        <v>111.35979671700861</v>
      </c>
      <c r="F272" s="7">
        <f t="shared" si="27"/>
        <v>300.71193467643923</v>
      </c>
      <c r="G272" s="7">
        <v>6164.5057530026406</v>
      </c>
      <c r="H272" s="7">
        <f t="shared" si="28"/>
        <v>147.47621418666606</v>
      </c>
      <c r="I272" s="7">
        <f t="shared" si="29"/>
        <v>320.4808151311023</v>
      </c>
      <c r="J272" s="7">
        <v>830.12839778323132</v>
      </c>
      <c r="K272" s="7">
        <f t="shared" si="30"/>
        <v>13.239687364963817</v>
      </c>
      <c r="L272" s="7">
        <f t="shared" si="31"/>
        <v>49.834336634451468</v>
      </c>
      <c r="M272" s="7">
        <v>1157.9565827832087</v>
      </c>
      <c r="N272" s="7">
        <f t="shared" si="32"/>
        <v>92.34103530966577</v>
      </c>
      <c r="O272" s="7">
        <f t="shared" si="33"/>
        <v>34.954312319180673</v>
      </c>
    </row>
    <row r="273" spans="3:15" x14ac:dyDescent="0.2">
      <c r="C273">
        <v>254</v>
      </c>
      <c r="D273" s="7">
        <v>3732.0022066219117</v>
      </c>
      <c r="E273" s="7">
        <f t="shared" si="26"/>
        <v>111.6029368008945</v>
      </c>
      <c r="F273" s="7">
        <f t="shared" si="27"/>
        <v>301.36850129364058</v>
      </c>
      <c r="G273" s="7">
        <v>6165.4048018285957</v>
      </c>
      <c r="H273" s="7">
        <f t="shared" si="28"/>
        <v>147.4977225317846</v>
      </c>
      <c r="I273" s="7">
        <f t="shared" si="29"/>
        <v>320.52755495293542</v>
      </c>
      <c r="J273" s="7">
        <v>1019.9977933780883</v>
      </c>
      <c r="K273" s="7">
        <f t="shared" si="30"/>
        <v>16.267907390400133</v>
      </c>
      <c r="L273" s="7">
        <f t="shared" si="31"/>
        <v>61.232591894627156</v>
      </c>
      <c r="M273" s="7">
        <v>1157.0575339572531</v>
      </c>
      <c r="N273" s="7">
        <f t="shared" si="32"/>
        <v>92.269340825937249</v>
      </c>
      <c r="O273" s="7">
        <f t="shared" si="33"/>
        <v>34.927173448932955</v>
      </c>
    </row>
    <row r="274" spans="3:15" x14ac:dyDescent="0.2">
      <c r="C274">
        <v>255</v>
      </c>
      <c r="D274" s="7">
        <v>3740.1024318747754</v>
      </c>
      <c r="E274" s="7">
        <f t="shared" si="26"/>
        <v>111.84516841730789</v>
      </c>
      <c r="F274" s="7">
        <f t="shared" si="27"/>
        <v>302.02261471840353</v>
      </c>
      <c r="G274" s="7">
        <v>6166.3240682702899</v>
      </c>
      <c r="H274" s="7">
        <f t="shared" si="28"/>
        <v>147.51971455192083</v>
      </c>
      <c r="I274" s="7">
        <f t="shared" si="29"/>
        <v>320.57534584978282</v>
      </c>
      <c r="J274" s="7">
        <v>863.39756812522455</v>
      </c>
      <c r="K274" s="7">
        <f t="shared" si="30"/>
        <v>13.77029614234808</v>
      </c>
      <c r="L274" s="7">
        <f t="shared" si="31"/>
        <v>51.831554220067339</v>
      </c>
      <c r="M274" s="7">
        <v>1156.1382675155594</v>
      </c>
      <c r="N274" s="7">
        <f t="shared" si="32"/>
        <v>92.196034092149873</v>
      </c>
      <c r="O274" s="7">
        <f t="shared" si="33"/>
        <v>34.899424285635078</v>
      </c>
    </row>
    <row r="275" spans="3:15" x14ac:dyDescent="0.2">
      <c r="C275">
        <v>256</v>
      </c>
      <c r="D275" s="7">
        <v>3748.1725110924617</v>
      </c>
      <c r="E275" s="7">
        <f t="shared" si="26"/>
        <v>112.08649853745401</v>
      </c>
      <c r="F275" s="7">
        <f t="shared" si="27"/>
        <v>302.67429377551656</v>
      </c>
      <c r="G275" s="7">
        <v>6167.163092973823</v>
      </c>
      <c r="H275" s="7">
        <f t="shared" si="28"/>
        <v>147.53978691324937</v>
      </c>
      <c r="I275" s="7">
        <f t="shared" si="29"/>
        <v>320.61896513276787</v>
      </c>
      <c r="J275" s="7">
        <v>1201.8274889075383</v>
      </c>
      <c r="K275" s="7">
        <f t="shared" si="30"/>
        <v>19.167902534410501</v>
      </c>
      <c r="L275" s="7">
        <f t="shared" si="31"/>
        <v>72.148207215524295</v>
      </c>
      <c r="M275" s="7">
        <v>1155.2992428120258</v>
      </c>
      <c r="N275" s="7">
        <f t="shared" si="32"/>
        <v>92.12912622105469</v>
      </c>
      <c r="O275" s="7">
        <f t="shared" si="33"/>
        <v>34.874097315723709</v>
      </c>
    </row>
    <row r="276" spans="3:15" x14ac:dyDescent="0.2">
      <c r="C276">
        <v>257</v>
      </c>
      <c r="D276" s="7">
        <v>3756.2118513137352</v>
      </c>
      <c r="E276" s="7">
        <f t="shared" si="26"/>
        <v>112.3269094292385</v>
      </c>
      <c r="F276" s="7">
        <f t="shared" si="27"/>
        <v>303.32349058187856</v>
      </c>
      <c r="G276" s="7">
        <v>6167.5880925208949</v>
      </c>
      <c r="H276" s="7">
        <f t="shared" si="28"/>
        <v>147.5499543665286</v>
      </c>
      <c r="I276" s="7">
        <f t="shared" si="29"/>
        <v>320.64106004300618</v>
      </c>
      <c r="J276" s="7">
        <v>1540.2881486862648</v>
      </c>
      <c r="K276" s="7">
        <f t="shared" si="30"/>
        <v>24.565999181599121</v>
      </c>
      <c r="L276" s="7">
        <f t="shared" si="31"/>
        <v>92.466705536956269</v>
      </c>
      <c r="M276" s="7">
        <v>1154.8742432649542</v>
      </c>
      <c r="N276" s="7">
        <f t="shared" si="32"/>
        <v>92.095234710123947</v>
      </c>
      <c r="O276" s="7">
        <f t="shared" si="33"/>
        <v>34.861268193177388</v>
      </c>
    </row>
    <row r="277" spans="3:15" x14ac:dyDescent="0.2">
      <c r="C277">
        <v>258</v>
      </c>
      <c r="D277" s="7">
        <v>3763.6903080473157</v>
      </c>
      <c r="E277" s="7">
        <f t="shared" ref="E277:E340" si="34">D277/($C$3*($D$8-$D$6))</f>
        <v>112.55054748945322</v>
      </c>
      <c r="F277" s="7">
        <f t="shared" ref="F277:F340" si="35">E277*$C$3*((($D$8)-($D$6))-$C$2*LN(($D$8)/($D$6)))</f>
        <v>303.92739464543712</v>
      </c>
      <c r="G277" s="7">
        <v>6167.59953869316</v>
      </c>
      <c r="H277" s="7">
        <f t="shared" ref="H277:H340" si="36">G277/($C$3*($D$6-$D$9))</f>
        <v>147.55022819840096</v>
      </c>
      <c r="I277" s="7">
        <f t="shared" ref="I277:I340" si="37">ABS(H277*$C$3*(($D$9-$D$6)-$C$2*(LN($D$9/$D$6))))</f>
        <v>320.6416551075198</v>
      </c>
      <c r="J277" s="7">
        <v>1879.3096919526834</v>
      </c>
      <c r="K277" s="7">
        <f t="shared" ref="K277:K340" si="38">J277/($C$3*($D$10-$D$7))</f>
        <v>29.973041338958268</v>
      </c>
      <c r="L277" s="7">
        <f t="shared" ref="L277:L340" si="39">K277*$C$3*(($D$10-$D$7)-$C$2*LN($D$10/$D$7))</f>
        <v>112.81887486231125</v>
      </c>
      <c r="M277" s="7">
        <v>1154.8627970926893</v>
      </c>
      <c r="N277" s="7">
        <f t="shared" ref="N277:N340" si="40">M277/($C$3*($D$7-$D$11))</f>
        <v>92.094321937216066</v>
      </c>
      <c r="O277" s="7">
        <f t="shared" ref="O277:O340" si="41">ABS(N277*$C$3*(($D$11-$D$7)-$C$2*LN($D$11/$D$7)))</f>
        <v>34.860922676699346</v>
      </c>
    </row>
    <row r="278" spans="3:15" x14ac:dyDescent="0.2">
      <c r="C278">
        <v>259</v>
      </c>
      <c r="D278" s="7">
        <v>3769.0225167617268</v>
      </c>
      <c r="E278" s="7">
        <f t="shared" si="34"/>
        <v>112.71000349167844</v>
      </c>
      <c r="F278" s="7">
        <f t="shared" si="35"/>
        <v>304.3579838197939</v>
      </c>
      <c r="G278" s="7">
        <v>6167.7049363272072</v>
      </c>
      <c r="H278" s="7">
        <f t="shared" si="36"/>
        <v>147.55274967289969</v>
      </c>
      <c r="I278" s="7">
        <f t="shared" si="37"/>
        <v>320.64713452809713</v>
      </c>
      <c r="J278" s="7">
        <v>1465.6024832382732</v>
      </c>
      <c r="K278" s="7">
        <f t="shared" si="38"/>
        <v>23.374840243034662</v>
      </c>
      <c r="L278" s="7">
        <f t="shared" si="39"/>
        <v>87.983169491638222</v>
      </c>
      <c r="M278" s="7">
        <v>1154.7573994586421</v>
      </c>
      <c r="N278" s="7">
        <f t="shared" si="40"/>
        <v>92.085917022220272</v>
      </c>
      <c r="O278" s="7">
        <f t="shared" si="41"/>
        <v>34.857741122336286</v>
      </c>
    </row>
    <row r="279" spans="3:15" x14ac:dyDescent="0.2">
      <c r="C279">
        <v>260</v>
      </c>
      <c r="D279" s="7">
        <v>3774.3287684462248</v>
      </c>
      <c r="E279" s="7">
        <f t="shared" si="34"/>
        <v>112.86868326693256</v>
      </c>
      <c r="F279" s="7">
        <f t="shared" si="35"/>
        <v>304.78647689914055</v>
      </c>
      <c r="G279" s="7">
        <v>6168.4119799533237</v>
      </c>
      <c r="H279" s="7">
        <f t="shared" si="36"/>
        <v>147.56966459218478</v>
      </c>
      <c r="I279" s="7">
        <f t="shared" si="37"/>
        <v>320.68389236833775</v>
      </c>
      <c r="J279" s="7">
        <v>1051.9212315537752</v>
      </c>
      <c r="K279" s="7">
        <f t="shared" si="38"/>
        <v>16.77705313482895</v>
      </c>
      <c r="L279" s="7">
        <f t="shared" si="39"/>
        <v>63.149022375531743</v>
      </c>
      <c r="M279" s="7">
        <v>1154.0503558325256</v>
      </c>
      <c r="N279" s="7">
        <f t="shared" si="40"/>
        <v>92.029533957936664</v>
      </c>
      <c r="O279" s="7">
        <f t="shared" si="41"/>
        <v>34.836398160002446</v>
      </c>
    </row>
    <row r="280" spans="3:15" x14ac:dyDescent="0.2">
      <c r="C280">
        <v>261</v>
      </c>
      <c r="D280" s="7">
        <v>3779.6104980491154</v>
      </c>
      <c r="E280" s="7">
        <f t="shared" si="34"/>
        <v>113.02662972634916</v>
      </c>
      <c r="F280" s="7">
        <f t="shared" si="35"/>
        <v>305.21298975913754</v>
      </c>
      <c r="G280" s="7">
        <v>6169.7196637122806</v>
      </c>
      <c r="H280" s="7">
        <f t="shared" si="36"/>
        <v>147.60094889263831</v>
      </c>
      <c r="I280" s="7">
        <f t="shared" si="37"/>
        <v>320.75187633555203</v>
      </c>
      <c r="J280" s="7">
        <v>638.26450195088455</v>
      </c>
      <c r="K280" s="7">
        <f t="shared" si="38"/>
        <v>10.179657128403264</v>
      </c>
      <c r="L280" s="7">
        <f t="shared" si="39"/>
        <v>38.31634737105653</v>
      </c>
      <c r="M280" s="7">
        <v>1152.7426720735684</v>
      </c>
      <c r="N280" s="7">
        <f t="shared" si="40"/>
        <v>91.925252956424927</v>
      </c>
      <c r="O280" s="7">
        <f t="shared" si="41"/>
        <v>34.796924152768568</v>
      </c>
    </row>
    <row r="281" spans="3:15" x14ac:dyDescent="0.2">
      <c r="C281">
        <v>262</v>
      </c>
      <c r="D281" s="7">
        <v>3784.8691317787147</v>
      </c>
      <c r="E281" s="7">
        <f t="shared" si="34"/>
        <v>113.18388551969842</v>
      </c>
      <c r="F281" s="7">
        <f t="shared" si="35"/>
        <v>305.63763756966927</v>
      </c>
      <c r="G281" s="7">
        <v>6171.626930178415</v>
      </c>
      <c r="H281" s="7">
        <f t="shared" si="36"/>
        <v>147.64657727699557</v>
      </c>
      <c r="I281" s="7">
        <f t="shared" si="37"/>
        <v>320.85103145621048</v>
      </c>
      <c r="J281" s="7">
        <v>224.63086822128525</v>
      </c>
      <c r="K281" s="7">
        <f t="shared" si="38"/>
        <v>3.582629477213481</v>
      </c>
      <c r="L281" s="7">
        <f t="shared" si="39"/>
        <v>13.485058859956954</v>
      </c>
      <c r="M281" s="7">
        <v>1150.835405607434</v>
      </c>
      <c r="N281" s="7">
        <f t="shared" si="40"/>
        <v>91.773158341900654</v>
      </c>
      <c r="O281" s="7">
        <f t="shared" si="41"/>
        <v>34.739351020300226</v>
      </c>
    </row>
    <row r="282" spans="3:15" x14ac:dyDescent="0.2">
      <c r="C282">
        <v>263</v>
      </c>
      <c r="D282" s="7">
        <v>3601.1250000000005</v>
      </c>
      <c r="E282" s="7">
        <f t="shared" si="34"/>
        <v>107.68914473684212</v>
      </c>
      <c r="F282" s="7">
        <f t="shared" si="35"/>
        <v>290.79983990776066</v>
      </c>
      <c r="G282" s="7">
        <v>0</v>
      </c>
      <c r="H282" s="7">
        <f t="shared" si="36"/>
        <v>0</v>
      </c>
      <c r="I282" s="7">
        <f t="shared" si="37"/>
        <v>0</v>
      </c>
      <c r="J282" s="7">
        <v>0</v>
      </c>
      <c r="K282" s="7">
        <f t="shared" si="38"/>
        <v>0</v>
      </c>
      <c r="L282" s="7">
        <f t="shared" si="39"/>
        <v>0</v>
      </c>
      <c r="M282" s="7">
        <v>0</v>
      </c>
      <c r="N282" s="7">
        <f t="shared" si="40"/>
        <v>0</v>
      </c>
      <c r="O282" s="7">
        <f t="shared" si="41"/>
        <v>0</v>
      </c>
    </row>
    <row r="283" spans="3:15" x14ac:dyDescent="0.2">
      <c r="C283">
        <v>264</v>
      </c>
      <c r="D283" s="7">
        <v>2969.9999999999995</v>
      </c>
      <c r="E283" s="7">
        <f t="shared" si="34"/>
        <v>88.815789473684205</v>
      </c>
      <c r="F283" s="7">
        <f t="shared" si="35"/>
        <v>239.83491951155514</v>
      </c>
      <c r="G283" s="7">
        <v>0</v>
      </c>
      <c r="H283" s="7">
        <f t="shared" si="36"/>
        <v>0</v>
      </c>
      <c r="I283" s="7">
        <f t="shared" si="37"/>
        <v>0</v>
      </c>
      <c r="J283" s="7">
        <v>0</v>
      </c>
      <c r="K283" s="7">
        <f t="shared" si="38"/>
        <v>0</v>
      </c>
      <c r="L283" s="7">
        <f t="shared" si="39"/>
        <v>0</v>
      </c>
      <c r="M283" s="7">
        <v>0</v>
      </c>
      <c r="N283" s="7">
        <f t="shared" si="40"/>
        <v>0</v>
      </c>
      <c r="O283" s="7">
        <f t="shared" si="41"/>
        <v>0</v>
      </c>
    </row>
    <row r="284" spans="3:15" x14ac:dyDescent="0.2">
      <c r="C284">
        <v>265</v>
      </c>
      <c r="D284" s="7">
        <v>2524.5</v>
      </c>
      <c r="E284" s="7">
        <f t="shared" si="34"/>
        <v>75.493421052631589</v>
      </c>
      <c r="F284" s="7">
        <f t="shared" si="35"/>
        <v>203.85968158482189</v>
      </c>
      <c r="G284" s="7">
        <v>0</v>
      </c>
      <c r="H284" s="7">
        <f t="shared" si="36"/>
        <v>0</v>
      </c>
      <c r="I284" s="7">
        <f t="shared" si="37"/>
        <v>0</v>
      </c>
      <c r="J284" s="7">
        <v>0</v>
      </c>
      <c r="K284" s="7">
        <f t="shared" si="38"/>
        <v>0</v>
      </c>
      <c r="L284" s="7">
        <f t="shared" si="39"/>
        <v>0</v>
      </c>
      <c r="M284" s="7">
        <v>0</v>
      </c>
      <c r="N284" s="7">
        <f t="shared" si="40"/>
        <v>0</v>
      </c>
      <c r="O284" s="7">
        <f t="shared" si="41"/>
        <v>0</v>
      </c>
    </row>
    <row r="285" spans="3:15" x14ac:dyDescent="0.2">
      <c r="C285">
        <v>266</v>
      </c>
      <c r="D285" s="7">
        <v>2376</v>
      </c>
      <c r="E285" s="7">
        <f t="shared" si="34"/>
        <v>71.05263157894737</v>
      </c>
      <c r="F285" s="7">
        <f t="shared" si="35"/>
        <v>191.86793560924414</v>
      </c>
      <c r="G285" s="7">
        <v>0</v>
      </c>
      <c r="H285" s="7">
        <f t="shared" si="36"/>
        <v>0</v>
      </c>
      <c r="I285" s="7">
        <f t="shared" si="37"/>
        <v>0</v>
      </c>
      <c r="J285" s="7">
        <v>0</v>
      </c>
      <c r="K285" s="7">
        <f t="shared" si="38"/>
        <v>0</v>
      </c>
      <c r="L285" s="7">
        <f t="shared" si="39"/>
        <v>0</v>
      </c>
      <c r="M285" s="7">
        <v>0</v>
      </c>
      <c r="N285" s="7">
        <f t="shared" si="40"/>
        <v>0</v>
      </c>
      <c r="O285" s="7">
        <f t="shared" si="41"/>
        <v>0</v>
      </c>
    </row>
    <row r="286" spans="3:15" x14ac:dyDescent="0.2">
      <c r="C286">
        <v>267</v>
      </c>
      <c r="D286" s="7">
        <v>2524.5</v>
      </c>
      <c r="E286" s="7">
        <f t="shared" si="34"/>
        <v>75.493421052631589</v>
      </c>
      <c r="F286" s="7">
        <f t="shared" si="35"/>
        <v>203.85968158482189</v>
      </c>
      <c r="G286" s="7">
        <v>0</v>
      </c>
      <c r="H286" s="7">
        <f t="shared" si="36"/>
        <v>0</v>
      </c>
      <c r="I286" s="7">
        <f t="shared" si="37"/>
        <v>0</v>
      </c>
      <c r="J286" s="7">
        <v>0</v>
      </c>
      <c r="K286" s="7">
        <f t="shared" si="38"/>
        <v>0</v>
      </c>
      <c r="L286" s="7">
        <f t="shared" si="39"/>
        <v>0</v>
      </c>
      <c r="M286" s="7">
        <v>0</v>
      </c>
      <c r="N286" s="7">
        <f t="shared" si="40"/>
        <v>0</v>
      </c>
      <c r="O286" s="7">
        <f t="shared" si="41"/>
        <v>0</v>
      </c>
    </row>
    <row r="287" spans="3:15" x14ac:dyDescent="0.2">
      <c r="C287">
        <v>268</v>
      </c>
      <c r="D287" s="7">
        <v>2673</v>
      </c>
      <c r="E287" s="7">
        <f t="shared" si="34"/>
        <v>79.934210526315795</v>
      </c>
      <c r="F287" s="7">
        <f t="shared" si="35"/>
        <v>215.85142756039966</v>
      </c>
      <c r="G287" s="7">
        <v>0</v>
      </c>
      <c r="H287" s="7">
        <f t="shared" si="36"/>
        <v>0</v>
      </c>
      <c r="I287" s="7">
        <f t="shared" si="37"/>
        <v>0</v>
      </c>
      <c r="J287" s="7">
        <v>0</v>
      </c>
      <c r="K287" s="7">
        <f t="shared" si="38"/>
        <v>0</v>
      </c>
      <c r="L287" s="7">
        <f t="shared" si="39"/>
        <v>0</v>
      </c>
      <c r="M287" s="7">
        <v>0</v>
      </c>
      <c r="N287" s="7">
        <f t="shared" si="40"/>
        <v>0</v>
      </c>
      <c r="O287" s="7">
        <f t="shared" si="41"/>
        <v>0</v>
      </c>
    </row>
    <row r="288" spans="3:15" x14ac:dyDescent="0.2">
      <c r="C288">
        <v>269</v>
      </c>
      <c r="D288" s="7">
        <v>2943</v>
      </c>
      <c r="E288" s="7">
        <f t="shared" si="34"/>
        <v>88.008373205741634</v>
      </c>
      <c r="F288" s="7">
        <f t="shared" si="35"/>
        <v>237.65460206145011</v>
      </c>
      <c r="G288" s="7">
        <v>0</v>
      </c>
      <c r="H288" s="7">
        <f t="shared" si="36"/>
        <v>0</v>
      </c>
      <c r="I288" s="7">
        <f t="shared" si="37"/>
        <v>0</v>
      </c>
      <c r="J288" s="7">
        <v>0</v>
      </c>
      <c r="K288" s="7">
        <f t="shared" si="38"/>
        <v>0</v>
      </c>
      <c r="L288" s="7">
        <f t="shared" si="39"/>
        <v>0</v>
      </c>
      <c r="M288" s="7">
        <v>0</v>
      </c>
      <c r="N288" s="7">
        <f t="shared" si="40"/>
        <v>0</v>
      </c>
      <c r="O288" s="7">
        <f t="shared" si="41"/>
        <v>0</v>
      </c>
    </row>
    <row r="289" spans="3:15" x14ac:dyDescent="0.2">
      <c r="C289">
        <v>270</v>
      </c>
      <c r="D289" s="7">
        <v>3131.9999999999995</v>
      </c>
      <c r="E289" s="7">
        <f t="shared" si="34"/>
        <v>93.660287081339703</v>
      </c>
      <c r="F289" s="7">
        <f t="shared" si="35"/>
        <v>252.91682421218542</v>
      </c>
      <c r="G289" s="7">
        <v>0</v>
      </c>
      <c r="H289" s="7">
        <f t="shared" si="36"/>
        <v>0</v>
      </c>
      <c r="I289" s="7">
        <f t="shared" si="37"/>
        <v>0</v>
      </c>
      <c r="J289" s="7">
        <v>0</v>
      </c>
      <c r="K289" s="7">
        <f t="shared" si="38"/>
        <v>0</v>
      </c>
      <c r="L289" s="7">
        <f t="shared" si="39"/>
        <v>0</v>
      </c>
      <c r="M289" s="7">
        <v>0</v>
      </c>
      <c r="N289" s="7">
        <f t="shared" si="40"/>
        <v>0</v>
      </c>
      <c r="O289" s="7">
        <f t="shared" si="41"/>
        <v>0</v>
      </c>
    </row>
    <row r="290" spans="3:15" x14ac:dyDescent="0.2">
      <c r="C290">
        <v>271</v>
      </c>
      <c r="D290" s="7">
        <v>3321</v>
      </c>
      <c r="E290" s="7">
        <f t="shared" si="34"/>
        <v>99.312200956937801</v>
      </c>
      <c r="F290" s="7">
        <f t="shared" si="35"/>
        <v>268.17904636292076</v>
      </c>
      <c r="G290" s="7">
        <v>6184.7308119652917</v>
      </c>
      <c r="H290" s="7">
        <f t="shared" si="36"/>
        <v>147.96006727189695</v>
      </c>
      <c r="I290" s="7">
        <f t="shared" si="37"/>
        <v>321.53227710423255</v>
      </c>
      <c r="J290" s="7">
        <v>0</v>
      </c>
      <c r="K290" s="7">
        <f t="shared" si="38"/>
        <v>0</v>
      </c>
      <c r="L290" s="7">
        <f t="shared" si="39"/>
        <v>0</v>
      </c>
      <c r="M290" s="7">
        <v>1137.731523820557</v>
      </c>
      <c r="N290" s="7">
        <f t="shared" si="40"/>
        <v>90.72819169222943</v>
      </c>
      <c r="O290" s="7">
        <f t="shared" si="41"/>
        <v>34.343794586335136</v>
      </c>
    </row>
    <row r="291" spans="3:15" x14ac:dyDescent="0.2">
      <c r="C291">
        <v>272</v>
      </c>
      <c r="D291" s="7">
        <v>3510</v>
      </c>
      <c r="E291" s="7">
        <f t="shared" si="34"/>
        <v>104.9641148325359</v>
      </c>
      <c r="F291" s="7">
        <f t="shared" si="35"/>
        <v>283.4412685136561</v>
      </c>
      <c r="G291" s="7">
        <v>6187.6254845704798</v>
      </c>
      <c r="H291" s="7">
        <f t="shared" si="36"/>
        <v>148.02931781269092</v>
      </c>
      <c r="I291" s="7">
        <f t="shared" si="37"/>
        <v>321.68276557374145</v>
      </c>
      <c r="J291" s="7">
        <v>0</v>
      </c>
      <c r="K291" s="7">
        <f t="shared" si="38"/>
        <v>0</v>
      </c>
      <c r="L291" s="7">
        <f t="shared" si="39"/>
        <v>0</v>
      </c>
      <c r="M291" s="7">
        <v>1134.8368512153691</v>
      </c>
      <c r="N291" s="7">
        <f t="shared" si="40"/>
        <v>90.497356556249528</v>
      </c>
      <c r="O291" s="7">
        <f t="shared" si="41"/>
        <v>34.256415411841111</v>
      </c>
    </row>
    <row r="292" spans="3:15" x14ac:dyDescent="0.2">
      <c r="C292">
        <v>273</v>
      </c>
      <c r="D292" s="7">
        <v>3699</v>
      </c>
      <c r="E292" s="7">
        <f t="shared" si="34"/>
        <v>110.61602870813398</v>
      </c>
      <c r="F292" s="7">
        <f t="shared" si="35"/>
        <v>298.70349066439144</v>
      </c>
      <c r="G292" s="7">
        <v>6190.5577117873336</v>
      </c>
      <c r="H292" s="7">
        <f t="shared" si="36"/>
        <v>148.09946678917066</v>
      </c>
      <c r="I292" s="7">
        <f t="shared" si="37"/>
        <v>321.83520643538708</v>
      </c>
      <c r="J292" s="7">
        <v>0</v>
      </c>
      <c r="K292" s="7">
        <f t="shared" si="38"/>
        <v>0</v>
      </c>
      <c r="L292" s="7">
        <f t="shared" si="39"/>
        <v>0</v>
      </c>
      <c r="M292" s="7">
        <v>1131.9046239985155</v>
      </c>
      <c r="N292" s="7">
        <f t="shared" si="40"/>
        <v>90.263526634650361</v>
      </c>
      <c r="O292" s="7">
        <f t="shared" si="41"/>
        <v>34.167902606220757</v>
      </c>
    </row>
    <row r="293" spans="3:15" x14ac:dyDescent="0.2">
      <c r="C293">
        <v>274</v>
      </c>
      <c r="D293" s="7">
        <v>3754.0297544169098</v>
      </c>
      <c r="E293" s="7">
        <f t="shared" si="34"/>
        <v>112.26165533543391</v>
      </c>
      <c r="F293" s="7">
        <f t="shared" si="35"/>
        <v>303.14728080625008</v>
      </c>
      <c r="G293" s="7">
        <v>6193.4612067218814</v>
      </c>
      <c r="H293" s="7">
        <f t="shared" si="36"/>
        <v>148.16892839047563</v>
      </c>
      <c r="I293" s="7">
        <f t="shared" si="37"/>
        <v>321.98615356085605</v>
      </c>
      <c r="J293" s="7">
        <v>133.97024558308976</v>
      </c>
      <c r="K293" s="7">
        <f t="shared" si="38"/>
        <v>2.1366865324256743</v>
      </c>
      <c r="L293" s="7">
        <f t="shared" si="39"/>
        <v>8.0425128633308063</v>
      </c>
      <c r="M293" s="7">
        <v>1129.0011290639675</v>
      </c>
      <c r="N293" s="7">
        <f t="shared" si="40"/>
        <v>90.031987963633782</v>
      </c>
      <c r="O293" s="7">
        <f t="shared" si="41"/>
        <v>34.080257119102917</v>
      </c>
    </row>
    <row r="294" spans="3:15" x14ac:dyDescent="0.2">
      <c r="C294">
        <v>275</v>
      </c>
      <c r="D294" s="7">
        <v>3759.4293883669288</v>
      </c>
      <c r="E294" s="7">
        <f t="shared" si="34"/>
        <v>112.42312764255171</v>
      </c>
      <c r="F294" s="7">
        <f t="shared" si="35"/>
        <v>303.58331473682068</v>
      </c>
      <c r="G294" s="7">
        <v>6196.0572776741628</v>
      </c>
      <c r="H294" s="7">
        <f t="shared" si="36"/>
        <v>148.23103535105653</v>
      </c>
      <c r="I294" s="7">
        <f t="shared" si="37"/>
        <v>322.12111830389654</v>
      </c>
      <c r="J294" s="7">
        <v>317.57061163307071</v>
      </c>
      <c r="K294" s="7">
        <f t="shared" si="38"/>
        <v>5.0649220356151634</v>
      </c>
      <c r="L294" s="7">
        <f t="shared" si="39"/>
        <v>19.064425223366069</v>
      </c>
      <c r="M294" s="7">
        <v>1126.405058111686</v>
      </c>
      <c r="N294" s="7">
        <f t="shared" si="40"/>
        <v>89.824964761697458</v>
      </c>
      <c r="O294" s="7">
        <f t="shared" si="41"/>
        <v>34.001891594679975</v>
      </c>
    </row>
    <row r="295" spans="3:15" x14ac:dyDescent="0.2">
      <c r="C295">
        <v>276</v>
      </c>
      <c r="D295" s="7">
        <v>3764.8073850257233</v>
      </c>
      <c r="E295" s="7">
        <f t="shared" si="34"/>
        <v>112.58395290148695</v>
      </c>
      <c r="F295" s="7">
        <f t="shared" si="35"/>
        <v>304.01760140207165</v>
      </c>
      <c r="G295" s="7">
        <v>6198.3606413935604</v>
      </c>
      <c r="H295" s="7">
        <f t="shared" si="36"/>
        <v>148.28613974625745</v>
      </c>
      <c r="I295" s="7">
        <f t="shared" si="37"/>
        <v>322.24086576004521</v>
      </c>
      <c r="J295" s="7">
        <v>501.19261497427669</v>
      </c>
      <c r="K295" s="7">
        <f t="shared" si="38"/>
        <v>7.9935026311686874</v>
      </c>
      <c r="L295" s="7">
        <f t="shared" si="39"/>
        <v>30.087636515057735</v>
      </c>
      <c r="M295" s="7">
        <v>1124.1016943922889</v>
      </c>
      <c r="N295" s="7">
        <f t="shared" si="40"/>
        <v>89.641283444361164</v>
      </c>
      <c r="O295" s="7">
        <f t="shared" si="41"/>
        <v>33.932361790169551</v>
      </c>
    </row>
    <row r="296" spans="3:15" x14ac:dyDescent="0.2">
      <c r="C296">
        <v>277</v>
      </c>
      <c r="D296" s="7">
        <v>3770.1631935672458</v>
      </c>
      <c r="E296" s="7">
        <f t="shared" si="34"/>
        <v>112.74411464016885</v>
      </c>
      <c r="F296" s="7">
        <f t="shared" si="35"/>
        <v>304.45009632142364</v>
      </c>
      <c r="G296" s="7">
        <v>6200.3917309739709</v>
      </c>
      <c r="H296" s="7">
        <f t="shared" si="36"/>
        <v>148.33473040607586</v>
      </c>
      <c r="I296" s="7">
        <f t="shared" si="37"/>
        <v>322.34645820661194</v>
      </c>
      <c r="J296" s="7">
        <v>684.8368064327542</v>
      </c>
      <c r="K296" s="7">
        <f t="shared" si="38"/>
        <v>10.922437104190658</v>
      </c>
      <c r="L296" s="7">
        <f t="shared" si="39"/>
        <v>41.112179805640601</v>
      </c>
      <c r="M296" s="7">
        <v>1122.0706048118782</v>
      </c>
      <c r="N296" s="7">
        <f t="shared" si="40"/>
        <v>89.479314578299707</v>
      </c>
      <c r="O296" s="7">
        <f t="shared" si="41"/>
        <v>33.871050908054038</v>
      </c>
    </row>
    <row r="297" spans="3:15" x14ac:dyDescent="0.2">
      <c r="C297">
        <v>278</v>
      </c>
      <c r="D297" s="7">
        <v>3775.496409300451</v>
      </c>
      <c r="E297" s="7">
        <f t="shared" si="34"/>
        <v>112.90360075659244</v>
      </c>
      <c r="F297" s="7">
        <f t="shared" si="35"/>
        <v>304.88076681506368</v>
      </c>
      <c r="G297" s="7">
        <v>6202.3354998517734</v>
      </c>
      <c r="H297" s="7">
        <f t="shared" si="36"/>
        <v>148.38123205387018</v>
      </c>
      <c r="I297" s="7">
        <f t="shared" si="37"/>
        <v>322.44751101754997</v>
      </c>
      <c r="J297" s="7">
        <v>594.64644784240591</v>
      </c>
      <c r="K297" s="7">
        <f t="shared" si="38"/>
        <v>9.4839943834514511</v>
      </c>
      <c r="L297" s="7">
        <f t="shared" si="39"/>
        <v>35.697864739229679</v>
      </c>
      <c r="M297" s="7">
        <v>1120.1268359340761</v>
      </c>
      <c r="N297" s="7">
        <f t="shared" si="40"/>
        <v>89.324309085652004</v>
      </c>
      <c r="O297" s="7">
        <f t="shared" si="41"/>
        <v>33.812375906381952</v>
      </c>
    </row>
    <row r="298" spans="3:15" x14ac:dyDescent="0.2">
      <c r="C298">
        <v>279</v>
      </c>
      <c r="D298" s="7">
        <v>3780.8071826401642</v>
      </c>
      <c r="E298" s="7">
        <f t="shared" si="34"/>
        <v>113.06241574880875</v>
      </c>
      <c r="F298" s="7">
        <f t="shared" si="35"/>
        <v>305.30962502936478</v>
      </c>
      <c r="G298" s="7">
        <v>6204.3765375541525</v>
      </c>
      <c r="H298" s="7">
        <f t="shared" si="36"/>
        <v>148.43006070703714</v>
      </c>
      <c r="I298" s="7">
        <f t="shared" si="37"/>
        <v>322.55362064787238</v>
      </c>
      <c r="J298" s="7">
        <v>504.47853164555045</v>
      </c>
      <c r="K298" s="7">
        <f t="shared" si="38"/>
        <v>8.045909595622815</v>
      </c>
      <c r="L298" s="7">
        <f t="shared" si="39"/>
        <v>30.284896936441093</v>
      </c>
      <c r="M298" s="7">
        <v>1118.0857982316968</v>
      </c>
      <c r="N298" s="7">
        <f t="shared" si="40"/>
        <v>89.161546908428775</v>
      </c>
      <c r="O298" s="7">
        <f t="shared" si="41"/>
        <v>33.750764728238543</v>
      </c>
    </row>
    <row r="299" spans="3:15" x14ac:dyDescent="0.2">
      <c r="C299">
        <v>280</v>
      </c>
      <c r="D299" s="7">
        <v>3786.0958008606954</v>
      </c>
      <c r="E299" s="7">
        <f t="shared" si="34"/>
        <v>113.22056820755668</v>
      </c>
      <c r="F299" s="7">
        <f t="shared" si="35"/>
        <v>305.73669416244508</v>
      </c>
      <c r="G299" s="7">
        <v>6206.5144804174452</v>
      </c>
      <c r="H299" s="7">
        <f t="shared" si="36"/>
        <v>148.48120766548914</v>
      </c>
      <c r="I299" s="7">
        <f t="shared" si="37"/>
        <v>322.66476819140388</v>
      </c>
      <c r="J299" s="7">
        <v>414.3327705678762</v>
      </c>
      <c r="K299" s="7">
        <f t="shared" si="38"/>
        <v>6.6081781589772923</v>
      </c>
      <c r="L299" s="7">
        <f t="shared" si="39"/>
        <v>24.873259151599619</v>
      </c>
      <c r="M299" s="7">
        <v>1115.9478553684041</v>
      </c>
      <c r="N299" s="7">
        <f t="shared" si="40"/>
        <v>88.99105704692218</v>
      </c>
      <c r="O299" s="7">
        <f t="shared" si="41"/>
        <v>33.686228351248936</v>
      </c>
    </row>
    <row r="300" spans="3:15" x14ac:dyDescent="0.2">
      <c r="C300">
        <v>281</v>
      </c>
      <c r="D300" s="7">
        <v>3791.3625492339806</v>
      </c>
      <c r="E300" s="7">
        <f t="shared" si="34"/>
        <v>113.37806666369561</v>
      </c>
      <c r="F300" s="7">
        <f t="shared" si="35"/>
        <v>306.16199725072607</v>
      </c>
      <c r="G300" s="7">
        <v>6208.7489568368746</v>
      </c>
      <c r="H300" s="7">
        <f t="shared" si="36"/>
        <v>148.53466403915968</v>
      </c>
      <c r="I300" s="7">
        <f t="shared" si="37"/>
        <v>322.78093432912561</v>
      </c>
      <c r="J300" s="7">
        <v>324.2088793374478</v>
      </c>
      <c r="K300" s="7">
        <f t="shared" si="38"/>
        <v>5.1707955237232506</v>
      </c>
      <c r="L300" s="7">
        <f t="shared" si="39"/>
        <v>19.462934259236828</v>
      </c>
      <c r="M300" s="7">
        <v>1113.7133789489744</v>
      </c>
      <c r="N300" s="7">
        <f t="shared" si="40"/>
        <v>88.812869134686963</v>
      </c>
      <c r="O300" s="7">
        <f t="shared" si="41"/>
        <v>33.618777992750296</v>
      </c>
    </row>
    <row r="301" spans="3:15" x14ac:dyDescent="0.2">
      <c r="C301">
        <v>282</v>
      </c>
      <c r="D301" s="7">
        <v>3796.6077110191732</v>
      </c>
      <c r="E301" s="7">
        <f t="shared" si="34"/>
        <v>113.53491958789394</v>
      </c>
      <c r="F301" s="7">
        <f t="shared" si="35"/>
        <v>306.58555716809195</v>
      </c>
      <c r="G301" s="7">
        <v>6211.0795873098486</v>
      </c>
      <c r="H301" s="7">
        <f t="shared" si="36"/>
        <v>148.59042074903945</v>
      </c>
      <c r="I301" s="7">
        <f t="shared" si="37"/>
        <v>322.90209933142677</v>
      </c>
      <c r="J301" s="7">
        <v>234.10657469511261</v>
      </c>
      <c r="K301" s="7">
        <f t="shared" si="38"/>
        <v>3.7337571721708551</v>
      </c>
      <c r="L301" s="7">
        <f t="shared" si="39"/>
        <v>14.053905254715842</v>
      </c>
      <c r="M301" s="7">
        <v>1111.3827484760002</v>
      </c>
      <c r="N301" s="7">
        <f t="shared" si="40"/>
        <v>88.627013435087747</v>
      </c>
      <c r="O301" s="7">
        <f t="shared" si="41"/>
        <v>33.548425108484864</v>
      </c>
    </row>
    <row r="302" spans="3:15" x14ac:dyDescent="0.2">
      <c r="C302">
        <v>283</v>
      </c>
      <c r="D302" s="7">
        <v>3801.8315674524079</v>
      </c>
      <c r="E302" s="7">
        <f t="shared" si="34"/>
        <v>113.69113539032321</v>
      </c>
      <c r="F302" s="7">
        <f t="shared" si="35"/>
        <v>307.00739662506322</v>
      </c>
      <c r="G302" s="7">
        <v>6213.5059844799034</v>
      </c>
      <c r="H302" s="7">
        <f t="shared" si="36"/>
        <v>148.64846852822737</v>
      </c>
      <c r="I302" s="7">
        <f t="shared" si="37"/>
        <v>323.02824306038872</v>
      </c>
      <c r="J302" s="7">
        <v>144.02557540473572</v>
      </c>
      <c r="K302" s="7">
        <f t="shared" si="38"/>
        <v>2.2970586188953068</v>
      </c>
      <c r="L302" s="7">
        <f t="shared" si="39"/>
        <v>8.6461552548457554</v>
      </c>
      <c r="M302" s="7">
        <v>1108.9563513059452</v>
      </c>
      <c r="N302" s="7">
        <f t="shared" si="40"/>
        <v>88.433520837794674</v>
      </c>
      <c r="O302" s="7">
        <f t="shared" si="41"/>
        <v>33.475181391273445</v>
      </c>
    </row>
    <row r="303" spans="3:15" x14ac:dyDescent="0.2">
      <c r="C303">
        <v>284</v>
      </c>
      <c r="D303" s="7">
        <v>3807.0343977367233</v>
      </c>
      <c r="E303" s="7">
        <f t="shared" si="34"/>
        <v>113.84672242035657</v>
      </c>
      <c r="F303" s="7">
        <f t="shared" si="35"/>
        <v>307.42753816798279</v>
      </c>
      <c r="G303" s="7">
        <v>6216.0277531812881</v>
      </c>
      <c r="H303" s="7">
        <f t="shared" si="36"/>
        <v>148.70879792299732</v>
      </c>
      <c r="I303" s="7">
        <f t="shared" si="37"/>
        <v>323.15934497210293</v>
      </c>
      <c r="J303" s="7">
        <v>53.965602263276651</v>
      </c>
      <c r="K303" s="7">
        <f t="shared" si="38"/>
        <v>0.8606954108975543</v>
      </c>
      <c r="L303" s="7">
        <f t="shared" si="39"/>
        <v>3.2396674984865448</v>
      </c>
      <c r="M303" s="7">
        <v>1106.4345826045608</v>
      </c>
      <c r="N303" s="7">
        <f t="shared" si="40"/>
        <v>88.232422855228137</v>
      </c>
      <c r="O303" s="7">
        <f t="shared" si="41"/>
        <v>33.399058769669566</v>
      </c>
    </row>
    <row r="304" spans="3:15" x14ac:dyDescent="0.2">
      <c r="C304">
        <v>285</v>
      </c>
      <c r="D304" s="7">
        <v>3812.2162860125741</v>
      </c>
      <c r="E304" s="7">
        <f t="shared" si="34"/>
        <v>114.00168319415593</v>
      </c>
      <c r="F304" s="7">
        <f t="shared" si="35"/>
        <v>307.84598859140249</v>
      </c>
      <c r="G304" s="7">
        <v>6218.386868395738</v>
      </c>
      <c r="H304" s="7">
        <f t="shared" si="36"/>
        <v>148.76523608602244</v>
      </c>
      <c r="I304" s="7">
        <f t="shared" si="37"/>
        <v>323.28199084140829</v>
      </c>
      <c r="J304" s="7">
        <v>345.78371398742593</v>
      </c>
      <c r="K304" s="7">
        <f t="shared" si="38"/>
        <v>5.5148917701343851</v>
      </c>
      <c r="L304" s="7">
        <f t="shared" si="39"/>
        <v>20.758116517367927</v>
      </c>
      <c r="M304" s="7">
        <v>1104.0754673901113</v>
      </c>
      <c r="N304" s="7">
        <f t="shared" si="40"/>
        <v>88.044295645144445</v>
      </c>
      <c r="O304" s="7">
        <f t="shared" si="41"/>
        <v>33.327846039219345</v>
      </c>
    </row>
    <row r="305" spans="3:15" x14ac:dyDescent="0.2">
      <c r="C305">
        <v>286</v>
      </c>
      <c r="D305" s="7">
        <v>3712.4999999999995</v>
      </c>
      <c r="E305" s="7">
        <f t="shared" si="34"/>
        <v>111.01973684210526</v>
      </c>
      <c r="F305" s="7">
        <f t="shared" si="35"/>
        <v>299.79364938944394</v>
      </c>
      <c r="G305" s="7">
        <v>6220.8102819880405</v>
      </c>
      <c r="H305" s="7">
        <f t="shared" si="36"/>
        <v>148.82321248775219</v>
      </c>
      <c r="I305" s="7">
        <f t="shared" si="37"/>
        <v>323.40797945989294</v>
      </c>
      <c r="J305" s="7">
        <v>0</v>
      </c>
      <c r="K305" s="7">
        <f t="shared" si="38"/>
        <v>0</v>
      </c>
      <c r="L305" s="7">
        <f t="shared" si="39"/>
        <v>0</v>
      </c>
      <c r="M305" s="7">
        <v>1101.652053797809</v>
      </c>
      <c r="N305" s="7">
        <f t="shared" si="40"/>
        <v>87.851040972712042</v>
      </c>
      <c r="O305" s="7">
        <f t="shared" si="41"/>
        <v>33.254692384891236</v>
      </c>
    </row>
    <row r="306" spans="3:15" x14ac:dyDescent="0.2">
      <c r="C306">
        <v>287</v>
      </c>
      <c r="D306" s="7">
        <v>3267</v>
      </c>
      <c r="E306" s="7">
        <f t="shared" si="34"/>
        <v>97.697368421052644</v>
      </c>
      <c r="F306" s="7">
        <f t="shared" si="35"/>
        <v>263.81841146271069</v>
      </c>
      <c r="G306" s="7">
        <v>0</v>
      </c>
      <c r="H306" s="7">
        <f t="shared" si="36"/>
        <v>0</v>
      </c>
      <c r="I306" s="7">
        <f t="shared" si="37"/>
        <v>0</v>
      </c>
      <c r="J306" s="7">
        <v>0</v>
      </c>
      <c r="K306" s="7">
        <f t="shared" si="38"/>
        <v>0</v>
      </c>
      <c r="L306" s="7">
        <f t="shared" si="39"/>
        <v>0</v>
      </c>
      <c r="M306" s="7">
        <v>0</v>
      </c>
      <c r="N306" s="7">
        <f t="shared" si="40"/>
        <v>0</v>
      </c>
      <c r="O306" s="7">
        <f t="shared" si="41"/>
        <v>0</v>
      </c>
    </row>
    <row r="307" spans="3:15" x14ac:dyDescent="0.2">
      <c r="C307">
        <v>288</v>
      </c>
      <c r="D307" s="7">
        <v>2821.4999999999995</v>
      </c>
      <c r="E307" s="7">
        <f t="shared" si="34"/>
        <v>84.374999999999986</v>
      </c>
      <c r="F307" s="7">
        <f t="shared" si="35"/>
        <v>227.84317353597737</v>
      </c>
      <c r="G307" s="7">
        <v>0</v>
      </c>
      <c r="H307" s="7">
        <f t="shared" si="36"/>
        <v>0</v>
      </c>
      <c r="I307" s="7">
        <f t="shared" si="37"/>
        <v>0</v>
      </c>
      <c r="J307" s="7">
        <v>0</v>
      </c>
      <c r="K307" s="7">
        <f t="shared" si="38"/>
        <v>0</v>
      </c>
      <c r="L307" s="7">
        <f t="shared" si="39"/>
        <v>0</v>
      </c>
      <c r="M307" s="7">
        <v>0</v>
      </c>
      <c r="N307" s="7">
        <f t="shared" si="40"/>
        <v>0</v>
      </c>
      <c r="O307" s="7">
        <f t="shared" si="41"/>
        <v>0</v>
      </c>
    </row>
    <row r="308" spans="3:15" x14ac:dyDescent="0.2">
      <c r="C308">
        <v>289</v>
      </c>
      <c r="D308" s="7">
        <v>2376</v>
      </c>
      <c r="E308" s="7">
        <f t="shared" si="34"/>
        <v>71.05263157894737</v>
      </c>
      <c r="F308" s="7">
        <f t="shared" si="35"/>
        <v>191.86793560924414</v>
      </c>
      <c r="G308" s="7">
        <v>0</v>
      </c>
      <c r="H308" s="7">
        <f t="shared" si="36"/>
        <v>0</v>
      </c>
      <c r="I308" s="7">
        <f t="shared" si="37"/>
        <v>0</v>
      </c>
      <c r="J308" s="7">
        <v>0</v>
      </c>
      <c r="K308" s="7">
        <f t="shared" si="38"/>
        <v>0</v>
      </c>
      <c r="L308" s="7">
        <f t="shared" si="39"/>
        <v>0</v>
      </c>
      <c r="M308" s="7">
        <v>0</v>
      </c>
      <c r="N308" s="7">
        <f t="shared" si="40"/>
        <v>0</v>
      </c>
      <c r="O308" s="7">
        <f t="shared" si="41"/>
        <v>0</v>
      </c>
    </row>
    <row r="309" spans="3:15" x14ac:dyDescent="0.2">
      <c r="C309">
        <v>290</v>
      </c>
      <c r="D309" s="7">
        <v>2376</v>
      </c>
      <c r="E309" s="7">
        <f t="shared" si="34"/>
        <v>71.05263157894737</v>
      </c>
      <c r="F309" s="7">
        <f t="shared" si="35"/>
        <v>191.86793560924414</v>
      </c>
      <c r="G309" s="7">
        <v>0</v>
      </c>
      <c r="H309" s="7">
        <f t="shared" si="36"/>
        <v>0</v>
      </c>
      <c r="I309" s="7">
        <f t="shared" si="37"/>
        <v>0</v>
      </c>
      <c r="J309" s="7">
        <v>0</v>
      </c>
      <c r="K309" s="7">
        <f t="shared" si="38"/>
        <v>0</v>
      </c>
      <c r="L309" s="7">
        <f t="shared" si="39"/>
        <v>0</v>
      </c>
      <c r="M309" s="7">
        <v>0</v>
      </c>
      <c r="N309" s="7">
        <f t="shared" si="40"/>
        <v>0</v>
      </c>
      <c r="O309" s="7">
        <f t="shared" si="41"/>
        <v>0</v>
      </c>
    </row>
    <row r="310" spans="3:15" x14ac:dyDescent="0.2">
      <c r="C310">
        <v>291</v>
      </c>
      <c r="D310" s="7">
        <v>2545.7142857142858</v>
      </c>
      <c r="E310" s="7">
        <f t="shared" si="34"/>
        <v>76.127819548872182</v>
      </c>
      <c r="F310" s="7">
        <f t="shared" si="35"/>
        <v>205.57278815276158</v>
      </c>
      <c r="G310" s="7">
        <v>0</v>
      </c>
      <c r="H310" s="7">
        <f t="shared" si="36"/>
        <v>0</v>
      </c>
      <c r="I310" s="7">
        <f t="shared" si="37"/>
        <v>0</v>
      </c>
      <c r="J310" s="7">
        <v>0</v>
      </c>
      <c r="K310" s="7">
        <f t="shared" si="38"/>
        <v>0</v>
      </c>
      <c r="L310" s="7">
        <f t="shared" si="39"/>
        <v>0</v>
      </c>
      <c r="M310" s="7">
        <v>0</v>
      </c>
      <c r="N310" s="7">
        <f t="shared" si="40"/>
        <v>0</v>
      </c>
      <c r="O310" s="7">
        <f t="shared" si="41"/>
        <v>0</v>
      </c>
    </row>
    <row r="311" spans="3:15" x14ac:dyDescent="0.2">
      <c r="C311">
        <v>292</v>
      </c>
      <c r="D311" s="7">
        <v>2715.4285714285716</v>
      </c>
      <c r="E311" s="7">
        <f t="shared" si="34"/>
        <v>81.203007518797008</v>
      </c>
      <c r="F311" s="7">
        <f t="shared" si="35"/>
        <v>219.27764069627901</v>
      </c>
      <c r="G311" s="7">
        <v>0</v>
      </c>
      <c r="H311" s="7">
        <f t="shared" si="36"/>
        <v>0</v>
      </c>
      <c r="I311" s="7">
        <f t="shared" si="37"/>
        <v>0</v>
      </c>
      <c r="J311" s="7">
        <v>0</v>
      </c>
      <c r="K311" s="7">
        <f t="shared" si="38"/>
        <v>0</v>
      </c>
      <c r="L311" s="7">
        <f t="shared" si="39"/>
        <v>0</v>
      </c>
      <c r="M311" s="7">
        <v>0</v>
      </c>
      <c r="N311" s="7">
        <f t="shared" si="40"/>
        <v>0</v>
      </c>
      <c r="O311" s="7">
        <f t="shared" si="41"/>
        <v>0</v>
      </c>
    </row>
    <row r="312" spans="3:15" x14ac:dyDescent="0.2">
      <c r="C312">
        <v>293</v>
      </c>
      <c r="D312" s="7">
        <v>2885.1428571428573</v>
      </c>
      <c r="E312" s="7">
        <f t="shared" si="34"/>
        <v>86.278195488721821</v>
      </c>
      <c r="F312" s="7">
        <f t="shared" si="35"/>
        <v>232.98249323979647</v>
      </c>
      <c r="G312" s="7">
        <v>0</v>
      </c>
      <c r="H312" s="7">
        <f t="shared" si="36"/>
        <v>0</v>
      </c>
      <c r="I312" s="7">
        <f t="shared" si="37"/>
        <v>0</v>
      </c>
      <c r="J312" s="7">
        <v>0</v>
      </c>
      <c r="K312" s="7">
        <f t="shared" si="38"/>
        <v>0</v>
      </c>
      <c r="L312" s="7">
        <f t="shared" si="39"/>
        <v>0</v>
      </c>
      <c r="M312" s="7">
        <v>0</v>
      </c>
      <c r="N312" s="7">
        <f t="shared" si="40"/>
        <v>0</v>
      </c>
      <c r="O312" s="7">
        <f t="shared" si="41"/>
        <v>0</v>
      </c>
    </row>
    <row r="313" spans="3:15" x14ac:dyDescent="0.2">
      <c r="C313">
        <v>294</v>
      </c>
      <c r="D313" s="7">
        <v>3054.8571428571431</v>
      </c>
      <c r="E313" s="7">
        <f t="shared" si="34"/>
        <v>91.353383458646633</v>
      </c>
      <c r="F313" s="7">
        <f t="shared" si="35"/>
        <v>246.6873457833139</v>
      </c>
      <c r="G313" s="7">
        <v>0</v>
      </c>
      <c r="H313" s="7">
        <f t="shared" si="36"/>
        <v>0</v>
      </c>
      <c r="I313" s="7">
        <f t="shared" si="37"/>
        <v>0</v>
      </c>
      <c r="J313" s="7">
        <v>0</v>
      </c>
      <c r="K313" s="7">
        <f t="shared" si="38"/>
        <v>0</v>
      </c>
      <c r="L313" s="7">
        <f t="shared" si="39"/>
        <v>0</v>
      </c>
      <c r="M313" s="7">
        <v>0</v>
      </c>
      <c r="N313" s="7">
        <f t="shared" si="40"/>
        <v>0</v>
      </c>
      <c r="O313" s="7">
        <f t="shared" si="41"/>
        <v>0</v>
      </c>
    </row>
    <row r="314" spans="3:15" x14ac:dyDescent="0.2">
      <c r="C314">
        <v>295</v>
      </c>
      <c r="D314" s="7">
        <v>3224.5714285714284</v>
      </c>
      <c r="E314" s="7">
        <f t="shared" si="34"/>
        <v>96.428571428571431</v>
      </c>
      <c r="F314" s="7">
        <f t="shared" si="35"/>
        <v>260.39219832683131</v>
      </c>
      <c r="G314" s="7">
        <v>6232.4992816131762</v>
      </c>
      <c r="H314" s="7">
        <f t="shared" si="36"/>
        <v>149.10285362710948</v>
      </c>
      <c r="I314" s="7">
        <f t="shared" si="37"/>
        <v>324.01566810161501</v>
      </c>
      <c r="J314" s="7">
        <v>0</v>
      </c>
      <c r="K314" s="7">
        <f t="shared" si="38"/>
        <v>0</v>
      </c>
      <c r="L314" s="7">
        <f t="shared" si="39"/>
        <v>0</v>
      </c>
      <c r="M314" s="7">
        <v>1089.9630541726731</v>
      </c>
      <c r="N314" s="7">
        <f t="shared" si="40"/>
        <v>86.918903841520986</v>
      </c>
      <c r="O314" s="7">
        <f t="shared" si="41"/>
        <v>32.901845870893496</v>
      </c>
    </row>
    <row r="315" spans="3:15" x14ac:dyDescent="0.2">
      <c r="C315">
        <v>296</v>
      </c>
      <c r="D315" s="7">
        <v>3394.2857142857147</v>
      </c>
      <c r="E315" s="7">
        <f t="shared" si="34"/>
        <v>101.50375939849626</v>
      </c>
      <c r="F315" s="7">
        <f t="shared" si="35"/>
        <v>274.09705087034877</v>
      </c>
      <c r="G315" s="7">
        <v>6234.8434097279714</v>
      </c>
      <c r="H315" s="7">
        <f t="shared" si="36"/>
        <v>149.15893324708065</v>
      </c>
      <c r="I315" s="7">
        <f t="shared" si="37"/>
        <v>324.13753482039215</v>
      </c>
      <c r="J315" s="7">
        <v>0</v>
      </c>
      <c r="K315" s="7">
        <f t="shared" si="38"/>
        <v>0</v>
      </c>
      <c r="L315" s="7">
        <f t="shared" si="39"/>
        <v>0</v>
      </c>
      <c r="M315" s="7">
        <v>1087.6189260578774</v>
      </c>
      <c r="N315" s="7">
        <f t="shared" si="40"/>
        <v>86.731971774950352</v>
      </c>
      <c r="O315" s="7">
        <f t="shared" si="41"/>
        <v>32.831085544073815</v>
      </c>
    </row>
    <row r="316" spans="3:15" x14ac:dyDescent="0.2">
      <c r="C316">
        <v>297</v>
      </c>
      <c r="D316" s="7">
        <v>3564</v>
      </c>
      <c r="E316" s="7">
        <f t="shared" si="34"/>
        <v>106.57894736842105</v>
      </c>
      <c r="F316" s="7">
        <f t="shared" si="35"/>
        <v>287.80190341386617</v>
      </c>
      <c r="G316" s="7">
        <v>0</v>
      </c>
      <c r="H316" s="7">
        <f t="shared" si="36"/>
        <v>0</v>
      </c>
      <c r="I316" s="7">
        <f t="shared" si="37"/>
        <v>0</v>
      </c>
      <c r="J316" s="7">
        <v>0</v>
      </c>
      <c r="K316" s="7">
        <f t="shared" si="38"/>
        <v>0</v>
      </c>
      <c r="L316" s="7">
        <f t="shared" si="39"/>
        <v>0</v>
      </c>
      <c r="M316" s="7">
        <v>0</v>
      </c>
      <c r="N316" s="7">
        <f t="shared" si="40"/>
        <v>0</v>
      </c>
      <c r="O316" s="7">
        <f t="shared" si="41"/>
        <v>0</v>
      </c>
    </row>
    <row r="317" spans="3:15" x14ac:dyDescent="0.2">
      <c r="C317">
        <v>298</v>
      </c>
      <c r="D317" s="7">
        <v>3733.7142857142858</v>
      </c>
      <c r="E317" s="7">
        <f t="shared" si="34"/>
        <v>111.65413533834588</v>
      </c>
      <c r="F317" s="7">
        <f t="shared" si="35"/>
        <v>301.50675595738369</v>
      </c>
      <c r="G317" s="7">
        <v>0</v>
      </c>
      <c r="H317" s="7">
        <f t="shared" si="36"/>
        <v>0</v>
      </c>
      <c r="I317" s="7">
        <f t="shared" si="37"/>
        <v>0</v>
      </c>
      <c r="J317" s="7">
        <v>0</v>
      </c>
      <c r="K317" s="7">
        <f t="shared" si="38"/>
        <v>0</v>
      </c>
      <c r="L317" s="7">
        <f t="shared" si="39"/>
        <v>0</v>
      </c>
      <c r="M317" s="7">
        <v>0</v>
      </c>
      <c r="N317" s="7">
        <f t="shared" si="40"/>
        <v>0</v>
      </c>
      <c r="O317" s="7">
        <f t="shared" si="41"/>
        <v>0</v>
      </c>
    </row>
    <row r="318" spans="3:15" x14ac:dyDescent="0.2">
      <c r="C318">
        <v>299</v>
      </c>
      <c r="D318" s="7">
        <v>3756.8348842309169</v>
      </c>
      <c r="E318" s="7">
        <f t="shared" si="34"/>
        <v>112.3455407963791</v>
      </c>
      <c r="F318" s="7">
        <f t="shared" si="35"/>
        <v>303.37380204637191</v>
      </c>
      <c r="G318" s="7">
        <v>0</v>
      </c>
      <c r="H318" s="7">
        <f t="shared" si="36"/>
        <v>0</v>
      </c>
      <c r="I318" s="7">
        <f t="shared" si="37"/>
        <v>0</v>
      </c>
      <c r="J318" s="7">
        <v>146.59368719765507</v>
      </c>
      <c r="K318" s="7">
        <f t="shared" si="38"/>
        <v>2.3380173396755195</v>
      </c>
      <c r="L318" s="7">
        <f t="shared" si="39"/>
        <v>8.8003243544031307</v>
      </c>
      <c r="M318" s="7">
        <v>0</v>
      </c>
      <c r="N318" s="7">
        <f t="shared" si="40"/>
        <v>0</v>
      </c>
      <c r="O318" s="7">
        <f t="shared" si="41"/>
        <v>0</v>
      </c>
    </row>
    <row r="319" spans="3:15" x14ac:dyDescent="0.2">
      <c r="C319">
        <v>300</v>
      </c>
      <c r="D319" s="7">
        <v>3747.3691664408216</v>
      </c>
      <c r="E319" s="7">
        <f t="shared" si="34"/>
        <v>112.06247507299108</v>
      </c>
      <c r="F319" s="7">
        <f t="shared" si="35"/>
        <v>302.60942168801955</v>
      </c>
      <c r="G319" s="7">
        <v>0</v>
      </c>
      <c r="H319" s="7">
        <f t="shared" si="36"/>
        <v>0</v>
      </c>
      <c r="I319" s="7">
        <f t="shared" si="37"/>
        <v>0</v>
      </c>
      <c r="J319" s="7">
        <v>325.77369070203622</v>
      </c>
      <c r="K319" s="7">
        <f t="shared" si="38"/>
        <v>5.1957526427756973</v>
      </c>
      <c r="L319" s="7">
        <f t="shared" si="39"/>
        <v>19.5568731444991</v>
      </c>
      <c r="M319" s="7">
        <v>0</v>
      </c>
      <c r="N319" s="7">
        <f t="shared" si="40"/>
        <v>0</v>
      </c>
      <c r="O319" s="7">
        <f t="shared" si="41"/>
        <v>0</v>
      </c>
    </row>
    <row r="320" spans="3:15" x14ac:dyDescent="0.2">
      <c r="C320">
        <v>301</v>
      </c>
      <c r="D320" s="7">
        <v>3737.9421846462355</v>
      </c>
      <c r="E320" s="7">
        <f t="shared" si="34"/>
        <v>111.78056772267452</v>
      </c>
      <c r="F320" s="7">
        <f t="shared" si="35"/>
        <v>301.84816935807294</v>
      </c>
      <c r="G320" s="7">
        <v>0</v>
      </c>
      <c r="H320" s="7">
        <f t="shared" si="36"/>
        <v>0</v>
      </c>
      <c r="I320" s="7">
        <f t="shared" si="37"/>
        <v>0</v>
      </c>
      <c r="J320" s="7">
        <v>420.05781535376445</v>
      </c>
      <c r="K320" s="7">
        <f t="shared" si="38"/>
        <v>6.6994866882578066</v>
      </c>
      <c r="L320" s="7">
        <f t="shared" si="39"/>
        <v>25.216945513696299</v>
      </c>
      <c r="M320" s="7">
        <v>0</v>
      </c>
      <c r="N320" s="7">
        <f t="shared" si="40"/>
        <v>0</v>
      </c>
      <c r="O320" s="7">
        <f t="shared" si="41"/>
        <v>0</v>
      </c>
    </row>
    <row r="321" spans="3:15" x14ac:dyDescent="0.2">
      <c r="C321">
        <v>302</v>
      </c>
      <c r="D321" s="7">
        <v>3728.5538208309704</v>
      </c>
      <c r="E321" s="7">
        <f t="shared" si="34"/>
        <v>111.49981521623717</v>
      </c>
      <c r="F321" s="7">
        <f t="shared" si="35"/>
        <v>301.09003552643003</v>
      </c>
      <c r="G321" s="7">
        <v>0</v>
      </c>
      <c r="H321" s="7">
        <f t="shared" si="36"/>
        <v>0</v>
      </c>
      <c r="I321" s="7">
        <f t="shared" si="37"/>
        <v>0</v>
      </c>
      <c r="J321" s="7">
        <v>429.44617916902962</v>
      </c>
      <c r="K321" s="7">
        <f t="shared" si="38"/>
        <v>6.8492213583577293</v>
      </c>
      <c r="L321" s="7">
        <f t="shared" si="39"/>
        <v>25.780548546752396</v>
      </c>
      <c r="M321" s="7">
        <v>0</v>
      </c>
      <c r="N321" s="7">
        <f t="shared" si="40"/>
        <v>0</v>
      </c>
      <c r="O321" s="7">
        <f t="shared" si="41"/>
        <v>0</v>
      </c>
    </row>
    <row r="322" spans="3:15" x14ac:dyDescent="0.2">
      <c r="C322">
        <v>303</v>
      </c>
      <c r="D322" s="7">
        <v>3720.7912731003653</v>
      </c>
      <c r="E322" s="7">
        <f t="shared" si="34"/>
        <v>111.26768161185304</v>
      </c>
      <c r="F322" s="7">
        <f t="shared" si="35"/>
        <v>300.46319040515925</v>
      </c>
      <c r="G322" s="7">
        <v>0</v>
      </c>
      <c r="H322" s="7">
        <f t="shared" si="36"/>
        <v>0</v>
      </c>
      <c r="I322" s="7">
        <f t="shared" si="37"/>
        <v>0</v>
      </c>
      <c r="J322" s="7">
        <v>861.49444118534939</v>
      </c>
      <c r="K322" s="7">
        <f t="shared" si="38"/>
        <v>13.739943240595684</v>
      </c>
      <c r="L322" s="7">
        <f t="shared" si="39"/>
        <v>51.717305546207854</v>
      </c>
      <c r="M322" s="7">
        <v>0</v>
      </c>
      <c r="N322" s="7">
        <f t="shared" si="40"/>
        <v>0</v>
      </c>
      <c r="O322" s="7">
        <f t="shared" si="41"/>
        <v>0</v>
      </c>
    </row>
    <row r="323" spans="3:15" x14ac:dyDescent="0.2">
      <c r="C323">
        <v>304</v>
      </c>
      <c r="D323" s="7">
        <v>3720.0966872172585</v>
      </c>
      <c r="E323" s="7">
        <f t="shared" si="34"/>
        <v>111.24691050290845</v>
      </c>
      <c r="F323" s="7">
        <f t="shared" si="35"/>
        <v>300.40710085991725</v>
      </c>
      <c r="G323" s="7">
        <v>6240.0241666324428</v>
      </c>
      <c r="H323" s="7">
        <f t="shared" si="36"/>
        <v>149.28287479981921</v>
      </c>
      <c r="I323" s="7">
        <f t="shared" si="37"/>
        <v>324.40687242218326</v>
      </c>
      <c r="J323" s="7">
        <v>1031.9033127827415</v>
      </c>
      <c r="K323" s="7">
        <f t="shared" si="38"/>
        <v>16.457788082659356</v>
      </c>
      <c r="L323" s="7">
        <f t="shared" si="39"/>
        <v>61.94730502021573</v>
      </c>
      <c r="M323" s="7">
        <v>1082.4381691534065</v>
      </c>
      <c r="N323" s="7">
        <f t="shared" si="40"/>
        <v>86.318833265821894</v>
      </c>
      <c r="O323" s="7">
        <f t="shared" si="41"/>
        <v>32.67469816515036</v>
      </c>
    </row>
    <row r="324" spans="3:15" x14ac:dyDescent="0.2">
      <c r="C324">
        <v>305</v>
      </c>
      <c r="D324" s="7">
        <v>3727.4413246001163</v>
      </c>
      <c r="E324" s="7">
        <f t="shared" si="34"/>
        <v>111.46654678828099</v>
      </c>
      <c r="F324" s="7">
        <f t="shared" si="35"/>
        <v>301.00019867660387</v>
      </c>
      <c r="G324" s="7">
        <v>6240.9074349266757</v>
      </c>
      <c r="H324" s="7">
        <f t="shared" si="36"/>
        <v>149.30400562025542</v>
      </c>
      <c r="I324" s="7">
        <f t="shared" si="37"/>
        <v>324.45279184447884</v>
      </c>
      <c r="J324" s="7">
        <v>786.9586753998833</v>
      </c>
      <c r="K324" s="7">
        <f t="shared" si="38"/>
        <v>12.551175046250133</v>
      </c>
      <c r="L324" s="7">
        <f t="shared" si="39"/>
        <v>47.242768289828533</v>
      </c>
      <c r="M324" s="7">
        <v>1081.5549008591734</v>
      </c>
      <c r="N324" s="7">
        <f t="shared" si="40"/>
        <v>86.248397197701237</v>
      </c>
      <c r="O324" s="7">
        <f t="shared" si="41"/>
        <v>32.648035649234572</v>
      </c>
    </row>
    <row r="325" spans="3:15" x14ac:dyDescent="0.2">
      <c r="C325">
        <v>306</v>
      </c>
      <c r="D325" s="7">
        <v>3734.7572084726708</v>
      </c>
      <c r="E325" s="7">
        <f t="shared" si="34"/>
        <v>111.68532321987652</v>
      </c>
      <c r="F325" s="7">
        <f t="shared" si="35"/>
        <v>301.59097457550286</v>
      </c>
      <c r="G325" s="7">
        <v>6242.0947929162048</v>
      </c>
      <c r="H325" s="7">
        <f t="shared" si="36"/>
        <v>149.3324113137848</v>
      </c>
      <c r="I325" s="7">
        <f t="shared" si="37"/>
        <v>324.51452030602678</v>
      </c>
      <c r="J325" s="7">
        <v>542.04279152732943</v>
      </c>
      <c r="K325" s="7">
        <f t="shared" si="38"/>
        <v>8.6450205985220006</v>
      </c>
      <c r="L325" s="7">
        <f t="shared" si="39"/>
        <v>32.539957692550082</v>
      </c>
      <c r="M325" s="7">
        <v>1080.3675428696447</v>
      </c>
      <c r="N325" s="7">
        <f t="shared" si="40"/>
        <v>86.153711552603255</v>
      </c>
      <c r="O325" s="7">
        <f t="shared" si="41"/>
        <v>32.612193820086794</v>
      </c>
    </row>
    <row r="326" spans="3:15" x14ac:dyDescent="0.2">
      <c r="C326">
        <v>307</v>
      </c>
      <c r="D326" s="7">
        <v>3742.045046331898</v>
      </c>
      <c r="E326" s="7">
        <f t="shared" si="34"/>
        <v>111.90326095490127</v>
      </c>
      <c r="F326" s="7">
        <f t="shared" si="35"/>
        <v>302.1794856887625</v>
      </c>
      <c r="G326" s="7">
        <v>6243.5054860349164</v>
      </c>
      <c r="H326" s="7">
        <f t="shared" si="36"/>
        <v>149.36615995298845</v>
      </c>
      <c r="I326" s="7">
        <f t="shared" si="37"/>
        <v>324.58785953202465</v>
      </c>
      <c r="J326" s="7">
        <v>415.95495366810201</v>
      </c>
      <c r="K326" s="7">
        <f t="shared" si="38"/>
        <v>6.6340502977368745</v>
      </c>
      <c r="L326" s="7">
        <f t="shared" si="39"/>
        <v>24.970642181640812</v>
      </c>
      <c r="M326" s="7">
        <v>1078.9568497509326</v>
      </c>
      <c r="N326" s="7">
        <f t="shared" si="40"/>
        <v>86.041216088591128</v>
      </c>
      <c r="O326" s="7">
        <f t="shared" si="41"/>
        <v>32.569610351422142</v>
      </c>
    </row>
    <row r="327" spans="3:15" x14ac:dyDescent="0.2">
      <c r="C327">
        <v>308</v>
      </c>
      <c r="D327" s="7">
        <v>3749.3054215821567</v>
      </c>
      <c r="E327" s="7">
        <f t="shared" si="34"/>
        <v>112.1203774396578</v>
      </c>
      <c r="F327" s="7">
        <f t="shared" si="35"/>
        <v>302.76577912774206</v>
      </c>
      <c r="G327" s="7">
        <v>6245.2192002851634</v>
      </c>
      <c r="H327" s="7">
        <f t="shared" si="36"/>
        <v>149.40715790155895</v>
      </c>
      <c r="I327" s="7">
        <f t="shared" si="37"/>
        <v>324.67695224469725</v>
      </c>
      <c r="J327" s="7">
        <v>52.294578417842331</v>
      </c>
      <c r="K327" s="7">
        <f t="shared" si="38"/>
        <v>0.83404431288424774</v>
      </c>
      <c r="L327" s="7">
        <f t="shared" si="39"/>
        <v>3.1393524567894477</v>
      </c>
      <c r="M327" s="7">
        <v>1077.2431355006856</v>
      </c>
      <c r="N327" s="7">
        <f t="shared" si="40"/>
        <v>85.904556260022787</v>
      </c>
      <c r="O327" s="7">
        <f t="shared" si="41"/>
        <v>32.517879825407952</v>
      </c>
    </row>
    <row r="328" spans="3:15" x14ac:dyDescent="0.2">
      <c r="C328">
        <v>309</v>
      </c>
      <c r="D328" s="7">
        <v>3563.9999999999991</v>
      </c>
      <c r="E328" s="7">
        <f t="shared" si="34"/>
        <v>106.57894736842103</v>
      </c>
      <c r="F328" s="7">
        <f t="shared" si="35"/>
        <v>287.80190341386611</v>
      </c>
      <c r="G328" s="7">
        <v>6247.2131770768056</v>
      </c>
      <c r="H328" s="7">
        <f t="shared" si="36"/>
        <v>149.45486069561736</v>
      </c>
      <c r="I328" s="7">
        <f t="shared" si="37"/>
        <v>324.78061526865127</v>
      </c>
      <c r="J328" s="7">
        <v>0</v>
      </c>
      <c r="K328" s="7">
        <f t="shared" si="38"/>
        <v>0</v>
      </c>
      <c r="L328" s="7">
        <f t="shared" si="39"/>
        <v>0</v>
      </c>
      <c r="M328" s="7">
        <v>1075.2491587090433</v>
      </c>
      <c r="N328" s="7">
        <f t="shared" si="40"/>
        <v>85.745546946494684</v>
      </c>
      <c r="O328" s="7">
        <f t="shared" si="41"/>
        <v>32.457689237463157</v>
      </c>
    </row>
    <row r="329" spans="3:15" x14ac:dyDescent="0.2">
      <c r="C329">
        <v>310</v>
      </c>
      <c r="D329" s="7">
        <v>3326.3999999999996</v>
      </c>
      <c r="E329" s="7">
        <f t="shared" si="34"/>
        <v>99.473684210526315</v>
      </c>
      <c r="F329" s="7">
        <f t="shared" si="35"/>
        <v>268.61510985294177</v>
      </c>
      <c r="G329" s="7">
        <v>6249.1861266340848</v>
      </c>
      <c r="H329" s="7">
        <f t="shared" si="36"/>
        <v>149.5020604457915</v>
      </c>
      <c r="I329" s="7">
        <f t="shared" si="37"/>
        <v>324.8831851270736</v>
      </c>
      <c r="J329" s="7">
        <v>0</v>
      </c>
      <c r="K329" s="7">
        <f t="shared" si="38"/>
        <v>0</v>
      </c>
      <c r="L329" s="7">
        <f t="shared" si="39"/>
        <v>0</v>
      </c>
      <c r="M329" s="7">
        <v>1073.2762091517643</v>
      </c>
      <c r="N329" s="7">
        <f t="shared" si="40"/>
        <v>85.588214445914218</v>
      </c>
      <c r="O329" s="7">
        <f t="shared" si="41"/>
        <v>32.398133381880591</v>
      </c>
    </row>
    <row r="330" spans="3:15" x14ac:dyDescent="0.2">
      <c r="C330">
        <v>311</v>
      </c>
      <c r="D330" s="7">
        <v>2673</v>
      </c>
      <c r="E330" s="7">
        <f t="shared" si="34"/>
        <v>79.934210526315795</v>
      </c>
      <c r="F330" s="7">
        <f t="shared" si="35"/>
        <v>215.85142756039966</v>
      </c>
      <c r="G330" s="7">
        <v>0</v>
      </c>
      <c r="H330" s="7">
        <f t="shared" si="36"/>
        <v>0</v>
      </c>
      <c r="I330" s="7">
        <f t="shared" si="37"/>
        <v>0</v>
      </c>
      <c r="J330" s="7">
        <v>0</v>
      </c>
      <c r="K330" s="7">
        <f t="shared" si="38"/>
        <v>0</v>
      </c>
      <c r="L330" s="7">
        <f t="shared" si="39"/>
        <v>0</v>
      </c>
      <c r="M330" s="7">
        <v>0</v>
      </c>
      <c r="N330" s="7">
        <f t="shared" si="40"/>
        <v>0</v>
      </c>
      <c r="O330" s="7">
        <f t="shared" si="41"/>
        <v>0</v>
      </c>
    </row>
    <row r="331" spans="3:15" x14ac:dyDescent="0.2">
      <c r="C331">
        <v>312</v>
      </c>
      <c r="D331" s="7">
        <v>2524.5</v>
      </c>
      <c r="E331" s="7">
        <f t="shared" si="34"/>
        <v>75.493421052631589</v>
      </c>
      <c r="F331" s="7">
        <f t="shared" si="35"/>
        <v>203.85968158482189</v>
      </c>
      <c r="G331" s="7">
        <v>0</v>
      </c>
      <c r="H331" s="7">
        <f t="shared" si="36"/>
        <v>0</v>
      </c>
      <c r="I331" s="7">
        <f t="shared" si="37"/>
        <v>0</v>
      </c>
      <c r="J331" s="7">
        <v>0</v>
      </c>
      <c r="K331" s="7">
        <f t="shared" si="38"/>
        <v>0</v>
      </c>
      <c r="L331" s="7">
        <f t="shared" si="39"/>
        <v>0</v>
      </c>
      <c r="M331" s="7">
        <v>0</v>
      </c>
      <c r="N331" s="7">
        <f t="shared" si="40"/>
        <v>0</v>
      </c>
      <c r="O331" s="7">
        <f t="shared" si="41"/>
        <v>0</v>
      </c>
    </row>
    <row r="332" spans="3:15" x14ac:dyDescent="0.2">
      <c r="C332">
        <v>313</v>
      </c>
      <c r="D332" s="7">
        <v>2376</v>
      </c>
      <c r="E332" s="7">
        <f t="shared" si="34"/>
        <v>71.05263157894737</v>
      </c>
      <c r="F332" s="7">
        <f t="shared" si="35"/>
        <v>191.86793560924414</v>
      </c>
      <c r="G332" s="7">
        <v>0</v>
      </c>
      <c r="H332" s="7">
        <f t="shared" si="36"/>
        <v>0</v>
      </c>
      <c r="I332" s="7">
        <f t="shared" si="37"/>
        <v>0</v>
      </c>
      <c r="J332" s="7">
        <v>0</v>
      </c>
      <c r="K332" s="7">
        <f t="shared" si="38"/>
        <v>0</v>
      </c>
      <c r="L332" s="7">
        <f t="shared" si="39"/>
        <v>0</v>
      </c>
      <c r="M332" s="7">
        <v>0</v>
      </c>
      <c r="N332" s="7">
        <f t="shared" si="40"/>
        <v>0</v>
      </c>
      <c r="O332" s="7">
        <f t="shared" si="41"/>
        <v>0</v>
      </c>
    </row>
    <row r="333" spans="3:15" x14ac:dyDescent="0.2">
      <c r="C333">
        <v>314</v>
      </c>
      <c r="D333" s="7">
        <v>2376</v>
      </c>
      <c r="E333" s="7">
        <f t="shared" si="34"/>
        <v>71.05263157894737</v>
      </c>
      <c r="F333" s="7">
        <f t="shared" si="35"/>
        <v>191.86793560924414</v>
      </c>
      <c r="G333" s="7">
        <v>0</v>
      </c>
      <c r="H333" s="7">
        <f t="shared" si="36"/>
        <v>0</v>
      </c>
      <c r="I333" s="7">
        <f t="shared" si="37"/>
        <v>0</v>
      </c>
      <c r="J333" s="7">
        <v>0</v>
      </c>
      <c r="K333" s="7">
        <f t="shared" si="38"/>
        <v>0</v>
      </c>
      <c r="L333" s="7">
        <f t="shared" si="39"/>
        <v>0</v>
      </c>
      <c r="M333" s="7">
        <v>0</v>
      </c>
      <c r="N333" s="7">
        <f t="shared" si="40"/>
        <v>0</v>
      </c>
      <c r="O333" s="7">
        <f t="shared" si="41"/>
        <v>0</v>
      </c>
    </row>
    <row r="334" spans="3:15" x14ac:dyDescent="0.2">
      <c r="C334">
        <v>315</v>
      </c>
      <c r="D334" s="7">
        <v>2524.5000000000005</v>
      </c>
      <c r="E334" s="7">
        <f t="shared" si="34"/>
        <v>75.493421052631604</v>
      </c>
      <c r="F334" s="7">
        <f t="shared" si="35"/>
        <v>203.85968158482191</v>
      </c>
      <c r="G334" s="7">
        <v>0</v>
      </c>
      <c r="H334" s="7">
        <f t="shared" si="36"/>
        <v>0</v>
      </c>
      <c r="I334" s="7">
        <f t="shared" si="37"/>
        <v>0</v>
      </c>
      <c r="J334" s="7">
        <v>0</v>
      </c>
      <c r="K334" s="7">
        <f t="shared" si="38"/>
        <v>0</v>
      </c>
      <c r="L334" s="7">
        <f t="shared" si="39"/>
        <v>0</v>
      </c>
      <c r="M334" s="7">
        <v>0</v>
      </c>
      <c r="N334" s="7">
        <f t="shared" si="40"/>
        <v>0</v>
      </c>
      <c r="O334" s="7">
        <f t="shared" si="41"/>
        <v>0</v>
      </c>
    </row>
    <row r="335" spans="3:15" x14ac:dyDescent="0.2">
      <c r="C335">
        <v>316</v>
      </c>
      <c r="D335" s="7">
        <v>2673</v>
      </c>
      <c r="E335" s="7">
        <f t="shared" si="34"/>
        <v>79.934210526315795</v>
      </c>
      <c r="F335" s="7">
        <f t="shared" si="35"/>
        <v>215.85142756039966</v>
      </c>
      <c r="G335" s="7">
        <v>0</v>
      </c>
      <c r="H335" s="7">
        <f t="shared" si="36"/>
        <v>0</v>
      </c>
      <c r="I335" s="7">
        <f t="shared" si="37"/>
        <v>0</v>
      </c>
      <c r="J335" s="7">
        <v>0</v>
      </c>
      <c r="K335" s="7">
        <f t="shared" si="38"/>
        <v>0</v>
      </c>
      <c r="L335" s="7">
        <f t="shared" si="39"/>
        <v>0</v>
      </c>
      <c r="M335" s="7">
        <v>0</v>
      </c>
      <c r="N335" s="7">
        <f t="shared" si="40"/>
        <v>0</v>
      </c>
      <c r="O335" s="7">
        <f t="shared" si="41"/>
        <v>0</v>
      </c>
    </row>
    <row r="336" spans="3:15" x14ac:dyDescent="0.2">
      <c r="C336">
        <v>317</v>
      </c>
      <c r="D336" s="7">
        <v>2821.4999999999995</v>
      </c>
      <c r="E336" s="7">
        <f t="shared" si="34"/>
        <v>84.374999999999986</v>
      </c>
      <c r="F336" s="7">
        <f t="shared" si="35"/>
        <v>227.84317353597737</v>
      </c>
      <c r="G336" s="7">
        <v>0</v>
      </c>
      <c r="H336" s="7">
        <f t="shared" si="36"/>
        <v>0</v>
      </c>
      <c r="I336" s="7">
        <f t="shared" si="37"/>
        <v>0</v>
      </c>
      <c r="J336" s="7">
        <v>0</v>
      </c>
      <c r="K336" s="7">
        <f t="shared" si="38"/>
        <v>0</v>
      </c>
      <c r="L336" s="7">
        <f t="shared" si="39"/>
        <v>0</v>
      </c>
      <c r="M336" s="7">
        <v>0</v>
      </c>
      <c r="N336" s="7">
        <f t="shared" si="40"/>
        <v>0</v>
      </c>
      <c r="O336" s="7">
        <f t="shared" si="41"/>
        <v>0</v>
      </c>
    </row>
    <row r="337" spans="3:15" x14ac:dyDescent="0.2">
      <c r="C337">
        <v>318</v>
      </c>
      <c r="D337" s="7">
        <v>2969.9999999999995</v>
      </c>
      <c r="E337" s="7">
        <f t="shared" si="34"/>
        <v>88.815789473684205</v>
      </c>
      <c r="F337" s="7">
        <f t="shared" si="35"/>
        <v>239.83491951155514</v>
      </c>
      <c r="G337" s="7">
        <v>0</v>
      </c>
      <c r="H337" s="7">
        <f t="shared" si="36"/>
        <v>0</v>
      </c>
      <c r="I337" s="7">
        <f t="shared" si="37"/>
        <v>0</v>
      </c>
      <c r="J337" s="7">
        <v>0</v>
      </c>
      <c r="K337" s="7">
        <f t="shared" si="38"/>
        <v>0</v>
      </c>
      <c r="L337" s="7">
        <f t="shared" si="39"/>
        <v>0</v>
      </c>
      <c r="M337" s="7">
        <v>0</v>
      </c>
      <c r="N337" s="7">
        <f t="shared" si="40"/>
        <v>0</v>
      </c>
      <c r="O337" s="7">
        <f t="shared" si="41"/>
        <v>0</v>
      </c>
    </row>
    <row r="338" spans="3:15" x14ac:dyDescent="0.2">
      <c r="C338">
        <v>319</v>
      </c>
      <c r="D338" s="7">
        <v>3118.5</v>
      </c>
      <c r="E338" s="7">
        <f t="shared" si="34"/>
        <v>93.256578947368425</v>
      </c>
      <c r="F338" s="7">
        <f t="shared" si="35"/>
        <v>251.82666548713291</v>
      </c>
      <c r="G338" s="7">
        <v>6255.3921558784969</v>
      </c>
      <c r="H338" s="7">
        <f t="shared" si="36"/>
        <v>149.65053004494013</v>
      </c>
      <c r="I338" s="7">
        <f t="shared" si="37"/>
        <v>325.20582466877698</v>
      </c>
      <c r="J338" s="7">
        <v>0</v>
      </c>
      <c r="K338" s="7">
        <f t="shared" si="38"/>
        <v>0</v>
      </c>
      <c r="L338" s="7">
        <f t="shared" si="39"/>
        <v>0</v>
      </c>
      <c r="M338" s="7">
        <v>1067.0701799073527</v>
      </c>
      <c r="N338" s="7">
        <f t="shared" si="40"/>
        <v>85.09331578208554</v>
      </c>
      <c r="O338" s="7">
        <f t="shared" si="41"/>
        <v>32.210796924109665</v>
      </c>
    </row>
    <row r="339" spans="3:15" x14ac:dyDescent="0.2">
      <c r="C339">
        <v>320</v>
      </c>
      <c r="D339" s="7">
        <v>3267</v>
      </c>
      <c r="E339" s="7">
        <f t="shared" si="34"/>
        <v>97.697368421052644</v>
      </c>
      <c r="F339" s="7">
        <f t="shared" si="35"/>
        <v>263.81841146271069</v>
      </c>
      <c r="G339" s="7">
        <v>6257.092378690415</v>
      </c>
      <c r="H339" s="7">
        <f t="shared" si="36"/>
        <v>149.69120523182812</v>
      </c>
      <c r="I339" s="7">
        <f t="shared" si="37"/>
        <v>325.29421598748132</v>
      </c>
      <c r="J339" s="7">
        <v>0</v>
      </c>
      <c r="K339" s="7">
        <f t="shared" si="38"/>
        <v>0</v>
      </c>
      <c r="L339" s="7">
        <f t="shared" si="39"/>
        <v>0</v>
      </c>
      <c r="M339" s="7">
        <v>1065.3699570954338</v>
      </c>
      <c r="N339" s="7">
        <f t="shared" si="40"/>
        <v>84.95773182579218</v>
      </c>
      <c r="O339" s="7">
        <f t="shared" si="41"/>
        <v>32.159473653389824</v>
      </c>
    </row>
    <row r="340" spans="3:15" x14ac:dyDescent="0.2">
      <c r="C340">
        <v>321</v>
      </c>
      <c r="D340" s="7">
        <v>3415.5</v>
      </c>
      <c r="E340" s="7">
        <f t="shared" si="34"/>
        <v>102.13815789473685</v>
      </c>
      <c r="F340" s="7">
        <f t="shared" si="35"/>
        <v>275.81015743828846</v>
      </c>
      <c r="G340" s="7">
        <v>0</v>
      </c>
      <c r="H340" s="7">
        <f t="shared" si="36"/>
        <v>0</v>
      </c>
      <c r="I340" s="7">
        <f t="shared" si="37"/>
        <v>0</v>
      </c>
      <c r="J340" s="7">
        <v>0</v>
      </c>
      <c r="K340" s="7">
        <f t="shared" si="38"/>
        <v>0</v>
      </c>
      <c r="L340" s="7">
        <f t="shared" si="39"/>
        <v>0</v>
      </c>
      <c r="M340" s="7">
        <v>0</v>
      </c>
      <c r="N340" s="7">
        <f t="shared" si="40"/>
        <v>0</v>
      </c>
      <c r="O340" s="7">
        <f t="shared" si="41"/>
        <v>0</v>
      </c>
    </row>
    <row r="341" spans="3:15" x14ac:dyDescent="0.2">
      <c r="C341">
        <v>322</v>
      </c>
      <c r="D341" s="7">
        <v>3564</v>
      </c>
      <c r="E341" s="7">
        <f t="shared" ref="E341:E404" si="42">D341/($C$3*($D$8-$D$6))</f>
        <v>106.57894736842105</v>
      </c>
      <c r="F341" s="7">
        <f t="shared" ref="F341:F404" si="43">E341*$C$3*((($D$8)-($D$6))-$C$2*LN(($D$8)/($D$6)))</f>
        <v>287.80190341386617</v>
      </c>
      <c r="G341" s="7">
        <v>0</v>
      </c>
      <c r="H341" s="7">
        <f t="shared" ref="H341:H404" si="44">G341/($C$3*($D$6-$D$9))</f>
        <v>0</v>
      </c>
      <c r="I341" s="7">
        <f t="shared" ref="I341:I404" si="45">ABS(H341*$C$3*(($D$9-$D$6)-$C$2*(LN($D$9/$D$6))))</f>
        <v>0</v>
      </c>
      <c r="J341" s="7">
        <v>0</v>
      </c>
      <c r="K341" s="7">
        <f t="shared" ref="K341:K404" si="46">J341/($C$3*($D$10-$D$7))</f>
        <v>0</v>
      </c>
      <c r="L341" s="7">
        <f t="shared" ref="L341:L404" si="47">K341*$C$3*(($D$10-$D$7)-$C$2*LN($D$10/$D$7))</f>
        <v>0</v>
      </c>
      <c r="M341" s="7">
        <v>0</v>
      </c>
      <c r="N341" s="7">
        <f t="shared" ref="N341:N404" si="48">M341/($C$3*($D$7-$D$11))</f>
        <v>0</v>
      </c>
      <c r="O341" s="7">
        <f t="shared" ref="O341:O404" si="49">ABS(N341*$C$3*(($D$11-$D$7)-$C$2*LN($D$11/$D$7)))</f>
        <v>0</v>
      </c>
    </row>
    <row r="342" spans="3:15" x14ac:dyDescent="0.2">
      <c r="C342">
        <v>323</v>
      </c>
      <c r="D342" s="7">
        <v>3712.5000000000005</v>
      </c>
      <c r="E342" s="7">
        <f t="shared" si="42"/>
        <v>111.01973684210529</v>
      </c>
      <c r="F342" s="7">
        <f t="shared" si="43"/>
        <v>299.793649389444</v>
      </c>
      <c r="G342" s="7">
        <v>0</v>
      </c>
      <c r="H342" s="7">
        <f t="shared" si="44"/>
        <v>0</v>
      </c>
      <c r="I342" s="7">
        <f t="shared" si="45"/>
        <v>0</v>
      </c>
      <c r="J342" s="7">
        <v>0</v>
      </c>
      <c r="K342" s="7">
        <f t="shared" si="46"/>
        <v>0</v>
      </c>
      <c r="L342" s="7">
        <f t="shared" si="47"/>
        <v>0</v>
      </c>
      <c r="M342" s="7">
        <v>0</v>
      </c>
      <c r="N342" s="7">
        <f t="shared" si="48"/>
        <v>0</v>
      </c>
      <c r="O342" s="7">
        <f t="shared" si="49"/>
        <v>0</v>
      </c>
    </row>
    <row r="343" spans="3:15" x14ac:dyDescent="0.2">
      <c r="C343">
        <v>324</v>
      </c>
      <c r="D343" s="7">
        <v>3712.8569857173429</v>
      </c>
      <c r="E343" s="7">
        <f t="shared" si="42"/>
        <v>111.0304122523129</v>
      </c>
      <c r="F343" s="7">
        <f t="shared" si="43"/>
        <v>299.82247687792398</v>
      </c>
      <c r="G343" s="7">
        <v>0</v>
      </c>
      <c r="H343" s="7">
        <f t="shared" si="44"/>
        <v>0</v>
      </c>
      <c r="I343" s="7">
        <f t="shared" si="45"/>
        <v>0</v>
      </c>
      <c r="J343" s="7">
        <v>148.14301428265799</v>
      </c>
      <c r="K343" s="7">
        <f t="shared" si="46"/>
        <v>2.3627275005208612</v>
      </c>
      <c r="L343" s="7">
        <f t="shared" si="47"/>
        <v>8.8933336861126477</v>
      </c>
      <c r="M343" s="7">
        <v>0</v>
      </c>
      <c r="N343" s="7">
        <f t="shared" si="48"/>
        <v>0</v>
      </c>
      <c r="O343" s="7">
        <f t="shared" si="49"/>
        <v>0</v>
      </c>
    </row>
    <row r="344" spans="3:15" x14ac:dyDescent="0.2">
      <c r="C344">
        <v>325</v>
      </c>
      <c r="D344" s="7">
        <v>3706.2399828299781</v>
      </c>
      <c r="E344" s="7">
        <f t="shared" si="42"/>
        <v>110.83253537170988</v>
      </c>
      <c r="F344" s="7">
        <f t="shared" si="43"/>
        <v>299.28813736449001</v>
      </c>
      <c r="G344" s="7">
        <v>0</v>
      </c>
      <c r="H344" s="7">
        <f t="shared" si="44"/>
        <v>0</v>
      </c>
      <c r="I344" s="7">
        <f t="shared" si="45"/>
        <v>0</v>
      </c>
      <c r="J344" s="7">
        <v>303.26001717002237</v>
      </c>
      <c r="K344" s="7">
        <f t="shared" si="46"/>
        <v>4.8366828894740417</v>
      </c>
      <c r="L344" s="7">
        <f t="shared" si="47"/>
        <v>18.205330432951619</v>
      </c>
      <c r="M344" s="7">
        <v>0</v>
      </c>
      <c r="N344" s="7">
        <f t="shared" si="48"/>
        <v>0</v>
      </c>
      <c r="O344" s="7">
        <f t="shared" si="49"/>
        <v>0</v>
      </c>
    </row>
    <row r="345" spans="3:15" x14ac:dyDescent="0.2">
      <c r="C345">
        <v>326</v>
      </c>
      <c r="D345" s="7">
        <v>3699.6560482288778</v>
      </c>
      <c r="E345" s="7">
        <f t="shared" si="42"/>
        <v>110.63564737526549</v>
      </c>
      <c r="F345" s="7">
        <f t="shared" si="43"/>
        <v>298.75646819778154</v>
      </c>
      <c r="G345" s="7">
        <v>0</v>
      </c>
      <c r="H345" s="7">
        <f t="shared" si="44"/>
        <v>0</v>
      </c>
      <c r="I345" s="7">
        <f t="shared" si="45"/>
        <v>0</v>
      </c>
      <c r="J345" s="7">
        <v>458.3439517711231</v>
      </c>
      <c r="K345" s="7">
        <f t="shared" si="46"/>
        <v>7.3101108735426337</v>
      </c>
      <c r="L345" s="7">
        <f t="shared" si="47"/>
        <v>27.515342021694575</v>
      </c>
      <c r="M345" s="7">
        <v>0</v>
      </c>
      <c r="N345" s="7">
        <f t="shared" si="48"/>
        <v>0</v>
      </c>
      <c r="O345" s="7">
        <f t="shared" si="49"/>
        <v>0</v>
      </c>
    </row>
    <row r="346" spans="3:15" x14ac:dyDescent="0.2">
      <c r="C346">
        <v>327</v>
      </c>
      <c r="D346" s="7">
        <v>3693.1050719140731</v>
      </c>
      <c r="E346" s="7">
        <f t="shared" si="42"/>
        <v>110.43974497350698</v>
      </c>
      <c r="F346" s="7">
        <f t="shared" si="43"/>
        <v>298.22746049502621</v>
      </c>
      <c r="G346" s="7">
        <v>0</v>
      </c>
      <c r="H346" s="7">
        <f t="shared" si="44"/>
        <v>0</v>
      </c>
      <c r="I346" s="7">
        <f t="shared" si="45"/>
        <v>0</v>
      </c>
      <c r="J346" s="7">
        <v>316.39492808592695</v>
      </c>
      <c r="K346" s="7">
        <f t="shared" si="46"/>
        <v>5.0461711018489153</v>
      </c>
      <c r="L346" s="7">
        <f t="shared" si="47"/>
        <v>18.993846491424833</v>
      </c>
      <c r="M346" s="7">
        <v>0</v>
      </c>
      <c r="N346" s="7">
        <f t="shared" si="48"/>
        <v>0</v>
      </c>
      <c r="O346" s="7">
        <f t="shared" si="49"/>
        <v>0</v>
      </c>
    </row>
    <row r="347" spans="3:15" x14ac:dyDescent="0.2">
      <c r="C347">
        <v>328</v>
      </c>
      <c r="D347" s="7">
        <v>3692.5981238959826</v>
      </c>
      <c r="E347" s="7">
        <f t="shared" si="42"/>
        <v>110.42458504473633</v>
      </c>
      <c r="F347" s="7">
        <f t="shared" si="43"/>
        <v>298.1865231761322</v>
      </c>
      <c r="G347" s="7">
        <v>6258.9143567799574</v>
      </c>
      <c r="H347" s="7">
        <f t="shared" si="44"/>
        <v>149.7347932244009</v>
      </c>
      <c r="I347" s="7">
        <f t="shared" si="45"/>
        <v>325.3889371292376</v>
      </c>
      <c r="J347" s="7">
        <v>465.40187610401745</v>
      </c>
      <c r="K347" s="7">
        <f t="shared" si="46"/>
        <v>7.4226774498248398</v>
      </c>
      <c r="L347" s="7">
        <f t="shared" si="47"/>
        <v>27.939043918997683</v>
      </c>
      <c r="M347" s="7">
        <v>1063.5479790058916</v>
      </c>
      <c r="N347" s="7">
        <f t="shared" si="48"/>
        <v>84.81243851721625</v>
      </c>
      <c r="O347" s="7">
        <f t="shared" si="49"/>
        <v>32.104475053159504</v>
      </c>
    </row>
    <row r="348" spans="3:15" x14ac:dyDescent="0.2">
      <c r="C348">
        <v>329</v>
      </c>
      <c r="D348" s="7">
        <v>3700.1360179843232</v>
      </c>
      <c r="E348" s="7">
        <f t="shared" si="42"/>
        <v>110.65000053780872</v>
      </c>
      <c r="F348" s="7">
        <f t="shared" si="43"/>
        <v>298.79522695457121</v>
      </c>
      <c r="G348" s="7">
        <v>6259.3463909274078</v>
      </c>
      <c r="H348" s="7">
        <f t="shared" si="44"/>
        <v>149.74512896955522</v>
      </c>
      <c r="I348" s="7">
        <f t="shared" si="45"/>
        <v>325.41139775483953</v>
      </c>
      <c r="J348" s="7">
        <v>1051.8639820156768</v>
      </c>
      <c r="K348" s="7">
        <f t="shared" si="46"/>
        <v>16.776140064045883</v>
      </c>
      <c r="L348" s="7">
        <f t="shared" si="47"/>
        <v>63.145585566525604</v>
      </c>
      <c r="M348" s="7">
        <v>1063.115944858441</v>
      </c>
      <c r="N348" s="7">
        <f t="shared" si="48"/>
        <v>84.777986033368506</v>
      </c>
      <c r="O348" s="7">
        <f t="shared" si="49"/>
        <v>32.091433582739043</v>
      </c>
    </row>
    <row r="349" spans="3:15" x14ac:dyDescent="0.2">
      <c r="C349">
        <v>330</v>
      </c>
      <c r="D349" s="7">
        <v>3707.6425461834474</v>
      </c>
      <c r="E349" s="7">
        <f t="shared" si="42"/>
        <v>110.87447805572511</v>
      </c>
      <c r="F349" s="7">
        <f t="shared" si="43"/>
        <v>299.40139785909918</v>
      </c>
      <c r="G349" s="7">
        <v>6259.4608920926657</v>
      </c>
      <c r="H349" s="7">
        <f t="shared" si="44"/>
        <v>149.74786823188197</v>
      </c>
      <c r="I349" s="7">
        <f t="shared" si="45"/>
        <v>325.41735045052116</v>
      </c>
      <c r="J349" s="7">
        <v>895.85745381655261</v>
      </c>
      <c r="K349" s="7">
        <f t="shared" si="46"/>
        <v>14.287997668525561</v>
      </c>
      <c r="L349" s="7">
        <f t="shared" si="47"/>
        <v>53.780188762599707</v>
      </c>
      <c r="M349" s="7">
        <v>1063.0014436931831</v>
      </c>
      <c r="N349" s="7">
        <f t="shared" si="48"/>
        <v>84.768855158946025</v>
      </c>
      <c r="O349" s="7">
        <f t="shared" si="49"/>
        <v>32.087977227336047</v>
      </c>
    </row>
    <row r="350" spans="3:15" x14ac:dyDescent="0.2">
      <c r="C350">
        <v>331</v>
      </c>
      <c r="D350" s="7">
        <v>3715.1176173945041</v>
      </c>
      <c r="E350" s="7">
        <f t="shared" si="42"/>
        <v>111.09801487423758</v>
      </c>
      <c r="F350" s="7">
        <f t="shared" si="43"/>
        <v>300.00502853325639</v>
      </c>
      <c r="G350" s="7">
        <v>6259.4584069032235</v>
      </c>
      <c r="H350" s="7">
        <f t="shared" si="44"/>
        <v>149.74780877758909</v>
      </c>
      <c r="I350" s="7">
        <f t="shared" si="45"/>
        <v>325.41722125029492</v>
      </c>
      <c r="J350" s="7">
        <v>1185.382382605495</v>
      </c>
      <c r="K350" s="7">
        <f t="shared" si="46"/>
        <v>18.905620137248725</v>
      </c>
      <c r="L350" s="7">
        <f t="shared" si="47"/>
        <v>71.160973233848878</v>
      </c>
      <c r="M350" s="7">
        <v>1063.0039288826256</v>
      </c>
      <c r="N350" s="7">
        <f t="shared" si="48"/>
        <v>84.769053339922294</v>
      </c>
      <c r="O350" s="7">
        <f t="shared" si="49"/>
        <v>32.088052245768722</v>
      </c>
    </row>
    <row r="351" spans="3:15" x14ac:dyDescent="0.2">
      <c r="C351">
        <v>332</v>
      </c>
      <c r="D351" s="7">
        <v>3722.5609313575969</v>
      </c>
      <c r="E351" s="7">
        <f t="shared" si="42"/>
        <v>111.32060201428222</v>
      </c>
      <c r="F351" s="7">
        <f t="shared" si="43"/>
        <v>300.6060947303061</v>
      </c>
      <c r="G351" s="7">
        <v>6259.4594440204855</v>
      </c>
      <c r="H351" s="7">
        <f t="shared" si="44"/>
        <v>149.74783358900683</v>
      </c>
      <c r="I351" s="7">
        <f t="shared" si="45"/>
        <v>325.41727516802956</v>
      </c>
      <c r="J351" s="7">
        <v>851.23906864240325</v>
      </c>
      <c r="K351" s="7">
        <f t="shared" si="46"/>
        <v>13.576380680102126</v>
      </c>
      <c r="L351" s="7">
        <f t="shared" si="47"/>
        <v>51.101654173502567</v>
      </c>
      <c r="M351" s="7">
        <v>1063.0028917653633</v>
      </c>
      <c r="N351" s="7">
        <f t="shared" si="48"/>
        <v>84.768970635196439</v>
      </c>
      <c r="O351" s="7">
        <f t="shared" si="49"/>
        <v>32.088020939136648</v>
      </c>
    </row>
    <row r="352" spans="3:15" x14ac:dyDescent="0.2">
      <c r="C352">
        <v>333</v>
      </c>
      <c r="D352" s="7">
        <v>3729.9732245368264</v>
      </c>
      <c r="E352" s="7">
        <f t="shared" si="42"/>
        <v>111.54226149930702</v>
      </c>
      <c r="F352" s="7">
        <f t="shared" si="43"/>
        <v>301.20465592156421</v>
      </c>
      <c r="G352" s="7">
        <v>6259.8845266610588</v>
      </c>
      <c r="H352" s="7">
        <f t="shared" si="44"/>
        <v>149.75800303016888</v>
      </c>
      <c r="I352" s="7">
        <f t="shared" si="45"/>
        <v>325.43937439813942</v>
      </c>
      <c r="J352" s="7">
        <v>517.126775463174</v>
      </c>
      <c r="K352" s="7">
        <f t="shared" si="46"/>
        <v>8.2476359722994257</v>
      </c>
      <c r="L352" s="7">
        <f t="shared" si="47"/>
        <v>31.044197355418763</v>
      </c>
      <c r="M352" s="7">
        <v>1062.5778091247898</v>
      </c>
      <c r="N352" s="7">
        <f t="shared" si="48"/>
        <v>84.73507249798962</v>
      </c>
      <c r="O352" s="7">
        <f t="shared" si="49"/>
        <v>32.075189308313021</v>
      </c>
    </row>
    <row r="353" spans="3:15" x14ac:dyDescent="0.2">
      <c r="C353">
        <v>334</v>
      </c>
      <c r="D353" s="7">
        <v>3737.3555434207715</v>
      </c>
      <c r="E353" s="7">
        <f t="shared" si="42"/>
        <v>111.76302462382691</v>
      </c>
      <c r="F353" s="7">
        <f t="shared" si="43"/>
        <v>301.80079661359775</v>
      </c>
      <c r="G353" s="7">
        <v>6260.7329354517333</v>
      </c>
      <c r="H353" s="7">
        <f t="shared" si="44"/>
        <v>149.77829989118979</v>
      </c>
      <c r="I353" s="7">
        <f t="shared" si="45"/>
        <v>325.48348154179274</v>
      </c>
      <c r="J353" s="7">
        <v>183.04445657922815</v>
      </c>
      <c r="K353" s="7">
        <f t="shared" si="46"/>
        <v>2.9193693234326661</v>
      </c>
      <c r="L353" s="7">
        <f t="shared" si="47"/>
        <v>10.988539956708554</v>
      </c>
      <c r="M353" s="7">
        <v>1061.7294003341156</v>
      </c>
      <c r="N353" s="7">
        <f t="shared" si="48"/>
        <v>84.667416294586573</v>
      </c>
      <c r="O353" s="7">
        <f t="shared" si="49"/>
        <v>32.049579068443499</v>
      </c>
    </row>
    <row r="354" spans="3:15" x14ac:dyDescent="0.2">
      <c r="C354">
        <v>335</v>
      </c>
      <c r="D354" s="7">
        <v>3593.7</v>
      </c>
      <c r="E354" s="7">
        <f t="shared" si="42"/>
        <v>107.46710526315789</v>
      </c>
      <c r="F354" s="7">
        <f t="shared" si="43"/>
        <v>290.20025260898171</v>
      </c>
      <c r="G354" s="7">
        <v>0</v>
      </c>
      <c r="H354" s="7">
        <f t="shared" si="44"/>
        <v>0</v>
      </c>
      <c r="I354" s="7">
        <f t="shared" si="45"/>
        <v>0</v>
      </c>
      <c r="J354" s="7">
        <v>0</v>
      </c>
      <c r="K354" s="7">
        <f t="shared" si="46"/>
        <v>0</v>
      </c>
      <c r="L354" s="7">
        <f t="shared" si="47"/>
        <v>0</v>
      </c>
      <c r="M354" s="7">
        <v>0</v>
      </c>
      <c r="N354" s="7">
        <f t="shared" si="48"/>
        <v>0</v>
      </c>
      <c r="O354" s="7">
        <f t="shared" si="49"/>
        <v>0</v>
      </c>
    </row>
    <row r="355" spans="3:15" x14ac:dyDescent="0.2">
      <c r="C355">
        <v>336</v>
      </c>
      <c r="D355" s="7">
        <v>3267</v>
      </c>
      <c r="E355" s="7">
        <f t="shared" si="42"/>
        <v>97.697368421052644</v>
      </c>
      <c r="F355" s="7">
        <f t="shared" si="43"/>
        <v>263.81841146271069</v>
      </c>
      <c r="G355" s="7">
        <v>0</v>
      </c>
      <c r="H355" s="7">
        <f t="shared" si="44"/>
        <v>0</v>
      </c>
      <c r="I355" s="7">
        <f t="shared" si="45"/>
        <v>0</v>
      </c>
      <c r="J355" s="7">
        <v>0</v>
      </c>
      <c r="K355" s="7">
        <f t="shared" si="46"/>
        <v>0</v>
      </c>
      <c r="L355" s="7">
        <f t="shared" si="47"/>
        <v>0</v>
      </c>
      <c r="M355" s="7">
        <v>0</v>
      </c>
      <c r="N355" s="7">
        <f t="shared" si="48"/>
        <v>0</v>
      </c>
      <c r="O355" s="7">
        <f t="shared" si="49"/>
        <v>0</v>
      </c>
    </row>
    <row r="356" spans="3:15" x14ac:dyDescent="0.2">
      <c r="C356">
        <v>337</v>
      </c>
      <c r="D356" s="7">
        <v>2524.5</v>
      </c>
      <c r="E356" s="7">
        <f t="shared" si="42"/>
        <v>75.493421052631589</v>
      </c>
      <c r="F356" s="7">
        <f t="shared" si="43"/>
        <v>203.85968158482189</v>
      </c>
      <c r="G356" s="7">
        <v>0</v>
      </c>
      <c r="H356" s="7">
        <f t="shared" si="44"/>
        <v>0</v>
      </c>
      <c r="I356" s="7">
        <f t="shared" si="45"/>
        <v>0</v>
      </c>
      <c r="J356" s="7">
        <v>0</v>
      </c>
      <c r="K356" s="7">
        <f t="shared" si="46"/>
        <v>0</v>
      </c>
      <c r="L356" s="7">
        <f t="shared" si="47"/>
        <v>0</v>
      </c>
      <c r="M356" s="7">
        <v>0</v>
      </c>
      <c r="N356" s="7">
        <f t="shared" si="48"/>
        <v>0</v>
      </c>
      <c r="O356" s="7">
        <f t="shared" si="49"/>
        <v>0</v>
      </c>
    </row>
    <row r="357" spans="3:15" x14ac:dyDescent="0.2">
      <c r="C357">
        <v>338</v>
      </c>
      <c r="D357" s="7">
        <v>2376</v>
      </c>
      <c r="E357" s="7">
        <f t="shared" si="42"/>
        <v>71.05263157894737</v>
      </c>
      <c r="F357" s="7">
        <f t="shared" si="43"/>
        <v>191.86793560924414</v>
      </c>
      <c r="G357" s="7">
        <v>0</v>
      </c>
      <c r="H357" s="7">
        <f t="shared" si="44"/>
        <v>0</v>
      </c>
      <c r="I357" s="7">
        <f t="shared" si="45"/>
        <v>0</v>
      </c>
      <c r="J357" s="7">
        <v>0</v>
      </c>
      <c r="K357" s="7">
        <f t="shared" si="46"/>
        <v>0</v>
      </c>
      <c r="L357" s="7">
        <f t="shared" si="47"/>
        <v>0</v>
      </c>
      <c r="M357" s="7">
        <v>0</v>
      </c>
      <c r="N357" s="7">
        <f t="shared" si="48"/>
        <v>0</v>
      </c>
      <c r="O357" s="7">
        <f t="shared" si="49"/>
        <v>0</v>
      </c>
    </row>
    <row r="358" spans="3:15" x14ac:dyDescent="0.2">
      <c r="C358">
        <v>339</v>
      </c>
      <c r="D358" s="7">
        <v>2524.5</v>
      </c>
      <c r="E358" s="7">
        <f t="shared" si="42"/>
        <v>75.493421052631589</v>
      </c>
      <c r="F358" s="7">
        <f t="shared" si="43"/>
        <v>203.85968158482189</v>
      </c>
      <c r="G358" s="7">
        <v>0</v>
      </c>
      <c r="H358" s="7">
        <f t="shared" si="44"/>
        <v>0</v>
      </c>
      <c r="I358" s="7">
        <f t="shared" si="45"/>
        <v>0</v>
      </c>
      <c r="J358" s="7">
        <v>0</v>
      </c>
      <c r="K358" s="7">
        <f t="shared" si="46"/>
        <v>0</v>
      </c>
      <c r="L358" s="7">
        <f t="shared" si="47"/>
        <v>0</v>
      </c>
      <c r="M358" s="7">
        <v>0</v>
      </c>
      <c r="N358" s="7">
        <f t="shared" si="48"/>
        <v>0</v>
      </c>
      <c r="O358" s="7">
        <f t="shared" si="49"/>
        <v>0</v>
      </c>
    </row>
    <row r="359" spans="3:15" x14ac:dyDescent="0.2">
      <c r="C359">
        <v>340</v>
      </c>
      <c r="D359" s="7">
        <v>2673</v>
      </c>
      <c r="E359" s="7">
        <f t="shared" si="42"/>
        <v>79.934210526315795</v>
      </c>
      <c r="F359" s="7">
        <f t="shared" si="43"/>
        <v>215.85142756039966</v>
      </c>
      <c r="G359" s="7">
        <v>0</v>
      </c>
      <c r="H359" s="7">
        <f t="shared" si="44"/>
        <v>0</v>
      </c>
      <c r="I359" s="7">
        <f t="shared" si="45"/>
        <v>0</v>
      </c>
      <c r="J359" s="7">
        <v>0</v>
      </c>
      <c r="K359" s="7">
        <f t="shared" si="46"/>
        <v>0</v>
      </c>
      <c r="L359" s="7">
        <f t="shared" si="47"/>
        <v>0</v>
      </c>
      <c r="M359" s="7">
        <v>0</v>
      </c>
      <c r="N359" s="7">
        <f t="shared" si="48"/>
        <v>0</v>
      </c>
      <c r="O359" s="7">
        <f t="shared" si="49"/>
        <v>0</v>
      </c>
    </row>
    <row r="360" spans="3:15" x14ac:dyDescent="0.2">
      <c r="C360">
        <v>341</v>
      </c>
      <c r="D360" s="7">
        <v>3044.2499999999995</v>
      </c>
      <c r="E360" s="7">
        <f t="shared" si="42"/>
        <v>91.036184210526315</v>
      </c>
      <c r="F360" s="7">
        <f t="shared" si="43"/>
        <v>245.830792499344</v>
      </c>
      <c r="G360" s="7">
        <v>0</v>
      </c>
      <c r="H360" s="7">
        <f t="shared" si="44"/>
        <v>0</v>
      </c>
      <c r="I360" s="7">
        <f t="shared" si="45"/>
        <v>0</v>
      </c>
      <c r="J360" s="7">
        <v>0</v>
      </c>
      <c r="K360" s="7">
        <f t="shared" si="46"/>
        <v>0</v>
      </c>
      <c r="L360" s="7">
        <f t="shared" si="47"/>
        <v>0</v>
      </c>
      <c r="M360" s="7">
        <v>0</v>
      </c>
      <c r="N360" s="7">
        <f t="shared" si="48"/>
        <v>0</v>
      </c>
      <c r="O360" s="7">
        <f t="shared" si="49"/>
        <v>0</v>
      </c>
    </row>
    <row r="361" spans="3:15" x14ac:dyDescent="0.2">
      <c r="C361">
        <v>342</v>
      </c>
      <c r="D361" s="7">
        <v>3266.9999999999995</v>
      </c>
      <c r="E361" s="7">
        <f t="shared" si="42"/>
        <v>97.69736842105263</v>
      </c>
      <c r="F361" s="7">
        <f t="shared" si="43"/>
        <v>263.81841146271063</v>
      </c>
      <c r="G361" s="7">
        <v>0</v>
      </c>
      <c r="H361" s="7">
        <f t="shared" si="44"/>
        <v>0</v>
      </c>
      <c r="I361" s="7">
        <f t="shared" si="45"/>
        <v>0</v>
      </c>
      <c r="J361" s="7">
        <v>0</v>
      </c>
      <c r="K361" s="7">
        <f t="shared" si="46"/>
        <v>0</v>
      </c>
      <c r="L361" s="7">
        <f t="shared" si="47"/>
        <v>0</v>
      </c>
      <c r="M361" s="7">
        <v>0</v>
      </c>
      <c r="N361" s="7">
        <f t="shared" si="48"/>
        <v>0</v>
      </c>
      <c r="O361" s="7">
        <f t="shared" si="49"/>
        <v>0</v>
      </c>
    </row>
    <row r="362" spans="3:15" x14ac:dyDescent="0.2">
      <c r="C362">
        <v>343</v>
      </c>
      <c r="D362" s="7">
        <v>3489.7499999999995</v>
      </c>
      <c r="E362" s="7">
        <f t="shared" si="42"/>
        <v>104.35855263157895</v>
      </c>
      <c r="F362" s="7">
        <f t="shared" si="43"/>
        <v>281.80603042607726</v>
      </c>
      <c r="G362" s="7">
        <v>6261.0947433325309</v>
      </c>
      <c r="H362" s="7">
        <f t="shared" si="44"/>
        <v>149.78695558211797</v>
      </c>
      <c r="I362" s="7">
        <f t="shared" si="45"/>
        <v>325.50229123866137</v>
      </c>
      <c r="J362" s="7">
        <v>0</v>
      </c>
      <c r="K362" s="7">
        <f t="shared" si="46"/>
        <v>0</v>
      </c>
      <c r="L362" s="7">
        <f t="shared" si="47"/>
        <v>0</v>
      </c>
      <c r="M362" s="7">
        <v>1061.3675924533179</v>
      </c>
      <c r="N362" s="7">
        <f t="shared" si="48"/>
        <v>84.63856399149266</v>
      </c>
      <c r="O362" s="7">
        <f t="shared" si="49"/>
        <v>32.038657462354827</v>
      </c>
    </row>
    <row r="363" spans="3:15" x14ac:dyDescent="0.2">
      <c r="C363">
        <v>344</v>
      </c>
      <c r="D363" s="7">
        <v>3712.2687185513055</v>
      </c>
      <c r="E363" s="7">
        <f t="shared" si="42"/>
        <v>111.01282053084049</v>
      </c>
      <c r="F363" s="7">
        <f t="shared" si="43"/>
        <v>299.77497283468563</v>
      </c>
      <c r="G363" s="7">
        <v>6262.1452474131884</v>
      </c>
      <c r="H363" s="7">
        <f t="shared" si="44"/>
        <v>149.81208725868873</v>
      </c>
      <c r="I363" s="7">
        <f t="shared" si="45"/>
        <v>325.55690492831587</v>
      </c>
      <c r="J363" s="7">
        <v>0.23128144869360767</v>
      </c>
      <c r="K363" s="7">
        <f t="shared" si="46"/>
        <v>3.6886993412058641E-3</v>
      </c>
      <c r="L363" s="7">
        <f t="shared" si="47"/>
        <v>1.3884307056931382E-2</v>
      </c>
      <c r="M363" s="7">
        <v>1060.3170883726605</v>
      </c>
      <c r="N363" s="7">
        <f t="shared" si="48"/>
        <v>84.554791736256817</v>
      </c>
      <c r="O363" s="7">
        <f t="shared" si="49"/>
        <v>32.006946733063394</v>
      </c>
    </row>
    <row r="364" spans="3:15" x14ac:dyDescent="0.2">
      <c r="C364">
        <v>345</v>
      </c>
      <c r="D364" s="7">
        <v>3711.7156524821721</v>
      </c>
      <c r="E364" s="7">
        <f t="shared" si="42"/>
        <v>110.99628147374918</v>
      </c>
      <c r="F364" s="7">
        <f t="shared" si="43"/>
        <v>299.73031136795998</v>
      </c>
      <c r="G364" s="7">
        <v>0</v>
      </c>
      <c r="H364" s="7">
        <f t="shared" si="44"/>
        <v>0</v>
      </c>
      <c r="I364" s="7">
        <f t="shared" si="45"/>
        <v>0</v>
      </c>
      <c r="J364" s="7">
        <v>223.53434751782697</v>
      </c>
      <c r="K364" s="7">
        <f t="shared" si="46"/>
        <v>3.5651411087372726</v>
      </c>
      <c r="L364" s="7">
        <f t="shared" si="47"/>
        <v>13.419232438395294</v>
      </c>
      <c r="M364" s="7">
        <v>0</v>
      </c>
      <c r="N364" s="7">
        <f t="shared" si="48"/>
        <v>0</v>
      </c>
      <c r="O364" s="7">
        <f t="shared" si="49"/>
        <v>0</v>
      </c>
    </row>
    <row r="365" spans="3:15" x14ac:dyDescent="0.2">
      <c r="C365">
        <v>346</v>
      </c>
      <c r="D365" s="7">
        <v>3705.1601811193045</v>
      </c>
      <c r="E365" s="7">
        <f t="shared" si="42"/>
        <v>110.80024465069691</v>
      </c>
      <c r="F365" s="7">
        <f t="shared" si="43"/>
        <v>299.20094067884429</v>
      </c>
      <c r="G365" s="7">
        <v>0</v>
      </c>
      <c r="H365" s="7">
        <f t="shared" si="44"/>
        <v>0</v>
      </c>
      <c r="I365" s="7">
        <f t="shared" si="45"/>
        <v>0</v>
      </c>
      <c r="J365" s="7">
        <v>452.83981888069366</v>
      </c>
      <c r="K365" s="7">
        <f t="shared" si="46"/>
        <v>7.2223256599791661</v>
      </c>
      <c r="L365" s="7">
        <f t="shared" si="47"/>
        <v>27.184917460777385</v>
      </c>
      <c r="M365" s="7">
        <v>0</v>
      </c>
      <c r="N365" s="7">
        <f t="shared" si="48"/>
        <v>0</v>
      </c>
      <c r="O365" s="7">
        <f t="shared" si="49"/>
        <v>0</v>
      </c>
    </row>
    <row r="366" spans="3:15" x14ac:dyDescent="0.2">
      <c r="C366">
        <v>347</v>
      </c>
      <c r="D366" s="7">
        <v>3698.6375027536828</v>
      </c>
      <c r="E366" s="7">
        <f t="shared" si="42"/>
        <v>110.60518847947617</v>
      </c>
      <c r="F366" s="7">
        <f t="shared" si="43"/>
        <v>298.6742181061781</v>
      </c>
      <c r="G366" s="7">
        <v>0</v>
      </c>
      <c r="H366" s="7">
        <f t="shared" si="44"/>
        <v>0</v>
      </c>
      <c r="I366" s="7">
        <f t="shared" si="45"/>
        <v>0</v>
      </c>
      <c r="J366" s="7">
        <v>682.11249724631534</v>
      </c>
      <c r="K366" s="7">
        <f t="shared" si="46"/>
        <v>10.878987196910931</v>
      </c>
      <c r="L366" s="7">
        <f t="shared" si="47"/>
        <v>40.948633851236593</v>
      </c>
      <c r="M366" s="7">
        <v>0</v>
      </c>
      <c r="N366" s="7">
        <f t="shared" si="48"/>
        <v>0</v>
      </c>
      <c r="O366" s="7">
        <f t="shared" si="49"/>
        <v>0</v>
      </c>
    </row>
    <row r="367" spans="3:15" x14ac:dyDescent="0.2">
      <c r="C367">
        <v>348</v>
      </c>
      <c r="D367" s="7">
        <v>3692.1475082603324</v>
      </c>
      <c r="E367" s="7">
        <f t="shared" si="42"/>
        <v>110.41110969678029</v>
      </c>
      <c r="F367" s="7">
        <f t="shared" si="43"/>
        <v>298.15013483784708</v>
      </c>
      <c r="G367" s="7">
        <v>0</v>
      </c>
      <c r="H367" s="7">
        <f t="shared" si="44"/>
        <v>0</v>
      </c>
      <c r="I367" s="7">
        <f t="shared" si="45"/>
        <v>0</v>
      </c>
      <c r="J367" s="7">
        <v>911.35249173966577</v>
      </c>
      <c r="K367" s="7">
        <f t="shared" si="46"/>
        <v>14.535127459962773</v>
      </c>
      <c r="L367" s="7">
        <f t="shared" si="47"/>
        <v>54.710388160772396</v>
      </c>
      <c r="M367" s="7">
        <v>0</v>
      </c>
      <c r="N367" s="7">
        <f t="shared" si="48"/>
        <v>0</v>
      </c>
      <c r="O367" s="7">
        <f t="shared" si="49"/>
        <v>0</v>
      </c>
    </row>
    <row r="368" spans="3:15" x14ac:dyDescent="0.2">
      <c r="C368">
        <v>349</v>
      </c>
      <c r="D368" s="7">
        <v>3685.6900888080208</v>
      </c>
      <c r="E368" s="7">
        <f t="shared" si="42"/>
        <v>110.21800504808675</v>
      </c>
      <c r="F368" s="7">
        <f t="shared" si="43"/>
        <v>297.62868208545734</v>
      </c>
      <c r="G368" s="7">
        <v>0</v>
      </c>
      <c r="H368" s="7">
        <f t="shared" si="44"/>
        <v>0</v>
      </c>
      <c r="I368" s="7">
        <f t="shared" si="45"/>
        <v>0</v>
      </c>
      <c r="J368" s="7">
        <v>1140.5599111919792</v>
      </c>
      <c r="K368" s="7">
        <f t="shared" si="46"/>
        <v>18.19074818488005</v>
      </c>
      <c r="L368" s="7">
        <f t="shared" si="47"/>
        <v>68.470186922750401</v>
      </c>
      <c r="M368" s="7">
        <v>0</v>
      </c>
      <c r="N368" s="7">
        <f t="shared" si="48"/>
        <v>0</v>
      </c>
      <c r="O368" s="7">
        <f t="shared" si="49"/>
        <v>0</v>
      </c>
    </row>
    <row r="369" spans="3:15" x14ac:dyDescent="0.2">
      <c r="C369">
        <v>350</v>
      </c>
      <c r="D369" s="7">
        <v>3679.2651358586031</v>
      </c>
      <c r="E369" s="7">
        <f t="shared" si="42"/>
        <v>110.02587128763766</v>
      </c>
      <c r="F369" s="7">
        <f t="shared" si="43"/>
        <v>297.10985108428252</v>
      </c>
      <c r="G369" s="7">
        <v>0</v>
      </c>
      <c r="H369" s="7">
        <f t="shared" si="44"/>
        <v>0</v>
      </c>
      <c r="I369" s="7">
        <f t="shared" si="45"/>
        <v>0</v>
      </c>
      <c r="J369" s="7">
        <v>1369.7348641413969</v>
      </c>
      <c r="K369" s="7">
        <f t="shared" si="46"/>
        <v>21.845851102733604</v>
      </c>
      <c r="L369" s="7">
        <f t="shared" si="47"/>
        <v>82.228036652941356</v>
      </c>
      <c r="M369" s="7">
        <v>0</v>
      </c>
      <c r="N369" s="7">
        <f t="shared" si="48"/>
        <v>0</v>
      </c>
      <c r="O369" s="7">
        <f t="shared" si="49"/>
        <v>0</v>
      </c>
    </row>
    <row r="370" spans="3:15" x14ac:dyDescent="0.2">
      <c r="C370">
        <v>351</v>
      </c>
      <c r="D370" s="7">
        <v>3672.8725411663654</v>
      </c>
      <c r="E370" s="7">
        <f t="shared" si="42"/>
        <v>109.83470517842002</v>
      </c>
      <c r="F370" s="7">
        <f t="shared" si="43"/>
        <v>296.59363309321088</v>
      </c>
      <c r="G370" s="7">
        <v>0</v>
      </c>
      <c r="H370" s="7">
        <f t="shared" si="44"/>
        <v>0</v>
      </c>
      <c r="I370" s="7">
        <f t="shared" si="45"/>
        <v>0</v>
      </c>
      <c r="J370" s="7">
        <v>1227.6274588336337</v>
      </c>
      <c r="K370" s="7">
        <f t="shared" si="46"/>
        <v>19.579385308351416</v>
      </c>
      <c r="L370" s="7">
        <f t="shared" si="47"/>
        <v>73.697033144006127</v>
      </c>
      <c r="M370" s="7">
        <v>0</v>
      </c>
      <c r="N370" s="7">
        <f t="shared" si="48"/>
        <v>0</v>
      </c>
      <c r="O370" s="7">
        <f t="shared" si="49"/>
        <v>0</v>
      </c>
    </row>
    <row r="371" spans="3:15" x14ac:dyDescent="0.2">
      <c r="C371">
        <v>352</v>
      </c>
      <c r="D371" s="7">
        <v>3672.5112474228054</v>
      </c>
      <c r="E371" s="7">
        <f t="shared" si="42"/>
        <v>109.8239009396772</v>
      </c>
      <c r="F371" s="7">
        <f t="shared" si="43"/>
        <v>296.56445772085169</v>
      </c>
      <c r="G371" s="7">
        <v>6251.72265292669</v>
      </c>
      <c r="H371" s="7">
        <f t="shared" si="44"/>
        <v>149.56274289298301</v>
      </c>
      <c r="I371" s="7">
        <f t="shared" si="45"/>
        <v>325.01505425761331</v>
      </c>
      <c r="J371" s="7">
        <v>1425.9887525771946</v>
      </c>
      <c r="K371" s="7">
        <f t="shared" si="46"/>
        <v>22.743042305856374</v>
      </c>
      <c r="L371" s="7">
        <f t="shared" si="47"/>
        <v>85.605074736197537</v>
      </c>
      <c r="M371" s="7">
        <v>1070.7396828591595</v>
      </c>
      <c r="N371" s="7">
        <f t="shared" si="48"/>
        <v>85.385939621942555</v>
      </c>
      <c r="O371" s="7">
        <f t="shared" si="49"/>
        <v>32.32156528463431</v>
      </c>
    </row>
    <row r="372" spans="3:15" x14ac:dyDescent="0.2">
      <c r="C372">
        <v>353</v>
      </c>
      <c r="D372" s="7">
        <v>3680.1880259563036</v>
      </c>
      <c r="E372" s="7">
        <f t="shared" si="42"/>
        <v>110.05346967572679</v>
      </c>
      <c r="F372" s="7">
        <f t="shared" si="43"/>
        <v>297.18437676519164</v>
      </c>
      <c r="G372" s="7">
        <v>6250.1622017423924</v>
      </c>
      <c r="H372" s="7">
        <f t="shared" si="44"/>
        <v>149.52541152493762</v>
      </c>
      <c r="I372" s="7">
        <f t="shared" si="45"/>
        <v>324.93392939739687</v>
      </c>
      <c r="J372" s="7">
        <v>2111.3119740436964</v>
      </c>
      <c r="K372" s="7">
        <f t="shared" si="46"/>
        <v>33.673237225577296</v>
      </c>
      <c r="L372" s="7">
        <f t="shared" si="47"/>
        <v>126.74645504937475</v>
      </c>
      <c r="M372" s="7">
        <v>1072.3001340434571</v>
      </c>
      <c r="N372" s="7">
        <f t="shared" si="48"/>
        <v>85.510377515427209</v>
      </c>
      <c r="O372" s="7">
        <f t="shared" si="49"/>
        <v>32.368669380647709</v>
      </c>
    </row>
    <row r="373" spans="3:15" x14ac:dyDescent="0.2">
      <c r="C373">
        <v>354</v>
      </c>
      <c r="D373" s="7">
        <v>3687.8283595959538</v>
      </c>
      <c r="E373" s="7">
        <f t="shared" si="42"/>
        <v>110.28194855251058</v>
      </c>
      <c r="F373" s="7">
        <f t="shared" si="43"/>
        <v>297.80135279330847</v>
      </c>
      <c r="G373" s="7">
        <v>6248.2214892970433</v>
      </c>
      <c r="H373" s="7">
        <f t="shared" si="44"/>
        <v>149.47898299753692</v>
      </c>
      <c r="I373" s="7">
        <f t="shared" si="45"/>
        <v>324.83303548451221</v>
      </c>
      <c r="J373" s="7">
        <v>1955.1716404040453</v>
      </c>
      <c r="K373" s="7">
        <f t="shared" si="46"/>
        <v>31.182960771994345</v>
      </c>
      <c r="L373" s="7">
        <f t="shared" si="47"/>
        <v>117.3730256261763</v>
      </c>
      <c r="M373" s="7">
        <v>1074.2408464888056</v>
      </c>
      <c r="N373" s="7">
        <f t="shared" si="48"/>
        <v>85.665139273429475</v>
      </c>
      <c r="O373" s="7">
        <f t="shared" si="49"/>
        <v>32.427252120229696</v>
      </c>
    </row>
    <row r="374" spans="3:15" x14ac:dyDescent="0.2">
      <c r="C374">
        <v>355</v>
      </c>
      <c r="D374" s="7">
        <v>3695.4321391864619</v>
      </c>
      <c r="E374" s="7">
        <f t="shared" si="42"/>
        <v>110.50933430581526</v>
      </c>
      <c r="F374" s="7">
        <f t="shared" si="43"/>
        <v>298.41537699063946</v>
      </c>
      <c r="G374" s="7">
        <v>6246.1680954581852</v>
      </c>
      <c r="H374" s="7">
        <f t="shared" si="44"/>
        <v>149.4298587430188</v>
      </c>
      <c r="I374" s="7">
        <f t="shared" si="45"/>
        <v>324.72628348238425</v>
      </c>
      <c r="J374" s="7">
        <v>2244.5678608135372</v>
      </c>
      <c r="K374" s="7">
        <f t="shared" si="46"/>
        <v>35.798530475495014</v>
      </c>
      <c r="L374" s="7">
        <f t="shared" si="47"/>
        <v>134.74608346534501</v>
      </c>
      <c r="M374" s="7">
        <v>1076.2942403276638</v>
      </c>
      <c r="N374" s="7">
        <f t="shared" si="48"/>
        <v>85.828886788489939</v>
      </c>
      <c r="O374" s="7">
        <f t="shared" si="49"/>
        <v>32.489236283215511</v>
      </c>
    </row>
    <row r="375" spans="3:15" x14ac:dyDescent="0.2">
      <c r="C375">
        <v>356</v>
      </c>
      <c r="D375" s="7">
        <v>3702.9990818712195</v>
      </c>
      <c r="E375" s="7">
        <f t="shared" si="42"/>
        <v>110.73561847701016</v>
      </c>
      <c r="F375" s="7">
        <f t="shared" si="43"/>
        <v>299.02642651580692</v>
      </c>
      <c r="G375" s="7">
        <v>6244.102666112467</v>
      </c>
      <c r="H375" s="7">
        <f t="shared" si="44"/>
        <v>149.38044655771452</v>
      </c>
      <c r="I375" s="7">
        <f t="shared" si="45"/>
        <v>324.61890577736887</v>
      </c>
      <c r="J375" s="7">
        <v>1940.0009181287796</v>
      </c>
      <c r="K375" s="7">
        <f t="shared" si="46"/>
        <v>30.941003478927907</v>
      </c>
      <c r="L375" s="7">
        <f t="shared" si="47"/>
        <v>116.46229557179888</v>
      </c>
      <c r="M375" s="7">
        <v>1078.3596696733819</v>
      </c>
      <c r="N375" s="7">
        <f t="shared" si="48"/>
        <v>85.993594072837482</v>
      </c>
      <c r="O375" s="7">
        <f t="shared" si="49"/>
        <v>32.551583752453006</v>
      </c>
    </row>
    <row r="376" spans="3:15" x14ac:dyDescent="0.2">
      <c r="C376">
        <v>357</v>
      </c>
      <c r="D376" s="7">
        <v>3710.5295066104231</v>
      </c>
      <c r="E376" s="7">
        <f t="shared" si="42"/>
        <v>110.96081060437869</v>
      </c>
      <c r="F376" s="7">
        <f t="shared" si="43"/>
        <v>299.63452712564356</v>
      </c>
      <c r="G376" s="7">
        <v>6241.9249712914716</v>
      </c>
      <c r="H376" s="7">
        <f t="shared" si="44"/>
        <v>149.32834859548976</v>
      </c>
      <c r="I376" s="7">
        <f t="shared" si="45"/>
        <v>324.50569160590027</v>
      </c>
      <c r="J376" s="7">
        <v>2377.9704933895759</v>
      </c>
      <c r="K376" s="7">
        <f t="shared" si="46"/>
        <v>37.926164168892761</v>
      </c>
      <c r="L376" s="7">
        <f t="shared" si="47"/>
        <v>142.75452133769008</v>
      </c>
      <c r="M376" s="7">
        <v>1080.5373644943777</v>
      </c>
      <c r="N376" s="7">
        <f t="shared" si="48"/>
        <v>86.167253946920084</v>
      </c>
      <c r="O376" s="7">
        <f t="shared" si="49"/>
        <v>32.617320090102204</v>
      </c>
    </row>
    <row r="377" spans="3:15" x14ac:dyDescent="0.2">
      <c r="C377">
        <v>358</v>
      </c>
      <c r="D377" s="7">
        <v>3718.0231320183675</v>
      </c>
      <c r="E377" s="7">
        <f t="shared" si="42"/>
        <v>111.18490227327655</v>
      </c>
      <c r="F377" s="7">
        <f t="shared" si="43"/>
        <v>300.23965609755066</v>
      </c>
      <c r="G377" s="7">
        <v>6239.9361410696583</v>
      </c>
      <c r="H377" s="7">
        <f t="shared" si="44"/>
        <v>149.28076892511146</v>
      </c>
      <c r="I377" s="7">
        <f t="shared" si="45"/>
        <v>324.40229614222773</v>
      </c>
      <c r="J377" s="7">
        <v>1627.9768679816325</v>
      </c>
      <c r="K377" s="7">
        <f t="shared" si="46"/>
        <v>25.964543348989356</v>
      </c>
      <c r="L377" s="7">
        <f t="shared" si="47"/>
        <v>97.730841986303915</v>
      </c>
      <c r="M377" s="7">
        <v>1082.5261947161905</v>
      </c>
      <c r="N377" s="7">
        <f t="shared" si="48"/>
        <v>86.325852848181071</v>
      </c>
      <c r="O377" s="7">
        <f t="shared" si="49"/>
        <v>32.677355322646051</v>
      </c>
    </row>
    <row r="378" spans="3:15" x14ac:dyDescent="0.2">
      <c r="C378">
        <v>359</v>
      </c>
      <c r="D378" s="7">
        <v>3717.438677059487</v>
      </c>
      <c r="E378" s="7">
        <f t="shared" si="42"/>
        <v>111.16742455321433</v>
      </c>
      <c r="F378" s="7">
        <f t="shared" si="43"/>
        <v>300.19245989956369</v>
      </c>
      <c r="G378" s="7">
        <v>0</v>
      </c>
      <c r="H378" s="7">
        <f t="shared" si="44"/>
        <v>0</v>
      </c>
      <c r="I378" s="7">
        <f t="shared" si="45"/>
        <v>0</v>
      </c>
      <c r="J378" s="7">
        <v>886.06132294051122</v>
      </c>
      <c r="K378" s="7">
        <f t="shared" si="46"/>
        <v>14.13175953653128</v>
      </c>
      <c r="L378" s="7">
        <f t="shared" si="47"/>
        <v>53.192106623625264</v>
      </c>
      <c r="M378" s="7">
        <v>0</v>
      </c>
      <c r="N378" s="7">
        <f t="shared" si="48"/>
        <v>0</v>
      </c>
      <c r="O378" s="7">
        <f t="shared" si="49"/>
        <v>0</v>
      </c>
    </row>
    <row r="379" spans="3:15" x14ac:dyDescent="0.2">
      <c r="C379">
        <v>360</v>
      </c>
      <c r="D379" s="7">
        <v>3710.8962550901524</v>
      </c>
      <c r="E379" s="7">
        <f t="shared" si="42"/>
        <v>110.97177796322227</v>
      </c>
      <c r="F379" s="7">
        <f t="shared" si="43"/>
        <v>299.66414298157514</v>
      </c>
      <c r="G379" s="7">
        <v>0</v>
      </c>
      <c r="H379" s="7">
        <f t="shared" si="44"/>
        <v>0</v>
      </c>
      <c r="I379" s="7">
        <f t="shared" si="45"/>
        <v>0</v>
      </c>
      <c r="J379" s="7">
        <v>150.10374490984668</v>
      </c>
      <c r="K379" s="7">
        <f t="shared" si="46"/>
        <v>2.3939991213691658</v>
      </c>
      <c r="L379" s="7">
        <f t="shared" si="47"/>
        <v>9.0110404292932547</v>
      </c>
      <c r="M379" s="7">
        <v>0</v>
      </c>
      <c r="N379" s="7">
        <f t="shared" si="48"/>
        <v>0</v>
      </c>
      <c r="O379" s="7">
        <f t="shared" si="49"/>
        <v>0</v>
      </c>
    </row>
    <row r="380" spans="3:15" x14ac:dyDescent="0.2">
      <c r="C380">
        <v>361</v>
      </c>
      <c r="D380" s="7">
        <v>2524.5</v>
      </c>
      <c r="E380" s="7">
        <f t="shared" si="42"/>
        <v>75.493421052631589</v>
      </c>
      <c r="F380" s="7">
        <f t="shared" si="43"/>
        <v>203.85968158482189</v>
      </c>
      <c r="G380" s="7">
        <v>0</v>
      </c>
      <c r="H380" s="7">
        <f t="shared" si="44"/>
        <v>0</v>
      </c>
      <c r="I380" s="7">
        <f t="shared" si="45"/>
        <v>0</v>
      </c>
      <c r="J380" s="7">
        <v>0</v>
      </c>
      <c r="K380" s="7">
        <f t="shared" si="46"/>
        <v>0</v>
      </c>
      <c r="L380" s="7">
        <f t="shared" si="47"/>
        <v>0</v>
      </c>
      <c r="M380" s="7">
        <v>0</v>
      </c>
      <c r="N380" s="7">
        <f t="shared" si="48"/>
        <v>0</v>
      </c>
      <c r="O380" s="7">
        <f t="shared" si="49"/>
        <v>0</v>
      </c>
    </row>
    <row r="381" spans="3:15" x14ac:dyDescent="0.2">
      <c r="C381">
        <v>362</v>
      </c>
      <c r="D381" s="7">
        <v>2376</v>
      </c>
      <c r="E381" s="7">
        <f t="shared" si="42"/>
        <v>71.05263157894737</v>
      </c>
      <c r="F381" s="7">
        <f t="shared" si="43"/>
        <v>191.86793560924414</v>
      </c>
      <c r="G381" s="7">
        <v>0</v>
      </c>
      <c r="H381" s="7">
        <f t="shared" si="44"/>
        <v>0</v>
      </c>
      <c r="I381" s="7">
        <f t="shared" si="45"/>
        <v>0</v>
      </c>
      <c r="J381" s="7">
        <v>0</v>
      </c>
      <c r="K381" s="7">
        <f t="shared" si="46"/>
        <v>0</v>
      </c>
      <c r="L381" s="7">
        <f t="shared" si="47"/>
        <v>0</v>
      </c>
      <c r="M381" s="7">
        <v>0</v>
      </c>
      <c r="N381" s="7">
        <f t="shared" si="48"/>
        <v>0</v>
      </c>
      <c r="O381" s="7">
        <f t="shared" si="49"/>
        <v>0</v>
      </c>
    </row>
    <row r="382" spans="3:15" x14ac:dyDescent="0.2">
      <c r="C382">
        <v>363</v>
      </c>
      <c r="D382" s="7">
        <v>2554.1999999999998</v>
      </c>
      <c r="E382" s="7">
        <f t="shared" si="42"/>
        <v>76.381578947368425</v>
      </c>
      <c r="F382" s="7">
        <f t="shared" si="43"/>
        <v>206.25803077993743</v>
      </c>
      <c r="G382" s="7">
        <v>0</v>
      </c>
      <c r="H382" s="7">
        <f t="shared" si="44"/>
        <v>0</v>
      </c>
      <c r="I382" s="7">
        <f t="shared" si="45"/>
        <v>0</v>
      </c>
      <c r="J382" s="7">
        <v>0</v>
      </c>
      <c r="K382" s="7">
        <f t="shared" si="46"/>
        <v>0</v>
      </c>
      <c r="L382" s="7">
        <f t="shared" si="47"/>
        <v>0</v>
      </c>
      <c r="M382" s="7">
        <v>0</v>
      </c>
      <c r="N382" s="7">
        <f t="shared" si="48"/>
        <v>0</v>
      </c>
      <c r="O382" s="7">
        <f t="shared" si="49"/>
        <v>0</v>
      </c>
    </row>
    <row r="383" spans="3:15" x14ac:dyDescent="0.2">
      <c r="C383">
        <v>364</v>
      </c>
      <c r="D383" s="7">
        <v>2673</v>
      </c>
      <c r="E383" s="7">
        <f t="shared" si="42"/>
        <v>79.934210526315795</v>
      </c>
      <c r="F383" s="7">
        <f t="shared" si="43"/>
        <v>215.85142756039966</v>
      </c>
      <c r="G383" s="7">
        <v>0</v>
      </c>
      <c r="H383" s="7">
        <f t="shared" si="44"/>
        <v>0</v>
      </c>
      <c r="I383" s="7">
        <f t="shared" si="45"/>
        <v>0</v>
      </c>
      <c r="J383" s="7">
        <v>0</v>
      </c>
      <c r="K383" s="7">
        <f t="shared" si="46"/>
        <v>0</v>
      </c>
      <c r="L383" s="7">
        <f t="shared" si="47"/>
        <v>0</v>
      </c>
      <c r="M383" s="7">
        <v>0</v>
      </c>
      <c r="N383" s="7">
        <f t="shared" si="48"/>
        <v>0</v>
      </c>
      <c r="O383" s="7">
        <f t="shared" si="49"/>
        <v>0</v>
      </c>
    </row>
    <row r="384" spans="3:15" x14ac:dyDescent="0.2">
      <c r="C384">
        <v>365</v>
      </c>
      <c r="D384" s="7">
        <v>2948.7857142857142</v>
      </c>
      <c r="E384" s="7">
        <f t="shared" si="42"/>
        <v>88.181390977443613</v>
      </c>
      <c r="F384" s="7">
        <f t="shared" si="43"/>
        <v>238.12181294361548</v>
      </c>
      <c r="G384" s="7">
        <v>0</v>
      </c>
      <c r="H384" s="7">
        <f t="shared" si="44"/>
        <v>0</v>
      </c>
      <c r="I384" s="7">
        <f t="shared" si="45"/>
        <v>0</v>
      </c>
      <c r="J384" s="7">
        <v>0</v>
      </c>
      <c r="K384" s="7">
        <f t="shared" si="46"/>
        <v>0</v>
      </c>
      <c r="L384" s="7">
        <f t="shared" si="47"/>
        <v>0</v>
      </c>
      <c r="M384" s="7">
        <v>0</v>
      </c>
      <c r="N384" s="7">
        <f t="shared" si="48"/>
        <v>0</v>
      </c>
      <c r="O384" s="7">
        <f t="shared" si="49"/>
        <v>0</v>
      </c>
    </row>
    <row r="385" spans="3:15" x14ac:dyDescent="0.2">
      <c r="C385">
        <v>366</v>
      </c>
      <c r="D385" s="7">
        <v>3139.7142857142858</v>
      </c>
      <c r="E385" s="7">
        <f t="shared" si="42"/>
        <v>93.890977443609032</v>
      </c>
      <c r="F385" s="7">
        <f t="shared" si="43"/>
        <v>253.5397720550726</v>
      </c>
      <c r="G385" s="7">
        <v>0</v>
      </c>
      <c r="H385" s="7">
        <f t="shared" si="44"/>
        <v>0</v>
      </c>
      <c r="I385" s="7">
        <f t="shared" si="45"/>
        <v>0</v>
      </c>
      <c r="J385" s="7">
        <v>0</v>
      </c>
      <c r="K385" s="7">
        <f t="shared" si="46"/>
        <v>0</v>
      </c>
      <c r="L385" s="7">
        <f t="shared" si="47"/>
        <v>0</v>
      </c>
      <c r="M385" s="7">
        <v>0</v>
      </c>
      <c r="N385" s="7">
        <f t="shared" si="48"/>
        <v>0</v>
      </c>
      <c r="O385" s="7">
        <f t="shared" si="49"/>
        <v>0</v>
      </c>
    </row>
    <row r="386" spans="3:15" x14ac:dyDescent="0.2">
      <c r="C386">
        <v>367</v>
      </c>
      <c r="D386" s="7">
        <v>3330.6428571428564</v>
      </c>
      <c r="E386" s="7">
        <f t="shared" si="42"/>
        <v>99.600563909774422</v>
      </c>
      <c r="F386" s="7">
        <f t="shared" si="43"/>
        <v>268.95773116652964</v>
      </c>
      <c r="G386" s="7">
        <v>6232.4378096579658</v>
      </c>
      <c r="H386" s="7">
        <f t="shared" si="44"/>
        <v>149.10138300617143</v>
      </c>
      <c r="I386" s="7">
        <f t="shared" si="45"/>
        <v>324.01247229272087</v>
      </c>
      <c r="J386" s="7">
        <v>0</v>
      </c>
      <c r="K386" s="7">
        <f t="shared" si="46"/>
        <v>0</v>
      </c>
      <c r="L386" s="7">
        <f t="shared" si="47"/>
        <v>0</v>
      </c>
      <c r="M386" s="7">
        <v>1090.0245261278833</v>
      </c>
      <c r="N386" s="7">
        <f t="shared" si="48"/>
        <v>86.92380591131446</v>
      </c>
      <c r="O386" s="7">
        <f t="shared" si="49"/>
        <v>32.903701475804112</v>
      </c>
    </row>
    <row r="387" spans="3:15" x14ac:dyDescent="0.2">
      <c r="C387">
        <v>368</v>
      </c>
      <c r="D387" s="7">
        <v>3521.5714285714284</v>
      </c>
      <c r="E387" s="7">
        <f t="shared" si="42"/>
        <v>105.31015037593986</v>
      </c>
      <c r="F387" s="7">
        <f t="shared" si="43"/>
        <v>284.37569027798685</v>
      </c>
      <c r="G387" s="7">
        <v>6232.92028735243</v>
      </c>
      <c r="H387" s="7">
        <f t="shared" si="44"/>
        <v>149.11292553474715</v>
      </c>
      <c r="I387" s="7">
        <f t="shared" si="45"/>
        <v>324.03755538145504</v>
      </c>
      <c r="J387" s="7">
        <v>0</v>
      </c>
      <c r="K387" s="7">
        <f t="shared" si="46"/>
        <v>0</v>
      </c>
      <c r="L387" s="7">
        <f t="shared" si="47"/>
        <v>0</v>
      </c>
      <c r="M387" s="7">
        <v>1089.5420484334188</v>
      </c>
      <c r="N387" s="7">
        <f t="shared" si="48"/>
        <v>86.885330816062108</v>
      </c>
      <c r="O387" s="7">
        <f t="shared" si="49"/>
        <v>32.889137306240158</v>
      </c>
    </row>
    <row r="388" spans="3:15" x14ac:dyDescent="0.2">
      <c r="C388">
        <v>369</v>
      </c>
      <c r="D388" s="7">
        <v>3693.3152327495118</v>
      </c>
      <c r="E388" s="7">
        <f t="shared" si="42"/>
        <v>110.44602968748541</v>
      </c>
      <c r="F388" s="7">
        <f t="shared" si="43"/>
        <v>298.24443150750159</v>
      </c>
      <c r="G388" s="7">
        <v>0</v>
      </c>
      <c r="H388" s="7">
        <f t="shared" si="44"/>
        <v>0</v>
      </c>
      <c r="I388" s="7">
        <f t="shared" si="45"/>
        <v>0</v>
      </c>
      <c r="J388" s="7">
        <v>19.184767250487766</v>
      </c>
      <c r="K388" s="7">
        <f t="shared" si="46"/>
        <v>0.30597714913058643</v>
      </c>
      <c r="L388" s="7">
        <f t="shared" si="47"/>
        <v>1.1517015343258503</v>
      </c>
      <c r="M388" s="7">
        <v>0</v>
      </c>
      <c r="N388" s="7">
        <f t="shared" si="48"/>
        <v>0</v>
      </c>
      <c r="O388" s="7">
        <f t="shared" si="49"/>
        <v>0</v>
      </c>
    </row>
    <row r="389" spans="3:15" x14ac:dyDescent="0.2">
      <c r="C389">
        <v>370</v>
      </c>
      <c r="D389" s="7">
        <v>3686.9113782077575</v>
      </c>
      <c r="E389" s="7">
        <f t="shared" si="42"/>
        <v>110.25452686027984</v>
      </c>
      <c r="F389" s="7">
        <f t="shared" si="43"/>
        <v>297.72730425545268</v>
      </c>
      <c r="G389" s="7">
        <v>0</v>
      </c>
      <c r="H389" s="7">
        <f t="shared" si="44"/>
        <v>0</v>
      </c>
      <c r="I389" s="7">
        <f t="shared" si="45"/>
        <v>0</v>
      </c>
      <c r="J389" s="7">
        <v>216.51719322081408</v>
      </c>
      <c r="K389" s="7">
        <f t="shared" si="46"/>
        <v>3.4532247722617879</v>
      </c>
      <c r="L389" s="7">
        <f t="shared" si="47"/>
        <v>12.997978051258254</v>
      </c>
      <c r="M389" s="7">
        <v>0</v>
      </c>
      <c r="N389" s="7">
        <f t="shared" si="48"/>
        <v>0</v>
      </c>
      <c r="O389" s="7">
        <f t="shared" si="49"/>
        <v>0</v>
      </c>
    </row>
    <row r="390" spans="3:15" x14ac:dyDescent="0.2">
      <c r="C390">
        <v>371</v>
      </c>
      <c r="D390" s="7">
        <v>3680.5397368617068</v>
      </c>
      <c r="E390" s="7">
        <f t="shared" si="42"/>
        <v>110.06398734634291</v>
      </c>
      <c r="F390" s="7">
        <f t="shared" si="43"/>
        <v>297.21277829943028</v>
      </c>
      <c r="G390" s="7">
        <v>0</v>
      </c>
      <c r="H390" s="7">
        <f t="shared" si="44"/>
        <v>0</v>
      </c>
      <c r="I390" s="7">
        <f t="shared" si="45"/>
        <v>0</v>
      </c>
      <c r="J390" s="7">
        <v>413.81740599543537</v>
      </c>
      <c r="K390" s="7">
        <f t="shared" si="46"/>
        <v>6.5999586283163536</v>
      </c>
      <c r="L390" s="7">
        <f t="shared" si="47"/>
        <v>24.842320742961782</v>
      </c>
      <c r="M390" s="7">
        <v>0</v>
      </c>
      <c r="N390" s="7">
        <f t="shared" si="48"/>
        <v>0</v>
      </c>
      <c r="O390" s="7">
        <f t="shared" si="49"/>
        <v>0</v>
      </c>
    </row>
    <row r="391" spans="3:15" x14ac:dyDescent="0.2">
      <c r="C391">
        <v>372</v>
      </c>
      <c r="D391" s="7">
        <v>3674.2002012900653</v>
      </c>
      <c r="E391" s="7">
        <f t="shared" si="42"/>
        <v>109.87440793331535</v>
      </c>
      <c r="F391" s="7">
        <f t="shared" si="43"/>
        <v>296.70084496489648</v>
      </c>
      <c r="G391" s="7">
        <v>0</v>
      </c>
      <c r="H391" s="7">
        <f t="shared" si="44"/>
        <v>0</v>
      </c>
      <c r="I391" s="7">
        <f t="shared" si="45"/>
        <v>0</v>
      </c>
      <c r="J391" s="7">
        <v>611.08551299564851</v>
      </c>
      <c r="K391" s="7">
        <f t="shared" si="46"/>
        <v>9.7461804305526094</v>
      </c>
      <c r="L391" s="7">
        <f t="shared" si="47"/>
        <v>36.684736058160631</v>
      </c>
      <c r="M391" s="7">
        <v>0</v>
      </c>
      <c r="N391" s="7">
        <f t="shared" si="48"/>
        <v>0</v>
      </c>
      <c r="O391" s="7">
        <f t="shared" si="49"/>
        <v>0</v>
      </c>
    </row>
    <row r="392" spans="3:15" x14ac:dyDescent="0.2">
      <c r="C392">
        <v>373</v>
      </c>
      <c r="D392" s="7">
        <v>3667.8926643611326</v>
      </c>
      <c r="E392" s="7">
        <f t="shared" si="42"/>
        <v>109.685785417498</v>
      </c>
      <c r="F392" s="7">
        <f t="shared" si="43"/>
        <v>296.19149560069894</v>
      </c>
      <c r="G392" s="7">
        <v>0</v>
      </c>
      <c r="H392" s="7">
        <f t="shared" si="44"/>
        <v>0</v>
      </c>
      <c r="I392" s="7">
        <f t="shared" si="45"/>
        <v>0</v>
      </c>
      <c r="J392" s="7">
        <v>808.32162135315184</v>
      </c>
      <c r="K392" s="7">
        <f t="shared" si="46"/>
        <v>12.891891887610077</v>
      </c>
      <c r="L392" s="7">
        <f t="shared" si="47"/>
        <v>48.525230428193744</v>
      </c>
      <c r="M392" s="7">
        <v>0</v>
      </c>
      <c r="N392" s="7">
        <f t="shared" si="48"/>
        <v>0</v>
      </c>
      <c r="O392" s="7">
        <f t="shared" si="49"/>
        <v>0</v>
      </c>
    </row>
    <row r="393" spans="3:15" x14ac:dyDescent="0.2">
      <c r="C393">
        <v>374</v>
      </c>
      <c r="D393" s="7">
        <v>3661.6170192321415</v>
      </c>
      <c r="E393" s="7">
        <f t="shared" si="42"/>
        <v>109.49811660383199</v>
      </c>
      <c r="F393" s="7">
        <f t="shared" si="43"/>
        <v>295.68472157901726</v>
      </c>
      <c r="G393" s="7">
        <v>0</v>
      </c>
      <c r="H393" s="7">
        <f t="shared" si="44"/>
        <v>0</v>
      </c>
      <c r="I393" s="7">
        <f t="shared" si="45"/>
        <v>0</v>
      </c>
      <c r="J393" s="7">
        <v>1005.5258379107154</v>
      </c>
      <c r="K393" s="7">
        <f t="shared" si="46"/>
        <v>16.037094703520182</v>
      </c>
      <c r="L393" s="7">
        <f t="shared" si="47"/>
        <v>60.36381026705515</v>
      </c>
      <c r="M393" s="7">
        <v>0</v>
      </c>
      <c r="N393" s="7">
        <f t="shared" si="48"/>
        <v>0</v>
      </c>
      <c r="O393" s="7">
        <f t="shared" si="49"/>
        <v>0</v>
      </c>
    </row>
    <row r="394" spans="3:15" x14ac:dyDescent="0.2">
      <c r="C394">
        <v>375</v>
      </c>
      <c r="D394" s="7">
        <v>3655.3731593486073</v>
      </c>
      <c r="E394" s="7">
        <f t="shared" si="42"/>
        <v>109.31139830587941</v>
      </c>
      <c r="F394" s="7">
        <f t="shared" si="43"/>
        <v>295.18051429531056</v>
      </c>
      <c r="G394" s="7">
        <v>0</v>
      </c>
      <c r="H394" s="7">
        <f t="shared" si="44"/>
        <v>0</v>
      </c>
      <c r="I394" s="7">
        <f t="shared" si="45"/>
        <v>0</v>
      </c>
      <c r="J394" s="7">
        <v>1202.6982692228212</v>
      </c>
      <c r="K394" s="7">
        <f t="shared" si="46"/>
        <v>19.181790577716448</v>
      </c>
      <c r="L394" s="7">
        <f t="shared" si="47"/>
        <v>72.200481971432339</v>
      </c>
      <c r="M394" s="7">
        <v>0</v>
      </c>
      <c r="N394" s="7">
        <f t="shared" si="48"/>
        <v>0</v>
      </c>
      <c r="O394" s="7">
        <f t="shared" si="49"/>
        <v>0</v>
      </c>
    </row>
    <row r="395" spans="3:15" x14ac:dyDescent="0.2">
      <c r="C395">
        <v>376</v>
      </c>
      <c r="D395" s="7">
        <v>3655.1005076807955</v>
      </c>
      <c r="E395" s="7">
        <f t="shared" si="42"/>
        <v>109.30324484691376</v>
      </c>
      <c r="F395" s="7">
        <f t="shared" si="43"/>
        <v>295.15849699200942</v>
      </c>
      <c r="G395" s="7">
        <v>6220.1792896721854</v>
      </c>
      <c r="H395" s="7">
        <f t="shared" si="44"/>
        <v>148.80811697780348</v>
      </c>
      <c r="I395" s="7">
        <f t="shared" si="45"/>
        <v>323.3751753812158</v>
      </c>
      <c r="J395" s="7">
        <v>1393.8994923192045</v>
      </c>
      <c r="K395" s="7">
        <f t="shared" si="46"/>
        <v>22.231251871119689</v>
      </c>
      <c r="L395" s="7">
        <f t="shared" si="47"/>
        <v>83.678689610333208</v>
      </c>
      <c r="M395" s="7">
        <v>1102.2830461136632</v>
      </c>
      <c r="N395" s="7">
        <f t="shared" si="48"/>
        <v>87.901359339207602</v>
      </c>
      <c r="O395" s="7">
        <f t="shared" si="49"/>
        <v>33.273739646945188</v>
      </c>
    </row>
    <row r="396" spans="3:15" x14ac:dyDescent="0.2">
      <c r="C396">
        <v>377</v>
      </c>
      <c r="D396" s="7">
        <v>3662.8542119213889</v>
      </c>
      <c r="E396" s="7">
        <f t="shared" si="42"/>
        <v>109.53511399286451</v>
      </c>
      <c r="F396" s="7">
        <f t="shared" si="43"/>
        <v>295.78462797936942</v>
      </c>
      <c r="G396" s="7">
        <v>6218.6912559688826</v>
      </c>
      <c r="H396" s="7">
        <f t="shared" si="44"/>
        <v>148.77251808537997</v>
      </c>
      <c r="I396" s="7">
        <f t="shared" si="45"/>
        <v>323.29781536675807</v>
      </c>
      <c r="J396" s="7">
        <v>1237.6457880786102</v>
      </c>
      <c r="K396" s="7">
        <f t="shared" si="46"/>
        <v>19.739167273981025</v>
      </c>
      <c r="L396" s="7">
        <f t="shared" si="47"/>
        <v>74.2984543138422</v>
      </c>
      <c r="M396" s="7">
        <v>1103.7710798169667</v>
      </c>
      <c r="N396" s="7">
        <f t="shared" si="48"/>
        <v>88.020022313952694</v>
      </c>
      <c r="O396" s="7">
        <f t="shared" si="49"/>
        <v>33.318657734186182</v>
      </c>
    </row>
    <row r="397" spans="3:15" x14ac:dyDescent="0.2">
      <c r="C397">
        <v>378</v>
      </c>
      <c r="D397" s="7">
        <v>3670.5720188146529</v>
      </c>
      <c r="E397" s="7">
        <f t="shared" si="42"/>
        <v>109.76590965354823</v>
      </c>
      <c r="F397" s="7">
        <f t="shared" si="43"/>
        <v>296.40786016625549</v>
      </c>
      <c r="G397" s="7">
        <v>6217.0927164582845</v>
      </c>
      <c r="H397" s="7">
        <f t="shared" si="44"/>
        <v>148.7342755133561</v>
      </c>
      <c r="I397" s="7">
        <f t="shared" si="45"/>
        <v>323.21471036760613</v>
      </c>
      <c r="J397" s="7">
        <v>1526.9279811853471</v>
      </c>
      <c r="K397" s="7">
        <f t="shared" si="46"/>
        <v>24.352918360212875</v>
      </c>
      <c r="L397" s="7">
        <f t="shared" si="47"/>
        <v>91.664666856540904</v>
      </c>
      <c r="M397" s="7">
        <v>1105.369619327565</v>
      </c>
      <c r="N397" s="7">
        <f t="shared" si="48"/>
        <v>88.147497554032299</v>
      </c>
      <c r="O397" s="7">
        <f t="shared" si="49"/>
        <v>33.366911572144161</v>
      </c>
    </row>
    <row r="398" spans="3:15" x14ac:dyDescent="0.2">
      <c r="C398">
        <v>379</v>
      </c>
      <c r="D398" s="7">
        <v>3678.2533463541217</v>
      </c>
      <c r="E398" s="7">
        <f t="shared" si="42"/>
        <v>109.99561442446537</v>
      </c>
      <c r="F398" s="7">
        <f t="shared" si="43"/>
        <v>297.02814655419166</v>
      </c>
      <c r="G398" s="7">
        <v>6215.0835275026275</v>
      </c>
      <c r="H398" s="7">
        <f t="shared" si="44"/>
        <v>148.68620879192889</v>
      </c>
      <c r="I398" s="7">
        <f t="shared" si="45"/>
        <v>323.11025649246</v>
      </c>
      <c r="J398" s="7">
        <v>1816.2466536458783</v>
      </c>
      <c r="K398" s="7">
        <f t="shared" si="46"/>
        <v>28.967251254320228</v>
      </c>
      <c r="L398" s="7">
        <f t="shared" si="47"/>
        <v>109.03306933082371</v>
      </c>
      <c r="M398" s="7">
        <v>1107.3788082832216</v>
      </c>
      <c r="N398" s="7">
        <f t="shared" si="48"/>
        <v>88.307719958789605</v>
      </c>
      <c r="O398" s="7">
        <f t="shared" si="49"/>
        <v>33.427561357557934</v>
      </c>
    </row>
    <row r="399" spans="3:15" x14ac:dyDescent="0.2">
      <c r="C399">
        <v>380</v>
      </c>
      <c r="D399" s="7">
        <v>3685.8974673047505</v>
      </c>
      <c r="E399" s="7">
        <f t="shared" si="42"/>
        <v>110.22420655815642</v>
      </c>
      <c r="F399" s="7">
        <f t="shared" si="43"/>
        <v>297.64542841713126</v>
      </c>
      <c r="G399" s="7">
        <v>6212.7646288441701</v>
      </c>
      <c r="H399" s="7">
        <f t="shared" si="44"/>
        <v>148.63073274746819</v>
      </c>
      <c r="I399" s="7">
        <f t="shared" si="45"/>
        <v>322.98970140466457</v>
      </c>
      <c r="J399" s="7">
        <v>1957.1025326952486</v>
      </c>
      <c r="K399" s="7">
        <f t="shared" si="46"/>
        <v>31.213756502316567</v>
      </c>
      <c r="L399" s="7">
        <f t="shared" si="47"/>
        <v>117.48894111190315</v>
      </c>
      <c r="M399" s="7">
        <v>1109.6977069416791</v>
      </c>
      <c r="N399" s="7">
        <f t="shared" si="48"/>
        <v>88.492640106991956</v>
      </c>
      <c r="O399" s="7">
        <f t="shared" si="49"/>
        <v>33.497560102890368</v>
      </c>
    </row>
    <row r="400" spans="3:15" x14ac:dyDescent="0.2">
      <c r="C400">
        <v>381</v>
      </c>
      <c r="D400" s="7">
        <v>3693.503809279182</v>
      </c>
      <c r="E400" s="7">
        <f t="shared" si="42"/>
        <v>110.45166893777458</v>
      </c>
      <c r="F400" s="7">
        <f t="shared" si="43"/>
        <v>298.25965953336532</v>
      </c>
      <c r="G400" s="7">
        <v>6210.0364125288388</v>
      </c>
      <c r="H400" s="7">
        <f t="shared" si="44"/>
        <v>148.56546441456553</v>
      </c>
      <c r="I400" s="7">
        <f t="shared" si="45"/>
        <v>322.84786667798505</v>
      </c>
      <c r="J400" s="7">
        <v>2394.9961907208171</v>
      </c>
      <c r="K400" s="7">
        <f t="shared" si="46"/>
        <v>38.197706391081617</v>
      </c>
      <c r="L400" s="7">
        <f t="shared" si="47"/>
        <v>143.77660940805015</v>
      </c>
      <c r="M400" s="7">
        <v>1112.4259232570103</v>
      </c>
      <c r="N400" s="7">
        <f t="shared" si="48"/>
        <v>88.710201216667485</v>
      </c>
      <c r="O400" s="7">
        <f t="shared" si="49"/>
        <v>33.579914594050265</v>
      </c>
    </row>
    <row r="401" spans="3:15" x14ac:dyDescent="0.2">
      <c r="C401">
        <v>382</v>
      </c>
      <c r="D401" s="7">
        <v>3701.0718799508109</v>
      </c>
      <c r="E401" s="7">
        <f t="shared" si="42"/>
        <v>110.6779868406343</v>
      </c>
      <c r="F401" s="7">
        <f t="shared" si="43"/>
        <v>298.87080014629055</v>
      </c>
      <c r="G401" s="7">
        <v>6207.5009128838628</v>
      </c>
      <c r="H401" s="7">
        <f t="shared" si="44"/>
        <v>148.50480652832209</v>
      </c>
      <c r="I401" s="7">
        <f t="shared" si="45"/>
        <v>322.7160509208839</v>
      </c>
      <c r="J401" s="7">
        <v>1644.9281200491891</v>
      </c>
      <c r="K401" s="7">
        <f t="shared" si="46"/>
        <v>26.234898246398554</v>
      </c>
      <c r="L401" s="7">
        <f t="shared" si="47"/>
        <v>98.748460952437213</v>
      </c>
      <c r="M401" s="7">
        <v>1114.9614229019865</v>
      </c>
      <c r="N401" s="7">
        <f t="shared" si="48"/>
        <v>88.91239417081232</v>
      </c>
      <c r="O401" s="7">
        <f t="shared" si="49"/>
        <v>33.656451700702966</v>
      </c>
    </row>
    <row r="402" spans="3:15" x14ac:dyDescent="0.2">
      <c r="C402">
        <v>383</v>
      </c>
      <c r="D402" s="7">
        <v>3700.5712272780788</v>
      </c>
      <c r="E402" s="7">
        <f t="shared" si="42"/>
        <v>110.66301516979901</v>
      </c>
      <c r="F402" s="7">
        <f t="shared" si="43"/>
        <v>298.83037119226094</v>
      </c>
      <c r="G402" s="7">
        <v>0</v>
      </c>
      <c r="H402" s="7">
        <f t="shared" si="44"/>
        <v>0</v>
      </c>
      <c r="I402" s="7">
        <f t="shared" si="45"/>
        <v>0</v>
      </c>
      <c r="J402" s="7">
        <v>902.92877272191936</v>
      </c>
      <c r="K402" s="7">
        <f t="shared" si="46"/>
        <v>14.400777874352782</v>
      </c>
      <c r="L402" s="7">
        <f t="shared" si="47"/>
        <v>54.20469476398533</v>
      </c>
      <c r="M402" s="7">
        <v>0</v>
      </c>
      <c r="N402" s="7">
        <f t="shared" si="48"/>
        <v>0</v>
      </c>
      <c r="O402" s="7">
        <f t="shared" si="49"/>
        <v>0</v>
      </c>
    </row>
    <row r="403" spans="3:15" x14ac:dyDescent="0.2">
      <c r="C403">
        <v>384</v>
      </c>
      <c r="D403" s="7">
        <v>3694.1749381689742</v>
      </c>
      <c r="E403" s="7">
        <f t="shared" si="42"/>
        <v>110.47173858160809</v>
      </c>
      <c r="F403" s="7">
        <f t="shared" si="43"/>
        <v>298.31385486779806</v>
      </c>
      <c r="G403" s="7">
        <v>0</v>
      </c>
      <c r="H403" s="7">
        <f t="shared" si="44"/>
        <v>0</v>
      </c>
      <c r="I403" s="7">
        <f t="shared" si="45"/>
        <v>0</v>
      </c>
      <c r="J403" s="7">
        <v>166.82506183102487</v>
      </c>
      <c r="K403" s="7">
        <f t="shared" si="46"/>
        <v>2.6606867915633954</v>
      </c>
      <c r="L403" s="7">
        <f t="shared" si="47"/>
        <v>10.01485590970155</v>
      </c>
      <c r="M403" s="7">
        <v>0</v>
      </c>
      <c r="N403" s="7">
        <f t="shared" si="48"/>
        <v>0</v>
      </c>
      <c r="O403" s="7">
        <f t="shared" si="49"/>
        <v>0</v>
      </c>
    </row>
    <row r="404" spans="3:15" x14ac:dyDescent="0.2">
      <c r="C404">
        <v>385</v>
      </c>
      <c r="D404" s="7">
        <v>2524.5</v>
      </c>
      <c r="E404" s="7">
        <f t="shared" si="42"/>
        <v>75.493421052631589</v>
      </c>
      <c r="F404" s="7">
        <f t="shared" si="43"/>
        <v>203.85968158482189</v>
      </c>
      <c r="G404" s="7">
        <v>0</v>
      </c>
      <c r="H404" s="7">
        <f t="shared" si="44"/>
        <v>0</v>
      </c>
      <c r="I404" s="7">
        <f t="shared" si="45"/>
        <v>0</v>
      </c>
      <c r="J404" s="7">
        <v>0</v>
      </c>
      <c r="K404" s="7">
        <f t="shared" si="46"/>
        <v>0</v>
      </c>
      <c r="L404" s="7">
        <f t="shared" si="47"/>
        <v>0</v>
      </c>
      <c r="M404" s="7">
        <v>0</v>
      </c>
      <c r="N404" s="7">
        <f t="shared" si="48"/>
        <v>0</v>
      </c>
      <c r="O404" s="7">
        <f t="shared" si="49"/>
        <v>0</v>
      </c>
    </row>
    <row r="405" spans="3:15" x14ac:dyDescent="0.2">
      <c r="C405">
        <v>386</v>
      </c>
      <c r="D405" s="7">
        <v>2376</v>
      </c>
      <c r="E405" s="7">
        <f t="shared" ref="E405:E468" si="50">D405/($C$3*($D$8-$D$6))</f>
        <v>71.05263157894737</v>
      </c>
      <c r="F405" s="7">
        <f t="shared" ref="F405:F468" si="51">E405*$C$3*((($D$8)-($D$6))-$C$2*LN(($D$8)/($D$6)))</f>
        <v>191.86793560924414</v>
      </c>
      <c r="G405" s="7">
        <v>0</v>
      </c>
      <c r="H405" s="7">
        <f t="shared" ref="H405:H468" si="52">G405/($C$3*($D$6-$D$9))</f>
        <v>0</v>
      </c>
      <c r="I405" s="7">
        <f t="shared" ref="I405:I468" si="53">ABS(H405*$C$3*(($D$9-$D$6)-$C$2*(LN($D$9/$D$6))))</f>
        <v>0</v>
      </c>
      <c r="J405" s="7">
        <v>0</v>
      </c>
      <c r="K405" s="7">
        <f t="shared" ref="K405:K468" si="54">J405/($C$3*($D$10-$D$7))</f>
        <v>0</v>
      </c>
      <c r="L405" s="7">
        <f t="shared" ref="L405:L468" si="55">K405*$C$3*(($D$10-$D$7)-$C$2*LN($D$10/$D$7))</f>
        <v>0</v>
      </c>
      <c r="M405" s="7">
        <v>0</v>
      </c>
      <c r="N405" s="7">
        <f t="shared" ref="N405:N468" si="56">M405/($C$3*($D$7-$D$11))</f>
        <v>0</v>
      </c>
      <c r="O405" s="7">
        <f t="shared" ref="O405:O468" si="57">ABS(N405*$C$3*(($D$11-$D$7)-$C$2*LN($D$11/$D$7)))</f>
        <v>0</v>
      </c>
    </row>
    <row r="406" spans="3:15" x14ac:dyDescent="0.2">
      <c r="C406">
        <v>387</v>
      </c>
      <c r="D406" s="7">
        <v>2524.5</v>
      </c>
      <c r="E406" s="7">
        <f t="shared" si="50"/>
        <v>75.493421052631589</v>
      </c>
      <c r="F406" s="7">
        <f t="shared" si="51"/>
        <v>203.85968158482189</v>
      </c>
      <c r="G406" s="7">
        <v>0</v>
      </c>
      <c r="H406" s="7">
        <f t="shared" si="52"/>
        <v>0</v>
      </c>
      <c r="I406" s="7">
        <f t="shared" si="53"/>
        <v>0</v>
      </c>
      <c r="J406" s="7">
        <v>0</v>
      </c>
      <c r="K406" s="7">
        <f t="shared" si="54"/>
        <v>0</v>
      </c>
      <c r="L406" s="7">
        <f t="shared" si="55"/>
        <v>0</v>
      </c>
      <c r="M406" s="7">
        <v>0</v>
      </c>
      <c r="N406" s="7">
        <f t="shared" si="56"/>
        <v>0</v>
      </c>
      <c r="O406" s="7">
        <f t="shared" si="57"/>
        <v>0</v>
      </c>
    </row>
    <row r="407" spans="3:15" x14ac:dyDescent="0.2">
      <c r="C407">
        <v>388</v>
      </c>
      <c r="D407" s="7">
        <v>2673</v>
      </c>
      <c r="E407" s="7">
        <f t="shared" si="50"/>
        <v>79.934210526315795</v>
      </c>
      <c r="F407" s="7">
        <f t="shared" si="51"/>
        <v>215.85142756039966</v>
      </c>
      <c r="G407" s="7">
        <v>0</v>
      </c>
      <c r="H407" s="7">
        <f t="shared" si="52"/>
        <v>0</v>
      </c>
      <c r="I407" s="7">
        <f t="shared" si="53"/>
        <v>0</v>
      </c>
      <c r="J407" s="7">
        <v>0</v>
      </c>
      <c r="K407" s="7">
        <f t="shared" si="54"/>
        <v>0</v>
      </c>
      <c r="L407" s="7">
        <f t="shared" si="55"/>
        <v>0</v>
      </c>
      <c r="M407" s="7">
        <v>0</v>
      </c>
      <c r="N407" s="7">
        <f t="shared" si="56"/>
        <v>0</v>
      </c>
      <c r="O407" s="7">
        <f t="shared" si="57"/>
        <v>0</v>
      </c>
    </row>
    <row r="408" spans="3:15" x14ac:dyDescent="0.2">
      <c r="C408">
        <v>389</v>
      </c>
      <c r="D408" s="7">
        <v>2992.8461538461534</v>
      </c>
      <c r="E408" s="7">
        <f t="shared" si="50"/>
        <v>89.498987854250998</v>
      </c>
      <c r="F408" s="7">
        <f t="shared" si="51"/>
        <v>241.67980350779786</v>
      </c>
      <c r="G408" s="7">
        <v>0</v>
      </c>
      <c r="H408" s="7">
        <f t="shared" si="52"/>
        <v>0</v>
      </c>
      <c r="I408" s="7">
        <f t="shared" si="53"/>
        <v>0</v>
      </c>
      <c r="J408" s="7">
        <v>0</v>
      </c>
      <c r="K408" s="7">
        <f t="shared" si="54"/>
        <v>0</v>
      </c>
      <c r="L408" s="7">
        <f t="shared" si="55"/>
        <v>0</v>
      </c>
      <c r="M408" s="7">
        <v>0</v>
      </c>
      <c r="N408" s="7">
        <f t="shared" si="56"/>
        <v>0</v>
      </c>
      <c r="O408" s="7">
        <f t="shared" si="57"/>
        <v>0</v>
      </c>
    </row>
    <row r="409" spans="3:15" x14ac:dyDescent="0.2">
      <c r="C409">
        <v>390</v>
      </c>
      <c r="D409" s="7">
        <v>3198.4615384615386</v>
      </c>
      <c r="E409" s="7">
        <f t="shared" si="50"/>
        <v>95.647773279352236</v>
      </c>
      <c r="F409" s="7">
        <f t="shared" si="51"/>
        <v>258.28375947398251</v>
      </c>
      <c r="G409" s="7">
        <v>0</v>
      </c>
      <c r="H409" s="7">
        <f t="shared" si="52"/>
        <v>0</v>
      </c>
      <c r="I409" s="7">
        <f t="shared" si="53"/>
        <v>0</v>
      </c>
      <c r="J409" s="7">
        <v>0</v>
      </c>
      <c r="K409" s="7">
        <f t="shared" si="54"/>
        <v>0</v>
      </c>
      <c r="L409" s="7">
        <f t="shared" si="55"/>
        <v>0</v>
      </c>
      <c r="M409" s="7">
        <v>0</v>
      </c>
      <c r="N409" s="7">
        <f t="shared" si="56"/>
        <v>0</v>
      </c>
      <c r="O409" s="7">
        <f t="shared" si="57"/>
        <v>0</v>
      </c>
    </row>
    <row r="410" spans="3:15" x14ac:dyDescent="0.2">
      <c r="C410">
        <v>391</v>
      </c>
      <c r="D410" s="7">
        <v>3404.0769230769229</v>
      </c>
      <c r="E410" s="7">
        <f t="shared" si="50"/>
        <v>101.79655870445345</v>
      </c>
      <c r="F410" s="7">
        <f t="shared" si="51"/>
        <v>274.88771544016709</v>
      </c>
      <c r="G410" s="7">
        <v>6195.0742410669009</v>
      </c>
      <c r="H410" s="7">
        <f t="shared" si="52"/>
        <v>148.20751772887323</v>
      </c>
      <c r="I410" s="7">
        <f t="shared" si="53"/>
        <v>322.07001211861217</v>
      </c>
      <c r="J410" s="7">
        <v>0</v>
      </c>
      <c r="K410" s="7">
        <f t="shared" si="54"/>
        <v>0</v>
      </c>
      <c r="L410" s="7">
        <f t="shared" si="55"/>
        <v>0</v>
      </c>
      <c r="M410" s="7">
        <v>1127.388094718948</v>
      </c>
      <c r="N410" s="7">
        <f t="shared" si="56"/>
        <v>89.903356835641787</v>
      </c>
      <c r="O410" s="7">
        <f t="shared" si="57"/>
        <v>34.031565737132567</v>
      </c>
    </row>
    <row r="411" spans="3:15" x14ac:dyDescent="0.2">
      <c r="C411">
        <v>392</v>
      </c>
      <c r="D411" s="7">
        <v>3609.6923076923063</v>
      </c>
      <c r="E411" s="7">
        <f t="shared" si="50"/>
        <v>107.94534412955463</v>
      </c>
      <c r="F411" s="7">
        <f t="shared" si="51"/>
        <v>291.49167140635154</v>
      </c>
      <c r="G411" s="7">
        <v>6195.0732195977862</v>
      </c>
      <c r="H411" s="7">
        <f t="shared" si="52"/>
        <v>148.20749329181308</v>
      </c>
      <c r="I411" s="7">
        <f t="shared" si="53"/>
        <v>322.06995901439473</v>
      </c>
      <c r="J411" s="7">
        <v>0</v>
      </c>
      <c r="K411" s="7">
        <f t="shared" si="54"/>
        <v>0</v>
      </c>
      <c r="L411" s="7">
        <f t="shared" si="55"/>
        <v>0</v>
      </c>
      <c r="M411" s="7">
        <v>1127.3891161880631</v>
      </c>
      <c r="N411" s="7">
        <f t="shared" si="56"/>
        <v>89.903438292509023</v>
      </c>
      <c r="O411" s="7">
        <f t="shared" si="57"/>
        <v>34.031596571406496</v>
      </c>
    </row>
    <row r="412" spans="3:15" x14ac:dyDescent="0.2">
      <c r="C412">
        <v>393</v>
      </c>
      <c r="D412" s="7">
        <v>3676.7973460751441</v>
      </c>
      <c r="E412" s="7">
        <f t="shared" si="50"/>
        <v>109.95207374626628</v>
      </c>
      <c r="F412" s="7">
        <f t="shared" si="51"/>
        <v>296.91057089435418</v>
      </c>
      <c r="G412" s="7">
        <v>0</v>
      </c>
      <c r="H412" s="7">
        <f t="shared" si="52"/>
        <v>0</v>
      </c>
      <c r="I412" s="7">
        <f t="shared" si="53"/>
        <v>0</v>
      </c>
      <c r="J412" s="7">
        <v>138.51034623254736</v>
      </c>
      <c r="K412" s="7">
        <f t="shared" si="54"/>
        <v>2.2090964311411065</v>
      </c>
      <c r="L412" s="7">
        <f t="shared" si="55"/>
        <v>8.3150645610242542</v>
      </c>
      <c r="M412" s="7">
        <v>0</v>
      </c>
      <c r="N412" s="7">
        <f t="shared" si="56"/>
        <v>0</v>
      </c>
      <c r="O412" s="7">
        <f t="shared" si="57"/>
        <v>0</v>
      </c>
    </row>
    <row r="413" spans="3:15" x14ac:dyDescent="0.2">
      <c r="C413">
        <v>394</v>
      </c>
      <c r="D413" s="7">
        <v>3670.539058157075</v>
      </c>
      <c r="E413" s="7">
        <f t="shared" si="50"/>
        <v>109.76492398795082</v>
      </c>
      <c r="F413" s="7">
        <f t="shared" si="51"/>
        <v>296.40519851081541</v>
      </c>
      <c r="G413" s="7">
        <v>0</v>
      </c>
      <c r="H413" s="7">
        <f t="shared" si="52"/>
        <v>0</v>
      </c>
      <c r="I413" s="7">
        <f t="shared" si="53"/>
        <v>0</v>
      </c>
      <c r="J413" s="7">
        <v>350.38401876600119</v>
      </c>
      <c r="K413" s="7">
        <f t="shared" si="54"/>
        <v>5.5882618622966698</v>
      </c>
      <c r="L413" s="7">
        <f t="shared" si="55"/>
        <v>21.034282394319963</v>
      </c>
      <c r="M413" s="7">
        <v>0</v>
      </c>
      <c r="N413" s="7">
        <f t="shared" si="56"/>
        <v>0</v>
      </c>
      <c r="O413" s="7">
        <f t="shared" si="57"/>
        <v>0</v>
      </c>
    </row>
    <row r="414" spans="3:15" x14ac:dyDescent="0.2">
      <c r="C414">
        <v>395</v>
      </c>
      <c r="D414" s="7">
        <v>3664.3124195122114</v>
      </c>
      <c r="E414" s="7">
        <f t="shared" si="50"/>
        <v>109.57872067919293</v>
      </c>
      <c r="F414" s="7">
        <f t="shared" si="51"/>
        <v>295.90238188515258</v>
      </c>
      <c r="G414" s="7">
        <v>0</v>
      </c>
      <c r="H414" s="7">
        <f t="shared" si="52"/>
        <v>0</v>
      </c>
      <c r="I414" s="7">
        <f t="shared" si="53"/>
        <v>0</v>
      </c>
      <c r="J414" s="7">
        <v>562.22604202624962</v>
      </c>
      <c r="K414" s="7">
        <f t="shared" si="54"/>
        <v>8.9669225203548582</v>
      </c>
      <c r="L414" s="7">
        <f t="shared" si="55"/>
        <v>33.75160025582894</v>
      </c>
      <c r="M414" s="7">
        <v>0</v>
      </c>
      <c r="N414" s="7">
        <f t="shared" si="56"/>
        <v>0</v>
      </c>
      <c r="O414" s="7">
        <f t="shared" si="57"/>
        <v>0</v>
      </c>
    </row>
    <row r="415" spans="3:15" x14ac:dyDescent="0.2">
      <c r="C415">
        <v>396</v>
      </c>
      <c r="D415" s="7">
        <v>3658.1173243882868</v>
      </c>
      <c r="E415" s="7">
        <f t="shared" si="50"/>
        <v>109.39346065754447</v>
      </c>
      <c r="F415" s="7">
        <f t="shared" si="51"/>
        <v>295.40211247760618</v>
      </c>
      <c r="G415" s="7">
        <v>0</v>
      </c>
      <c r="H415" s="7">
        <f t="shared" si="52"/>
        <v>0</v>
      </c>
      <c r="I415" s="7">
        <f t="shared" si="53"/>
        <v>0</v>
      </c>
      <c r="J415" s="7">
        <v>774.03652176555897</v>
      </c>
      <c r="K415" s="7">
        <f t="shared" si="54"/>
        <v>12.345080091954689</v>
      </c>
      <c r="L415" s="7">
        <f t="shared" si="55"/>
        <v>46.467024494079986</v>
      </c>
      <c r="M415" s="7">
        <v>0</v>
      </c>
      <c r="N415" s="7">
        <f t="shared" si="56"/>
        <v>0</v>
      </c>
      <c r="O415" s="7">
        <f t="shared" si="57"/>
        <v>0</v>
      </c>
    </row>
    <row r="416" spans="3:15" x14ac:dyDescent="0.2">
      <c r="C416">
        <v>397</v>
      </c>
      <c r="D416" s="7">
        <v>3651.9536673185166</v>
      </c>
      <c r="E416" s="7">
        <f t="shared" si="50"/>
        <v>109.2091407690944</v>
      </c>
      <c r="F416" s="7">
        <f t="shared" si="51"/>
        <v>294.90438177146973</v>
      </c>
      <c r="G416" s="7">
        <v>0</v>
      </c>
      <c r="H416" s="7">
        <f t="shared" si="52"/>
        <v>0</v>
      </c>
      <c r="I416" s="7">
        <f t="shared" si="53"/>
        <v>0</v>
      </c>
      <c r="J416" s="7">
        <v>985.81556345071294</v>
      </c>
      <c r="K416" s="7">
        <f t="shared" si="54"/>
        <v>15.722736259182026</v>
      </c>
      <c r="L416" s="7">
        <f t="shared" si="55"/>
        <v>59.180561440463777</v>
      </c>
      <c r="M416" s="7">
        <v>0</v>
      </c>
      <c r="N416" s="7">
        <f t="shared" si="56"/>
        <v>0</v>
      </c>
      <c r="O416" s="7">
        <f t="shared" si="57"/>
        <v>0</v>
      </c>
    </row>
    <row r="417" spans="3:15" x14ac:dyDescent="0.2">
      <c r="C417">
        <v>398</v>
      </c>
      <c r="D417" s="7">
        <v>3645.8213431209656</v>
      </c>
      <c r="E417" s="7">
        <f t="shared" si="50"/>
        <v>109.02575786844993</v>
      </c>
      <c r="F417" s="7">
        <f t="shared" si="51"/>
        <v>294.40918127303928</v>
      </c>
      <c r="G417" s="7">
        <v>0</v>
      </c>
      <c r="H417" s="7">
        <f t="shared" si="52"/>
        <v>0</v>
      </c>
      <c r="I417" s="7">
        <f t="shared" si="53"/>
        <v>0</v>
      </c>
      <c r="J417" s="7">
        <v>1197.5632722636497</v>
      </c>
      <c r="K417" s="7">
        <f t="shared" si="54"/>
        <v>19.09989269957974</v>
      </c>
      <c r="L417" s="7">
        <f t="shared" si="55"/>
        <v>71.892217409271126</v>
      </c>
      <c r="M417" s="7">
        <v>0</v>
      </c>
      <c r="N417" s="7">
        <f t="shared" si="56"/>
        <v>0</v>
      </c>
      <c r="O417" s="7">
        <f t="shared" si="57"/>
        <v>0</v>
      </c>
    </row>
    <row r="418" spans="3:15" x14ac:dyDescent="0.2">
      <c r="C418">
        <v>399</v>
      </c>
      <c r="D418" s="7">
        <v>3639.7202468979076</v>
      </c>
      <c r="E418" s="7">
        <f t="shared" si="50"/>
        <v>108.84330881871735</v>
      </c>
      <c r="F418" s="7">
        <f t="shared" si="51"/>
        <v>293.91650251156142</v>
      </c>
      <c r="G418" s="7">
        <v>0</v>
      </c>
      <c r="H418" s="7">
        <f t="shared" si="52"/>
        <v>0</v>
      </c>
      <c r="I418" s="7">
        <f t="shared" si="53"/>
        <v>0</v>
      </c>
      <c r="J418" s="7">
        <v>1409.2797531020924</v>
      </c>
      <c r="K418" s="7">
        <f t="shared" si="54"/>
        <v>22.476551086157777</v>
      </c>
      <c r="L418" s="7">
        <f t="shared" si="55"/>
        <v>84.601998697730835</v>
      </c>
      <c r="M418" s="7">
        <v>0</v>
      </c>
      <c r="N418" s="7">
        <f t="shared" si="56"/>
        <v>0</v>
      </c>
      <c r="O418" s="7">
        <f t="shared" si="57"/>
        <v>0</v>
      </c>
    </row>
    <row r="419" spans="3:15" x14ac:dyDescent="0.2">
      <c r="C419">
        <v>400</v>
      </c>
      <c r="D419" s="7">
        <v>3639.5078159689424</v>
      </c>
      <c r="E419" s="7">
        <f t="shared" si="50"/>
        <v>108.83695621916695</v>
      </c>
      <c r="F419" s="7">
        <f t="shared" si="51"/>
        <v>293.89934818336269</v>
      </c>
      <c r="G419" s="7">
        <v>6176.8550624202799</v>
      </c>
      <c r="H419" s="7">
        <f t="shared" si="52"/>
        <v>147.77165221101149</v>
      </c>
      <c r="I419" s="7">
        <f t="shared" si="53"/>
        <v>321.12283201080805</v>
      </c>
      <c r="J419" s="7">
        <v>1260.9921840310567</v>
      </c>
      <c r="K419" s="7">
        <f t="shared" si="54"/>
        <v>20.111518086619725</v>
      </c>
      <c r="L419" s="7">
        <f t="shared" si="55"/>
        <v>75.699987086606384</v>
      </c>
      <c r="M419" s="7">
        <v>1145.607273365569</v>
      </c>
      <c r="N419" s="7">
        <f t="shared" si="56"/>
        <v>91.356241895180943</v>
      </c>
      <c r="O419" s="7">
        <f t="shared" si="57"/>
        <v>34.581533559831293</v>
      </c>
    </row>
    <row r="420" spans="3:15" x14ac:dyDescent="0.2">
      <c r="C420">
        <v>401</v>
      </c>
      <c r="D420" s="7">
        <v>3647.3057898622906</v>
      </c>
      <c r="E420" s="7">
        <f t="shared" si="50"/>
        <v>109.07014921836993</v>
      </c>
      <c r="F420" s="7">
        <f t="shared" si="51"/>
        <v>294.52905405577496</v>
      </c>
      <c r="G420" s="7">
        <v>6174.8247557606801</v>
      </c>
      <c r="H420" s="7">
        <f t="shared" si="52"/>
        <v>147.723080281356</v>
      </c>
      <c r="I420" s="7">
        <f t="shared" si="53"/>
        <v>321.01728026679075</v>
      </c>
      <c r="J420" s="7">
        <v>1520.4942101377096</v>
      </c>
      <c r="K420" s="7">
        <f t="shared" si="54"/>
        <v>24.250306381781655</v>
      </c>
      <c r="L420" s="7">
        <f t="shared" si="55"/>
        <v>91.278434180881149</v>
      </c>
      <c r="M420" s="7">
        <v>1147.637580025169</v>
      </c>
      <c r="N420" s="7">
        <f t="shared" si="56"/>
        <v>91.51814832736595</v>
      </c>
      <c r="O420" s="7">
        <f t="shared" si="57"/>
        <v>34.642820808540385</v>
      </c>
    </row>
    <row r="421" spans="3:15" x14ac:dyDescent="0.2">
      <c r="C421">
        <v>402</v>
      </c>
      <c r="D421" s="7">
        <v>3655.0661448638739</v>
      </c>
      <c r="E421" s="7">
        <f t="shared" si="50"/>
        <v>109.30221725071394</v>
      </c>
      <c r="F421" s="7">
        <f t="shared" si="51"/>
        <v>295.15572210869948</v>
      </c>
      <c r="G421" s="7">
        <v>6172.428493750589</v>
      </c>
      <c r="H421" s="7">
        <f t="shared" si="52"/>
        <v>147.66575343900931</v>
      </c>
      <c r="I421" s="7">
        <f t="shared" si="53"/>
        <v>320.89270320692054</v>
      </c>
      <c r="J421" s="7">
        <v>1780.0338551361265</v>
      </c>
      <c r="K421" s="7">
        <f t="shared" si="54"/>
        <v>28.389694659268368</v>
      </c>
      <c r="L421" s="7">
        <f t="shared" si="55"/>
        <v>106.8591396155777</v>
      </c>
      <c r="M421" s="7">
        <v>1150.0338420352596</v>
      </c>
      <c r="N421" s="7">
        <f t="shared" si="56"/>
        <v>91.70923780185484</v>
      </c>
      <c r="O421" s="7">
        <f t="shared" si="57"/>
        <v>34.715154859699695</v>
      </c>
    </row>
    <row r="422" spans="3:15" x14ac:dyDescent="0.2">
      <c r="C422">
        <v>403</v>
      </c>
      <c r="D422" s="7">
        <v>3662.7881121032556</v>
      </c>
      <c r="E422" s="7">
        <f t="shared" si="50"/>
        <v>109.53313732366196</v>
      </c>
      <c r="F422" s="7">
        <f t="shared" si="51"/>
        <v>295.77929025392774</v>
      </c>
      <c r="G422" s="7">
        <v>6169.5823409941813</v>
      </c>
      <c r="H422" s="7">
        <f t="shared" si="52"/>
        <v>147.5976636601479</v>
      </c>
      <c r="I422" s="7">
        <f t="shared" si="53"/>
        <v>320.74473719116708</v>
      </c>
      <c r="J422" s="7">
        <v>2277.2118878967435</v>
      </c>
      <c r="K422" s="7">
        <f t="shared" si="54"/>
        <v>36.319168865976771</v>
      </c>
      <c r="L422" s="7">
        <f t="shared" si="55"/>
        <v>136.70577239914471</v>
      </c>
      <c r="M422" s="7">
        <v>1152.8799947916677</v>
      </c>
      <c r="N422" s="7">
        <f t="shared" si="56"/>
        <v>91.936203731392965</v>
      </c>
      <c r="O422" s="7">
        <f t="shared" si="57"/>
        <v>34.801069404195367</v>
      </c>
    </row>
    <row r="423" spans="3:15" x14ac:dyDescent="0.2">
      <c r="C423">
        <v>404</v>
      </c>
      <c r="D423" s="7">
        <v>3670.4709137587165</v>
      </c>
      <c r="E423" s="7">
        <f t="shared" si="50"/>
        <v>109.76288617699512</v>
      </c>
      <c r="F423" s="7">
        <f t="shared" si="51"/>
        <v>296.39969568041283</v>
      </c>
      <c r="G423" s="7">
        <v>6166.4919697877431</v>
      </c>
      <c r="H423" s="7">
        <f t="shared" si="52"/>
        <v>147.52373133463502</v>
      </c>
      <c r="I423" s="7">
        <f t="shared" si="53"/>
        <v>320.58407472721939</v>
      </c>
      <c r="J423" s="7">
        <v>2269.5290862412826</v>
      </c>
      <c r="K423" s="7">
        <f t="shared" si="54"/>
        <v>36.19663614419909</v>
      </c>
      <c r="L423" s="7">
        <f t="shared" si="55"/>
        <v>136.24455781473057</v>
      </c>
      <c r="M423" s="7">
        <v>1155.9703659981062</v>
      </c>
      <c r="N423" s="7">
        <f t="shared" si="56"/>
        <v>92.182644816435911</v>
      </c>
      <c r="O423" s="7">
        <f t="shared" si="57"/>
        <v>34.894355976367542</v>
      </c>
    </row>
    <row r="424" spans="3:15" x14ac:dyDescent="0.2">
      <c r="C424">
        <v>405</v>
      </c>
      <c r="D424" s="7">
        <v>3678.1144256397147</v>
      </c>
      <c r="E424" s="7">
        <f t="shared" si="50"/>
        <v>109.99146009688143</v>
      </c>
      <c r="F424" s="7">
        <f t="shared" si="51"/>
        <v>297.01692835945823</v>
      </c>
      <c r="G424" s="7">
        <v>6163.2600767104504</v>
      </c>
      <c r="H424" s="7">
        <f t="shared" si="52"/>
        <v>147.44641331843184</v>
      </c>
      <c r="I424" s="7">
        <f t="shared" si="53"/>
        <v>320.41605481299956</v>
      </c>
      <c r="J424" s="7">
        <v>2558.8855743602853</v>
      </c>
      <c r="K424" s="7">
        <f t="shared" si="54"/>
        <v>40.811572158856229</v>
      </c>
      <c r="L424" s="7">
        <f t="shared" si="55"/>
        <v>153.61523044175044</v>
      </c>
      <c r="M424" s="7">
        <v>1159.2022590753984</v>
      </c>
      <c r="N424" s="7">
        <f t="shared" si="56"/>
        <v>92.440371537113109</v>
      </c>
      <c r="O424" s="7">
        <f t="shared" si="57"/>
        <v>34.99191455644344</v>
      </c>
    </row>
    <row r="425" spans="3:15" x14ac:dyDescent="0.2">
      <c r="C425">
        <v>406</v>
      </c>
      <c r="D425" s="7">
        <v>3685.7187028196813</v>
      </c>
      <c r="E425" s="7">
        <f t="shared" si="50"/>
        <v>110.21886073025364</v>
      </c>
      <c r="F425" s="7">
        <f t="shared" si="51"/>
        <v>297.63099273838105</v>
      </c>
      <c r="G425" s="7">
        <v>6160.4081877645349</v>
      </c>
      <c r="H425" s="7">
        <f t="shared" si="52"/>
        <v>147.37818631015634</v>
      </c>
      <c r="I425" s="7">
        <f t="shared" si="53"/>
        <v>320.26779058376991</v>
      </c>
      <c r="J425" s="7">
        <v>1779.0812971803189</v>
      </c>
      <c r="K425" s="7">
        <f t="shared" si="54"/>
        <v>28.374502347373507</v>
      </c>
      <c r="L425" s="7">
        <f t="shared" si="55"/>
        <v>106.80195557758995</v>
      </c>
      <c r="M425" s="7">
        <v>1162.0541480213142</v>
      </c>
      <c r="N425" s="7">
        <f t="shared" si="56"/>
        <v>92.667794898031445</v>
      </c>
      <c r="O425" s="7">
        <f t="shared" si="57"/>
        <v>35.07800225471928</v>
      </c>
    </row>
    <row r="426" spans="3:15" x14ac:dyDescent="0.2">
      <c r="C426">
        <v>407</v>
      </c>
      <c r="D426" s="7">
        <v>3685.9744634938565</v>
      </c>
      <c r="E426" s="7">
        <f t="shared" si="50"/>
        <v>110.22650907577324</v>
      </c>
      <c r="F426" s="7">
        <f t="shared" si="51"/>
        <v>297.65164605174982</v>
      </c>
      <c r="G426" s="7">
        <v>0</v>
      </c>
      <c r="H426" s="7">
        <f t="shared" si="52"/>
        <v>0</v>
      </c>
      <c r="I426" s="7">
        <f t="shared" si="53"/>
        <v>0</v>
      </c>
      <c r="J426" s="7">
        <v>1006.6255365061438</v>
      </c>
      <c r="K426" s="7">
        <f t="shared" si="54"/>
        <v>16.05463375607885</v>
      </c>
      <c r="L426" s="7">
        <f t="shared" si="55"/>
        <v>60.429827464090415</v>
      </c>
      <c r="M426" s="7">
        <v>0</v>
      </c>
      <c r="N426" s="7">
        <f t="shared" si="56"/>
        <v>0</v>
      </c>
      <c r="O426" s="7">
        <f t="shared" si="57"/>
        <v>0</v>
      </c>
    </row>
    <row r="427" spans="3:15" x14ac:dyDescent="0.2">
      <c r="C427">
        <v>408</v>
      </c>
      <c r="D427" s="7">
        <v>3680.5997274860492</v>
      </c>
      <c r="E427" s="7">
        <f t="shared" si="50"/>
        <v>110.06578132434359</v>
      </c>
      <c r="F427" s="7">
        <f t="shared" si="51"/>
        <v>297.21762269221159</v>
      </c>
      <c r="G427" s="7">
        <v>0</v>
      </c>
      <c r="H427" s="7">
        <f t="shared" si="52"/>
        <v>0</v>
      </c>
      <c r="I427" s="7">
        <f t="shared" si="53"/>
        <v>0</v>
      </c>
      <c r="J427" s="7">
        <v>239.8002725139504</v>
      </c>
      <c r="K427" s="7">
        <f t="shared" si="54"/>
        <v>3.8245657498237708</v>
      </c>
      <c r="L427" s="7">
        <f t="shared" si="55"/>
        <v>14.395709793093891</v>
      </c>
      <c r="M427" s="7">
        <v>0</v>
      </c>
      <c r="N427" s="7">
        <f t="shared" si="56"/>
        <v>0</v>
      </c>
      <c r="O427" s="7">
        <f t="shared" si="57"/>
        <v>0</v>
      </c>
    </row>
    <row r="428" spans="3:15" x14ac:dyDescent="0.2">
      <c r="C428">
        <v>409</v>
      </c>
      <c r="D428" s="7">
        <v>2524.5</v>
      </c>
      <c r="E428" s="7">
        <f t="shared" si="50"/>
        <v>75.493421052631589</v>
      </c>
      <c r="F428" s="7">
        <f t="shared" si="51"/>
        <v>203.85968158482189</v>
      </c>
      <c r="G428" s="7">
        <v>0</v>
      </c>
      <c r="H428" s="7">
        <f t="shared" si="52"/>
        <v>0</v>
      </c>
      <c r="I428" s="7">
        <f t="shared" si="53"/>
        <v>0</v>
      </c>
      <c r="J428" s="7">
        <v>0</v>
      </c>
      <c r="K428" s="7">
        <f t="shared" si="54"/>
        <v>0</v>
      </c>
      <c r="L428" s="7">
        <f t="shared" si="55"/>
        <v>0</v>
      </c>
      <c r="M428" s="7">
        <v>0</v>
      </c>
      <c r="N428" s="7">
        <f t="shared" si="56"/>
        <v>0</v>
      </c>
      <c r="O428" s="7">
        <f t="shared" si="57"/>
        <v>0</v>
      </c>
    </row>
    <row r="429" spans="3:15" x14ac:dyDescent="0.2">
      <c r="C429">
        <v>410</v>
      </c>
      <c r="D429" s="7">
        <v>2376</v>
      </c>
      <c r="E429" s="7">
        <f t="shared" si="50"/>
        <v>71.05263157894737</v>
      </c>
      <c r="F429" s="7">
        <f t="shared" si="51"/>
        <v>191.86793560924414</v>
      </c>
      <c r="G429" s="7">
        <v>0</v>
      </c>
      <c r="H429" s="7">
        <f t="shared" si="52"/>
        <v>0</v>
      </c>
      <c r="I429" s="7">
        <f t="shared" si="53"/>
        <v>0</v>
      </c>
      <c r="J429" s="7">
        <v>0</v>
      </c>
      <c r="K429" s="7">
        <f t="shared" si="54"/>
        <v>0</v>
      </c>
      <c r="L429" s="7">
        <f t="shared" si="55"/>
        <v>0</v>
      </c>
      <c r="M429" s="7">
        <v>0</v>
      </c>
      <c r="N429" s="7">
        <f t="shared" si="56"/>
        <v>0</v>
      </c>
      <c r="O429" s="7">
        <f t="shared" si="57"/>
        <v>0</v>
      </c>
    </row>
    <row r="430" spans="3:15" x14ac:dyDescent="0.2">
      <c r="C430">
        <v>411</v>
      </c>
      <c r="D430" s="7">
        <v>2524.5</v>
      </c>
      <c r="E430" s="7">
        <f t="shared" si="50"/>
        <v>75.493421052631589</v>
      </c>
      <c r="F430" s="7">
        <f t="shared" si="51"/>
        <v>203.85968158482189</v>
      </c>
      <c r="G430" s="7">
        <v>0</v>
      </c>
      <c r="H430" s="7">
        <f t="shared" si="52"/>
        <v>0</v>
      </c>
      <c r="I430" s="7">
        <f t="shared" si="53"/>
        <v>0</v>
      </c>
      <c r="J430" s="7">
        <v>0</v>
      </c>
      <c r="K430" s="7">
        <f t="shared" si="54"/>
        <v>0</v>
      </c>
      <c r="L430" s="7">
        <f t="shared" si="55"/>
        <v>0</v>
      </c>
      <c r="M430" s="7">
        <v>0</v>
      </c>
      <c r="N430" s="7">
        <f t="shared" si="56"/>
        <v>0</v>
      </c>
      <c r="O430" s="7">
        <f t="shared" si="57"/>
        <v>0</v>
      </c>
    </row>
    <row r="431" spans="3:15" x14ac:dyDescent="0.2">
      <c r="C431">
        <v>412</v>
      </c>
      <c r="D431" s="7">
        <v>2673</v>
      </c>
      <c r="E431" s="7">
        <f t="shared" si="50"/>
        <v>79.934210526315795</v>
      </c>
      <c r="F431" s="7">
        <f t="shared" si="51"/>
        <v>215.85142756039966</v>
      </c>
      <c r="G431" s="7">
        <v>0</v>
      </c>
      <c r="H431" s="7">
        <f t="shared" si="52"/>
        <v>0</v>
      </c>
      <c r="I431" s="7">
        <f t="shared" si="53"/>
        <v>0</v>
      </c>
      <c r="J431" s="7">
        <v>0</v>
      </c>
      <c r="K431" s="7">
        <f t="shared" si="54"/>
        <v>0</v>
      </c>
      <c r="L431" s="7">
        <f t="shared" si="55"/>
        <v>0</v>
      </c>
      <c r="M431" s="7">
        <v>0</v>
      </c>
      <c r="N431" s="7">
        <f t="shared" si="56"/>
        <v>0</v>
      </c>
      <c r="O431" s="7">
        <f t="shared" si="57"/>
        <v>0</v>
      </c>
    </row>
    <row r="432" spans="3:15" x14ac:dyDescent="0.2">
      <c r="C432">
        <v>413</v>
      </c>
      <c r="D432" s="7">
        <v>2969.9999999999995</v>
      </c>
      <c r="E432" s="7">
        <f t="shared" si="50"/>
        <v>88.815789473684205</v>
      </c>
      <c r="F432" s="7">
        <f t="shared" si="51"/>
        <v>239.83491951155514</v>
      </c>
      <c r="G432" s="7">
        <v>0</v>
      </c>
      <c r="H432" s="7">
        <f t="shared" si="52"/>
        <v>0</v>
      </c>
      <c r="I432" s="7">
        <f t="shared" si="53"/>
        <v>0</v>
      </c>
      <c r="J432" s="7">
        <v>0</v>
      </c>
      <c r="K432" s="7">
        <f t="shared" si="54"/>
        <v>0</v>
      </c>
      <c r="L432" s="7">
        <f t="shared" si="55"/>
        <v>0</v>
      </c>
      <c r="M432" s="7">
        <v>0</v>
      </c>
      <c r="N432" s="7">
        <f t="shared" si="56"/>
        <v>0</v>
      </c>
      <c r="O432" s="7">
        <f t="shared" si="57"/>
        <v>0</v>
      </c>
    </row>
    <row r="433" spans="3:15" x14ac:dyDescent="0.2">
      <c r="C433">
        <v>414</v>
      </c>
      <c r="D433" s="7">
        <v>3167.9999999999995</v>
      </c>
      <c r="E433" s="7">
        <f t="shared" si="50"/>
        <v>94.73684210526315</v>
      </c>
      <c r="F433" s="7">
        <f t="shared" si="51"/>
        <v>255.82391414565882</v>
      </c>
      <c r="G433" s="7">
        <v>0</v>
      </c>
      <c r="H433" s="7">
        <f t="shared" si="52"/>
        <v>0</v>
      </c>
      <c r="I433" s="7">
        <f t="shared" si="53"/>
        <v>0</v>
      </c>
      <c r="J433" s="7">
        <v>0</v>
      </c>
      <c r="K433" s="7">
        <f t="shared" si="54"/>
        <v>0</v>
      </c>
      <c r="L433" s="7">
        <f t="shared" si="55"/>
        <v>0</v>
      </c>
      <c r="M433" s="7">
        <v>0</v>
      </c>
      <c r="N433" s="7">
        <f t="shared" si="56"/>
        <v>0</v>
      </c>
      <c r="O433" s="7">
        <f t="shared" si="57"/>
        <v>0</v>
      </c>
    </row>
    <row r="434" spans="3:15" x14ac:dyDescent="0.2">
      <c r="C434">
        <v>415</v>
      </c>
      <c r="D434" s="7">
        <v>3365.9999999999995</v>
      </c>
      <c r="E434" s="7">
        <f t="shared" si="50"/>
        <v>100.6578947368421</v>
      </c>
      <c r="F434" s="7">
        <f t="shared" si="51"/>
        <v>271.81290877976249</v>
      </c>
      <c r="G434" s="7">
        <v>6149.1756658839749</v>
      </c>
      <c r="H434" s="7">
        <f t="shared" si="52"/>
        <v>147.1094656910042</v>
      </c>
      <c r="I434" s="7">
        <f t="shared" si="53"/>
        <v>319.68383334332026</v>
      </c>
      <c r="J434" s="7">
        <v>0</v>
      </c>
      <c r="K434" s="7">
        <f t="shared" si="54"/>
        <v>0</v>
      </c>
      <c r="L434" s="7">
        <f t="shared" si="55"/>
        <v>0</v>
      </c>
      <c r="M434" s="7">
        <v>1173.2866699018743</v>
      </c>
      <c r="N434" s="7">
        <f t="shared" si="56"/>
        <v>93.563530295205297</v>
      </c>
      <c r="O434" s="7">
        <f t="shared" si="57"/>
        <v>35.417069438914936</v>
      </c>
    </row>
    <row r="435" spans="3:15" x14ac:dyDescent="0.2">
      <c r="C435">
        <v>416</v>
      </c>
      <c r="D435" s="7">
        <v>3563.9999999999995</v>
      </c>
      <c r="E435" s="7">
        <f t="shared" si="50"/>
        <v>106.57894736842104</v>
      </c>
      <c r="F435" s="7">
        <f t="shared" si="51"/>
        <v>287.80190341386617</v>
      </c>
      <c r="G435" s="7">
        <v>6149.7212073894316</v>
      </c>
      <c r="H435" s="7">
        <f t="shared" si="52"/>
        <v>147.12251692319217</v>
      </c>
      <c r="I435" s="7">
        <f t="shared" si="53"/>
        <v>319.71219499847348</v>
      </c>
      <c r="J435" s="7">
        <v>0</v>
      </c>
      <c r="K435" s="7">
        <f t="shared" si="54"/>
        <v>0</v>
      </c>
      <c r="L435" s="7">
        <f t="shared" si="55"/>
        <v>0</v>
      </c>
      <c r="M435" s="7">
        <v>1172.7411283964177</v>
      </c>
      <c r="N435" s="7">
        <f t="shared" si="56"/>
        <v>93.520026187912109</v>
      </c>
      <c r="O435" s="7">
        <f t="shared" si="57"/>
        <v>35.400601612358805</v>
      </c>
    </row>
    <row r="436" spans="3:15" x14ac:dyDescent="0.2">
      <c r="C436">
        <v>417</v>
      </c>
      <c r="D436" s="7">
        <v>3680.1414027235382</v>
      </c>
      <c r="E436" s="7">
        <f t="shared" si="50"/>
        <v>110.0520754402972</v>
      </c>
      <c r="F436" s="7">
        <f t="shared" si="51"/>
        <v>297.18061182267394</v>
      </c>
      <c r="G436" s="7">
        <v>6150.2874454012308</v>
      </c>
      <c r="H436" s="7">
        <f t="shared" si="52"/>
        <v>147.1360632871108</v>
      </c>
      <c r="I436" s="7">
        <f t="shared" si="53"/>
        <v>319.7416326252436</v>
      </c>
      <c r="J436" s="7">
        <v>81.858597276460841</v>
      </c>
      <c r="K436" s="7">
        <f t="shared" si="54"/>
        <v>1.3055597651748141</v>
      </c>
      <c r="L436" s="7">
        <f t="shared" si="55"/>
        <v>4.9141420821076087</v>
      </c>
      <c r="M436" s="7">
        <v>1172.174890384618</v>
      </c>
      <c r="N436" s="7">
        <f t="shared" si="56"/>
        <v>93.4748716415166</v>
      </c>
      <c r="O436" s="7">
        <f t="shared" si="57"/>
        <v>35.383509036863558</v>
      </c>
    </row>
    <row r="437" spans="3:15" x14ac:dyDescent="0.2">
      <c r="C437">
        <v>418</v>
      </c>
      <c r="D437" s="7">
        <v>3688.6535932850343</v>
      </c>
      <c r="E437" s="7">
        <f t="shared" si="50"/>
        <v>110.30662659345199</v>
      </c>
      <c r="F437" s="7">
        <f t="shared" si="51"/>
        <v>297.86799247526091</v>
      </c>
      <c r="G437" s="7">
        <v>6150.6837794235762</v>
      </c>
      <c r="H437" s="7">
        <f t="shared" si="52"/>
        <v>147.14554496228652</v>
      </c>
      <c r="I437" s="7">
        <f t="shared" si="53"/>
        <v>319.76223726990366</v>
      </c>
      <c r="J437" s="7">
        <v>271.34640671496527</v>
      </c>
      <c r="K437" s="7">
        <f t="shared" si="54"/>
        <v>4.3276938870010415</v>
      </c>
      <c r="L437" s="7">
        <f t="shared" si="55"/>
        <v>16.289489930584708</v>
      </c>
      <c r="M437" s="7">
        <v>1171.7785563622729</v>
      </c>
      <c r="N437" s="7">
        <f t="shared" si="56"/>
        <v>93.443266057597526</v>
      </c>
      <c r="O437" s="7">
        <f t="shared" si="57"/>
        <v>35.371545217661918</v>
      </c>
    </row>
    <row r="438" spans="3:15" x14ac:dyDescent="0.2">
      <c r="C438">
        <v>419</v>
      </c>
      <c r="D438" s="7">
        <v>3697.1326284318084</v>
      </c>
      <c r="E438" s="7">
        <f t="shared" si="50"/>
        <v>110.56018625693207</v>
      </c>
      <c r="F438" s="7">
        <f t="shared" si="51"/>
        <v>298.55269574528188</v>
      </c>
      <c r="G438" s="7">
        <v>6150.8691820670119</v>
      </c>
      <c r="H438" s="7">
        <f t="shared" si="52"/>
        <v>147.14998043222516</v>
      </c>
      <c r="I438" s="7">
        <f t="shared" si="53"/>
        <v>319.77187599726909</v>
      </c>
      <c r="J438" s="7">
        <v>460.86737156819163</v>
      </c>
      <c r="K438" s="7">
        <f t="shared" si="54"/>
        <v>7.3503568033204409</v>
      </c>
      <c r="L438" s="7">
        <f t="shared" si="55"/>
        <v>27.666828167660622</v>
      </c>
      <c r="M438" s="7">
        <v>1171.5931537188374</v>
      </c>
      <c r="N438" s="7">
        <f t="shared" si="56"/>
        <v>93.428481157802025</v>
      </c>
      <c r="O438" s="7">
        <f t="shared" si="57"/>
        <v>35.365948615855075</v>
      </c>
    </row>
    <row r="439" spans="3:15" x14ac:dyDescent="0.2">
      <c r="C439">
        <v>420</v>
      </c>
      <c r="D439" s="7">
        <v>3705.5781333629457</v>
      </c>
      <c r="E439" s="7">
        <f t="shared" si="50"/>
        <v>110.81274322257613</v>
      </c>
      <c r="F439" s="7">
        <f t="shared" si="51"/>
        <v>299.23469136662658</v>
      </c>
      <c r="G439" s="7">
        <v>6150.8439093764246</v>
      </c>
      <c r="H439" s="7">
        <f t="shared" si="52"/>
        <v>147.1493758224025</v>
      </c>
      <c r="I439" s="7">
        <f t="shared" si="53"/>
        <v>319.7705621186218</v>
      </c>
      <c r="J439" s="7">
        <v>650.42186663705434</v>
      </c>
      <c r="K439" s="7">
        <f t="shared" si="54"/>
        <v>10.37355449181905</v>
      </c>
      <c r="L439" s="7">
        <f t="shared" si="55"/>
        <v>39.046179293414866</v>
      </c>
      <c r="M439" s="7">
        <v>1171.6184264094243</v>
      </c>
      <c r="N439" s="7">
        <f t="shared" si="56"/>
        <v>93.430496523877537</v>
      </c>
      <c r="O439" s="7">
        <f t="shared" si="57"/>
        <v>35.366711502420131</v>
      </c>
    </row>
    <row r="440" spans="3:15" x14ac:dyDescent="0.2">
      <c r="C440">
        <v>421</v>
      </c>
      <c r="D440" s="7">
        <v>3713.989735803334</v>
      </c>
      <c r="E440" s="7">
        <f t="shared" si="50"/>
        <v>111.06428635775521</v>
      </c>
      <c r="F440" s="7">
        <f t="shared" si="51"/>
        <v>299.9139492771497</v>
      </c>
      <c r="G440" s="7">
        <v>6150.6082358025715</v>
      </c>
      <c r="H440" s="7">
        <f t="shared" si="52"/>
        <v>147.14373769862613</v>
      </c>
      <c r="I440" s="7">
        <f t="shared" si="53"/>
        <v>319.75830990212961</v>
      </c>
      <c r="J440" s="7">
        <v>840.01026419666505</v>
      </c>
      <c r="K440" s="7">
        <f t="shared" si="54"/>
        <v>13.397292889898965</v>
      </c>
      <c r="L440" s="7">
        <f t="shared" si="55"/>
        <v>50.427565656297709</v>
      </c>
      <c r="M440" s="7">
        <v>1171.8540999832774</v>
      </c>
      <c r="N440" s="7">
        <f t="shared" si="56"/>
        <v>93.449290269798837</v>
      </c>
      <c r="O440" s="7">
        <f t="shared" si="57"/>
        <v>35.373825592730874</v>
      </c>
    </row>
    <row r="441" spans="3:15" x14ac:dyDescent="0.2">
      <c r="C441">
        <v>422</v>
      </c>
      <c r="D441" s="7">
        <v>3722.3670660356975</v>
      </c>
      <c r="E441" s="7">
        <f t="shared" si="50"/>
        <v>111.31480460633067</v>
      </c>
      <c r="F441" s="7">
        <f t="shared" si="51"/>
        <v>300.59043962125764</v>
      </c>
      <c r="G441" s="7">
        <v>6150.1624541526171</v>
      </c>
      <c r="H441" s="7">
        <f t="shared" si="52"/>
        <v>147.1330730658521</v>
      </c>
      <c r="I441" s="7">
        <f t="shared" si="53"/>
        <v>319.73513457027462</v>
      </c>
      <c r="J441" s="7">
        <v>1029.6329339643025</v>
      </c>
      <c r="K441" s="7">
        <f t="shared" si="54"/>
        <v>16.421577894167505</v>
      </c>
      <c r="L441" s="7">
        <f t="shared" si="55"/>
        <v>61.811009451207426</v>
      </c>
      <c r="M441" s="7">
        <v>1172.2998816332322</v>
      </c>
      <c r="N441" s="7">
        <f t="shared" si="56"/>
        <v>93.484839045712306</v>
      </c>
      <c r="O441" s="7">
        <f t="shared" si="57"/>
        <v>35.387282048050842</v>
      </c>
    </row>
    <row r="442" spans="3:15" x14ac:dyDescent="0.2">
      <c r="C442">
        <v>423</v>
      </c>
      <c r="D442" s="7">
        <v>3730.7099320797256</v>
      </c>
      <c r="E442" s="7">
        <f t="shared" si="50"/>
        <v>111.56429222726453</v>
      </c>
      <c r="F442" s="7">
        <f t="shared" si="51"/>
        <v>301.26414689606077</v>
      </c>
      <c r="G442" s="7">
        <v>6149.740643730479</v>
      </c>
      <c r="H442" s="7">
        <f t="shared" si="52"/>
        <v>147.12298190742774</v>
      </c>
      <c r="I442" s="7">
        <f t="shared" si="53"/>
        <v>319.7132054565169</v>
      </c>
      <c r="J442" s="7">
        <v>872.7900679202744</v>
      </c>
      <c r="K442" s="7">
        <f t="shared" si="54"/>
        <v>13.92009677703787</v>
      </c>
      <c r="L442" s="7">
        <f t="shared" si="55"/>
        <v>52.395405544603953</v>
      </c>
      <c r="M442" s="7">
        <v>1172.7216920553699</v>
      </c>
      <c r="N442" s="7">
        <f t="shared" si="56"/>
        <v>93.518476240460132</v>
      </c>
      <c r="O442" s="7">
        <f t="shared" si="57"/>
        <v>35.400014903024939</v>
      </c>
    </row>
    <row r="443" spans="3:15" x14ac:dyDescent="0.2">
      <c r="C443">
        <v>424</v>
      </c>
      <c r="D443" s="7">
        <v>3739.018592800046</v>
      </c>
      <c r="E443" s="7">
        <f t="shared" si="50"/>
        <v>111.81275696172388</v>
      </c>
      <c r="F443" s="7">
        <f t="shared" si="51"/>
        <v>301.93509200552433</v>
      </c>
      <c r="G443" s="7">
        <v>6149.242456859396</v>
      </c>
      <c r="H443" s="7">
        <f t="shared" si="52"/>
        <v>147.11106356122957</v>
      </c>
      <c r="I443" s="7">
        <f t="shared" si="53"/>
        <v>319.68730567785991</v>
      </c>
      <c r="J443" s="7">
        <v>1210.981407199954</v>
      </c>
      <c r="K443" s="7">
        <f t="shared" si="54"/>
        <v>19.313898041466572</v>
      </c>
      <c r="L443" s="7">
        <f t="shared" si="55"/>
        <v>72.697735995562027</v>
      </c>
      <c r="M443" s="7">
        <v>1173.2198789264528</v>
      </c>
      <c r="N443" s="7">
        <f t="shared" si="56"/>
        <v>93.558204061120648</v>
      </c>
      <c r="O443" s="7">
        <f t="shared" si="57"/>
        <v>35.415053272981176</v>
      </c>
    </row>
    <row r="444" spans="3:15" x14ac:dyDescent="0.2">
      <c r="C444">
        <v>425</v>
      </c>
      <c r="D444" s="7">
        <v>3747.2924811407024</v>
      </c>
      <c r="E444" s="7">
        <f t="shared" si="50"/>
        <v>112.06018185229374</v>
      </c>
      <c r="F444" s="7">
        <f t="shared" si="51"/>
        <v>302.60322915846336</v>
      </c>
      <c r="G444" s="7">
        <v>6148.3342213106525</v>
      </c>
      <c r="H444" s="7">
        <f t="shared" si="52"/>
        <v>147.08933543805389</v>
      </c>
      <c r="I444" s="7">
        <f t="shared" si="53"/>
        <v>319.64008825595221</v>
      </c>
      <c r="J444" s="7">
        <v>1549.2075188592976</v>
      </c>
      <c r="K444" s="7">
        <f t="shared" si="54"/>
        <v>24.708253889302995</v>
      </c>
      <c r="L444" s="7">
        <f t="shared" si="55"/>
        <v>93.002153904892083</v>
      </c>
      <c r="M444" s="7">
        <v>1174.1281144751963</v>
      </c>
      <c r="N444" s="7">
        <f t="shared" si="56"/>
        <v>93.63063113837292</v>
      </c>
      <c r="O444" s="7">
        <f t="shared" si="57"/>
        <v>35.442469455506654</v>
      </c>
    </row>
    <row r="445" spans="3:15" x14ac:dyDescent="0.2">
      <c r="C445">
        <v>426</v>
      </c>
      <c r="D445" s="7">
        <v>3755.5307844688673</v>
      </c>
      <c r="E445" s="7">
        <f t="shared" si="50"/>
        <v>112.30654259775322</v>
      </c>
      <c r="F445" s="7">
        <f t="shared" si="51"/>
        <v>303.26849273274695</v>
      </c>
      <c r="G445" s="7">
        <v>6147.016591012286</v>
      </c>
      <c r="H445" s="7">
        <f t="shared" si="52"/>
        <v>147.05781318211211</v>
      </c>
      <c r="I445" s="7">
        <f t="shared" si="53"/>
        <v>319.5715871872564</v>
      </c>
      <c r="J445" s="7">
        <v>1887.4692155311318</v>
      </c>
      <c r="K445" s="7">
        <f t="shared" si="54"/>
        <v>30.103177281198278</v>
      </c>
      <c r="L445" s="7">
        <f t="shared" si="55"/>
        <v>113.30870805663515</v>
      </c>
      <c r="M445" s="7">
        <v>1175.4457447735633</v>
      </c>
      <c r="N445" s="7">
        <f t="shared" si="56"/>
        <v>93.735705324845568</v>
      </c>
      <c r="O445" s="7">
        <f t="shared" si="57"/>
        <v>35.48224371099699</v>
      </c>
    </row>
    <row r="446" spans="3:15" x14ac:dyDescent="0.2">
      <c r="C446">
        <v>427</v>
      </c>
      <c r="D446" s="7">
        <v>3763.4683992173573</v>
      </c>
      <c r="E446" s="7">
        <f t="shared" si="50"/>
        <v>112.54391145984921</v>
      </c>
      <c r="F446" s="7">
        <f t="shared" si="51"/>
        <v>303.90947495305596</v>
      </c>
      <c r="G446" s="7">
        <v>6145.7995181476181</v>
      </c>
      <c r="H446" s="7">
        <f t="shared" si="52"/>
        <v>147.02869660640235</v>
      </c>
      <c r="I446" s="7">
        <f t="shared" si="53"/>
        <v>319.50831390641747</v>
      </c>
      <c r="J446" s="7">
        <v>1471.1566007826427</v>
      </c>
      <c r="K446" s="7">
        <f t="shared" si="54"/>
        <v>23.463422660010252</v>
      </c>
      <c r="L446" s="7">
        <f t="shared" si="55"/>
        <v>88.316594735434904</v>
      </c>
      <c r="M446" s="7">
        <v>1176.6628176382308</v>
      </c>
      <c r="N446" s="7">
        <f t="shared" si="56"/>
        <v>93.832760577211388</v>
      </c>
      <c r="O446" s="7">
        <f t="shared" si="57"/>
        <v>35.518982519393873</v>
      </c>
    </row>
    <row r="447" spans="3:15" x14ac:dyDescent="0.2">
      <c r="C447">
        <v>428</v>
      </c>
      <c r="D447" s="7">
        <v>3768.9917579915896</v>
      </c>
      <c r="E447" s="7">
        <f t="shared" si="50"/>
        <v>112.70908367199731</v>
      </c>
      <c r="F447" s="7">
        <f t="shared" si="51"/>
        <v>304.35549997226519</v>
      </c>
      <c r="G447" s="7">
        <v>6145.189833454785</v>
      </c>
      <c r="H447" s="7">
        <f t="shared" si="52"/>
        <v>147.0141108482006</v>
      </c>
      <c r="I447" s="7">
        <f t="shared" si="53"/>
        <v>319.47661757013992</v>
      </c>
      <c r="J447" s="7">
        <v>1057.2582420084104</v>
      </c>
      <c r="K447" s="7">
        <f t="shared" si="54"/>
        <v>16.862172918794425</v>
      </c>
      <c r="L447" s="7">
        <f t="shared" si="55"/>
        <v>63.469414228560893</v>
      </c>
      <c r="M447" s="7">
        <v>1177.2725023310643</v>
      </c>
      <c r="N447" s="7">
        <f t="shared" si="56"/>
        <v>93.881379771217254</v>
      </c>
      <c r="O447" s="7">
        <f t="shared" si="57"/>
        <v>35.537386585216709</v>
      </c>
    </row>
    <row r="448" spans="3:15" x14ac:dyDescent="0.2">
      <c r="C448">
        <v>429</v>
      </c>
      <c r="D448" s="7">
        <v>3774.4866820938523</v>
      </c>
      <c r="E448" s="7">
        <f t="shared" si="50"/>
        <v>112.87340556500756</v>
      </c>
      <c r="F448" s="7">
        <f t="shared" si="51"/>
        <v>304.79922882067876</v>
      </c>
      <c r="G448" s="7">
        <v>6145.1851911716849</v>
      </c>
      <c r="H448" s="7">
        <f t="shared" si="52"/>
        <v>147.0139997887963</v>
      </c>
      <c r="I448" s="7">
        <f t="shared" si="53"/>
        <v>319.47637622675711</v>
      </c>
      <c r="J448" s="7">
        <v>643.38831790614768</v>
      </c>
      <c r="K448" s="7">
        <f t="shared" si="54"/>
        <v>10.261376681118783</v>
      </c>
      <c r="L448" s="7">
        <f t="shared" si="55"/>
        <v>38.623940714266354</v>
      </c>
      <c r="M448" s="7">
        <v>1177.2771446141644</v>
      </c>
      <c r="N448" s="7">
        <f t="shared" si="56"/>
        <v>93.88174996923162</v>
      </c>
      <c r="O448" s="7">
        <f t="shared" si="57"/>
        <v>35.537526718116133</v>
      </c>
    </row>
    <row r="449" spans="3:15" x14ac:dyDescent="0.2">
      <c r="C449">
        <v>430</v>
      </c>
      <c r="D449" s="7">
        <v>3779.9546243278114</v>
      </c>
      <c r="E449" s="7">
        <f t="shared" si="50"/>
        <v>113.03692058396565</v>
      </c>
      <c r="F449" s="7">
        <f t="shared" si="51"/>
        <v>305.24077881582195</v>
      </c>
      <c r="G449" s="7">
        <v>6145.784642171755</v>
      </c>
      <c r="H449" s="7">
        <f t="shared" si="52"/>
        <v>147.02834072181233</v>
      </c>
      <c r="I449" s="7">
        <f t="shared" si="53"/>
        <v>319.50754053300176</v>
      </c>
      <c r="J449" s="7">
        <v>229.54537567218858</v>
      </c>
      <c r="K449" s="7">
        <f t="shared" si="54"/>
        <v>3.6610107762709507</v>
      </c>
      <c r="L449" s="7">
        <f t="shared" si="55"/>
        <v>13.780086977721444</v>
      </c>
      <c r="M449" s="7">
        <v>1176.6776936140936</v>
      </c>
      <c r="N449" s="7">
        <f t="shared" si="56"/>
        <v>93.833946859178127</v>
      </c>
      <c r="O449" s="7">
        <f t="shared" si="57"/>
        <v>35.519431568619119</v>
      </c>
    </row>
    <row r="450" spans="3:15" x14ac:dyDescent="0.2">
      <c r="C450">
        <v>431</v>
      </c>
      <c r="D450" s="7">
        <v>3601.1250000000005</v>
      </c>
      <c r="E450" s="7">
        <f t="shared" si="50"/>
        <v>107.68914473684212</v>
      </c>
      <c r="F450" s="7">
        <f t="shared" si="51"/>
        <v>290.79983990776066</v>
      </c>
      <c r="G450" s="7">
        <v>0</v>
      </c>
      <c r="H450" s="7">
        <f t="shared" si="52"/>
        <v>0</v>
      </c>
      <c r="I450" s="7">
        <f t="shared" si="53"/>
        <v>0</v>
      </c>
      <c r="J450" s="7">
        <v>0</v>
      </c>
      <c r="K450" s="7">
        <f t="shared" si="54"/>
        <v>0</v>
      </c>
      <c r="L450" s="7">
        <f t="shared" si="55"/>
        <v>0</v>
      </c>
      <c r="M450" s="7">
        <v>0</v>
      </c>
      <c r="N450" s="7">
        <f t="shared" si="56"/>
        <v>0</v>
      </c>
      <c r="O450" s="7">
        <f t="shared" si="57"/>
        <v>0</v>
      </c>
    </row>
    <row r="451" spans="3:15" x14ac:dyDescent="0.2">
      <c r="C451">
        <v>432</v>
      </c>
      <c r="D451" s="7">
        <v>2969.9999999999995</v>
      </c>
      <c r="E451" s="7">
        <f t="shared" si="50"/>
        <v>88.815789473684205</v>
      </c>
      <c r="F451" s="7">
        <f t="shared" si="51"/>
        <v>239.83491951155514</v>
      </c>
      <c r="G451" s="7">
        <v>0</v>
      </c>
      <c r="H451" s="7">
        <f t="shared" si="52"/>
        <v>0</v>
      </c>
      <c r="I451" s="7">
        <f t="shared" si="53"/>
        <v>0</v>
      </c>
      <c r="J451" s="7">
        <v>0</v>
      </c>
      <c r="K451" s="7">
        <f t="shared" si="54"/>
        <v>0</v>
      </c>
      <c r="L451" s="7">
        <f t="shared" si="55"/>
        <v>0</v>
      </c>
      <c r="M451" s="7">
        <v>0</v>
      </c>
      <c r="N451" s="7">
        <f t="shared" si="56"/>
        <v>0</v>
      </c>
      <c r="O451" s="7">
        <f t="shared" si="57"/>
        <v>0</v>
      </c>
    </row>
    <row r="452" spans="3:15" x14ac:dyDescent="0.2">
      <c r="C452">
        <v>433</v>
      </c>
      <c r="D452" s="7">
        <v>2524.5</v>
      </c>
      <c r="E452" s="7">
        <f t="shared" si="50"/>
        <v>75.493421052631589</v>
      </c>
      <c r="F452" s="7">
        <f t="shared" si="51"/>
        <v>203.85968158482189</v>
      </c>
      <c r="G452" s="7">
        <v>0</v>
      </c>
      <c r="H452" s="7">
        <f t="shared" si="52"/>
        <v>0</v>
      </c>
      <c r="I452" s="7">
        <f t="shared" si="53"/>
        <v>0</v>
      </c>
      <c r="J452" s="7">
        <v>0</v>
      </c>
      <c r="K452" s="7">
        <f t="shared" si="54"/>
        <v>0</v>
      </c>
      <c r="L452" s="7">
        <f t="shared" si="55"/>
        <v>0</v>
      </c>
      <c r="M452" s="7">
        <v>0</v>
      </c>
      <c r="N452" s="7">
        <f t="shared" si="56"/>
        <v>0</v>
      </c>
      <c r="O452" s="7">
        <f t="shared" si="57"/>
        <v>0</v>
      </c>
    </row>
    <row r="453" spans="3:15" x14ac:dyDescent="0.2">
      <c r="C453">
        <v>434</v>
      </c>
      <c r="D453" s="7">
        <v>2376</v>
      </c>
      <c r="E453" s="7">
        <f t="shared" si="50"/>
        <v>71.05263157894737</v>
      </c>
      <c r="F453" s="7">
        <f t="shared" si="51"/>
        <v>191.86793560924414</v>
      </c>
      <c r="G453" s="7">
        <v>0</v>
      </c>
      <c r="H453" s="7">
        <f t="shared" si="52"/>
        <v>0</v>
      </c>
      <c r="I453" s="7">
        <f t="shared" si="53"/>
        <v>0</v>
      </c>
      <c r="J453" s="7">
        <v>0</v>
      </c>
      <c r="K453" s="7">
        <f t="shared" si="54"/>
        <v>0</v>
      </c>
      <c r="L453" s="7">
        <f t="shared" si="55"/>
        <v>0</v>
      </c>
      <c r="M453" s="7">
        <v>0</v>
      </c>
      <c r="N453" s="7">
        <f t="shared" si="56"/>
        <v>0</v>
      </c>
      <c r="O453" s="7">
        <f t="shared" si="57"/>
        <v>0</v>
      </c>
    </row>
    <row r="454" spans="3:15" x14ac:dyDescent="0.2">
      <c r="C454">
        <v>435</v>
      </c>
      <c r="D454" s="7">
        <v>2524.5</v>
      </c>
      <c r="E454" s="7">
        <f t="shared" si="50"/>
        <v>75.493421052631589</v>
      </c>
      <c r="F454" s="7">
        <f t="shared" si="51"/>
        <v>203.85968158482189</v>
      </c>
      <c r="G454" s="7">
        <v>0</v>
      </c>
      <c r="H454" s="7">
        <f t="shared" si="52"/>
        <v>0</v>
      </c>
      <c r="I454" s="7">
        <f t="shared" si="53"/>
        <v>0</v>
      </c>
      <c r="J454" s="7">
        <v>0</v>
      </c>
      <c r="K454" s="7">
        <f t="shared" si="54"/>
        <v>0</v>
      </c>
      <c r="L454" s="7">
        <f t="shared" si="55"/>
        <v>0</v>
      </c>
      <c r="M454" s="7">
        <v>0</v>
      </c>
      <c r="N454" s="7">
        <f t="shared" si="56"/>
        <v>0</v>
      </c>
      <c r="O454" s="7">
        <f t="shared" si="57"/>
        <v>0</v>
      </c>
    </row>
    <row r="455" spans="3:15" x14ac:dyDescent="0.2">
      <c r="C455">
        <v>436</v>
      </c>
      <c r="D455" s="7">
        <v>2673</v>
      </c>
      <c r="E455" s="7">
        <f t="shared" si="50"/>
        <v>79.934210526315795</v>
      </c>
      <c r="F455" s="7">
        <f t="shared" si="51"/>
        <v>215.85142756039966</v>
      </c>
      <c r="G455" s="7">
        <v>0</v>
      </c>
      <c r="H455" s="7">
        <f t="shared" si="52"/>
        <v>0</v>
      </c>
      <c r="I455" s="7">
        <f t="shared" si="53"/>
        <v>0</v>
      </c>
      <c r="J455" s="7">
        <v>0</v>
      </c>
      <c r="K455" s="7">
        <f t="shared" si="54"/>
        <v>0</v>
      </c>
      <c r="L455" s="7">
        <f t="shared" si="55"/>
        <v>0</v>
      </c>
      <c r="M455" s="7">
        <v>0</v>
      </c>
      <c r="N455" s="7">
        <f t="shared" si="56"/>
        <v>0</v>
      </c>
      <c r="O455" s="7">
        <f t="shared" si="57"/>
        <v>0</v>
      </c>
    </row>
    <row r="456" spans="3:15" x14ac:dyDescent="0.2">
      <c r="C456">
        <v>437</v>
      </c>
      <c r="D456" s="7">
        <v>2943</v>
      </c>
      <c r="E456" s="7">
        <f t="shared" si="50"/>
        <v>88.008373205741634</v>
      </c>
      <c r="F456" s="7">
        <f t="shared" si="51"/>
        <v>237.65460206145011</v>
      </c>
      <c r="G456" s="7">
        <v>0</v>
      </c>
      <c r="H456" s="7">
        <f t="shared" si="52"/>
        <v>0</v>
      </c>
      <c r="I456" s="7">
        <f t="shared" si="53"/>
        <v>0</v>
      </c>
      <c r="J456" s="7">
        <v>0</v>
      </c>
      <c r="K456" s="7">
        <f t="shared" si="54"/>
        <v>0</v>
      </c>
      <c r="L456" s="7">
        <f t="shared" si="55"/>
        <v>0</v>
      </c>
      <c r="M456" s="7">
        <v>0</v>
      </c>
      <c r="N456" s="7">
        <f t="shared" si="56"/>
        <v>0</v>
      </c>
      <c r="O456" s="7">
        <f t="shared" si="57"/>
        <v>0</v>
      </c>
    </row>
    <row r="457" spans="3:15" x14ac:dyDescent="0.2">
      <c r="C457">
        <v>438</v>
      </c>
      <c r="D457" s="7">
        <v>3131.9999999999995</v>
      </c>
      <c r="E457" s="7">
        <f t="shared" si="50"/>
        <v>93.660287081339703</v>
      </c>
      <c r="F457" s="7">
        <f t="shared" si="51"/>
        <v>252.91682421218542</v>
      </c>
      <c r="G457" s="7">
        <v>0</v>
      </c>
      <c r="H457" s="7">
        <f t="shared" si="52"/>
        <v>0</v>
      </c>
      <c r="I457" s="7">
        <f t="shared" si="53"/>
        <v>0</v>
      </c>
      <c r="J457" s="7">
        <v>0</v>
      </c>
      <c r="K457" s="7">
        <f t="shared" si="54"/>
        <v>0</v>
      </c>
      <c r="L457" s="7">
        <f t="shared" si="55"/>
        <v>0</v>
      </c>
      <c r="M457" s="7">
        <v>0</v>
      </c>
      <c r="N457" s="7">
        <f t="shared" si="56"/>
        <v>0</v>
      </c>
      <c r="O457" s="7">
        <f t="shared" si="57"/>
        <v>0</v>
      </c>
    </row>
    <row r="458" spans="3:15" x14ac:dyDescent="0.2">
      <c r="C458">
        <v>439</v>
      </c>
      <c r="D458" s="7">
        <v>3321</v>
      </c>
      <c r="E458" s="7">
        <f t="shared" si="50"/>
        <v>99.312200956937801</v>
      </c>
      <c r="F458" s="7">
        <f t="shared" si="51"/>
        <v>268.17904636292076</v>
      </c>
      <c r="G458" s="7">
        <v>6147.0728450617917</v>
      </c>
      <c r="H458" s="7">
        <f t="shared" si="52"/>
        <v>147.05915897277015</v>
      </c>
      <c r="I458" s="7">
        <f t="shared" si="53"/>
        <v>319.57451172725399</v>
      </c>
      <c r="J458" s="7">
        <v>0</v>
      </c>
      <c r="K458" s="7">
        <f t="shared" si="54"/>
        <v>0</v>
      </c>
      <c r="L458" s="7">
        <f t="shared" si="55"/>
        <v>0</v>
      </c>
      <c r="M458" s="7">
        <v>1175.3894907240579</v>
      </c>
      <c r="N458" s="7">
        <f t="shared" si="56"/>
        <v>93.731219355985488</v>
      </c>
      <c r="O458" s="7">
        <f t="shared" si="57"/>
        <v>35.48054561484652</v>
      </c>
    </row>
    <row r="459" spans="3:15" x14ac:dyDescent="0.2">
      <c r="C459">
        <v>440</v>
      </c>
      <c r="D459" s="7">
        <v>3510</v>
      </c>
      <c r="E459" s="7">
        <f t="shared" si="50"/>
        <v>104.9641148325359</v>
      </c>
      <c r="F459" s="7">
        <f t="shared" si="51"/>
        <v>283.4412685136561</v>
      </c>
      <c r="G459" s="7">
        <v>6148.7153605799931</v>
      </c>
      <c r="H459" s="7">
        <f t="shared" si="52"/>
        <v>147.0984536023922</v>
      </c>
      <c r="I459" s="7">
        <f t="shared" si="53"/>
        <v>319.65990295458516</v>
      </c>
      <c r="J459" s="7">
        <v>0</v>
      </c>
      <c r="K459" s="7">
        <f t="shared" si="54"/>
        <v>0</v>
      </c>
      <c r="L459" s="7">
        <f t="shared" si="55"/>
        <v>0</v>
      </c>
      <c r="M459" s="7">
        <v>1173.746975205856</v>
      </c>
      <c r="N459" s="7">
        <f t="shared" si="56"/>
        <v>93.600237257245297</v>
      </c>
      <c r="O459" s="7">
        <f t="shared" si="57"/>
        <v>35.430964308201723</v>
      </c>
    </row>
    <row r="460" spans="3:15" x14ac:dyDescent="0.2">
      <c r="C460">
        <v>441</v>
      </c>
      <c r="D460" s="7">
        <v>3699</v>
      </c>
      <c r="E460" s="7">
        <f t="shared" si="50"/>
        <v>110.61602870813398</v>
      </c>
      <c r="F460" s="7">
        <f t="shared" si="51"/>
        <v>298.70349066439144</v>
      </c>
      <c r="G460" s="7">
        <v>6150.4008822729847</v>
      </c>
      <c r="H460" s="7">
        <f t="shared" si="52"/>
        <v>147.13877708787047</v>
      </c>
      <c r="I460" s="7">
        <f t="shared" si="53"/>
        <v>319.74752999035002</v>
      </c>
      <c r="J460" s="7">
        <v>0</v>
      </c>
      <c r="K460" s="7">
        <f t="shared" si="54"/>
        <v>0</v>
      </c>
      <c r="L460" s="7">
        <f t="shared" si="55"/>
        <v>0</v>
      </c>
      <c r="M460" s="7">
        <v>1172.0614535128639</v>
      </c>
      <c r="N460" s="7">
        <f t="shared" si="56"/>
        <v>93.46582563898437</v>
      </c>
      <c r="O460" s="7">
        <f t="shared" si="57"/>
        <v>35.380084808440181</v>
      </c>
    </row>
    <row r="461" spans="3:15" x14ac:dyDescent="0.2">
      <c r="C461">
        <v>442</v>
      </c>
      <c r="D461" s="7">
        <v>3751.7524224692338</v>
      </c>
      <c r="E461" s="7">
        <f t="shared" si="50"/>
        <v>112.19355330350581</v>
      </c>
      <c r="F461" s="7">
        <f t="shared" si="51"/>
        <v>302.96338056235379</v>
      </c>
      <c r="G461" s="7">
        <v>6152.0608765884699</v>
      </c>
      <c r="H461" s="7">
        <f t="shared" si="52"/>
        <v>147.17848987053756</v>
      </c>
      <c r="I461" s="7">
        <f t="shared" si="53"/>
        <v>319.83382990678376</v>
      </c>
      <c r="J461" s="7">
        <v>136.24757753076574</v>
      </c>
      <c r="K461" s="7">
        <f t="shared" si="54"/>
        <v>2.1730076161206657</v>
      </c>
      <c r="L461" s="7">
        <f t="shared" si="55"/>
        <v>8.1792258431685472</v>
      </c>
      <c r="M461" s="7">
        <v>1170.4014591973792</v>
      </c>
      <c r="N461" s="7">
        <f t="shared" si="56"/>
        <v>93.333449696760709</v>
      </c>
      <c r="O461" s="7">
        <f t="shared" si="57"/>
        <v>35.329975883274741</v>
      </c>
    </row>
    <row r="462" spans="3:15" x14ac:dyDescent="0.2">
      <c r="C462">
        <v>443</v>
      </c>
      <c r="D462" s="7">
        <v>3757.3109078602756</v>
      </c>
      <c r="E462" s="7">
        <f t="shared" si="50"/>
        <v>112.35977595275945</v>
      </c>
      <c r="F462" s="7">
        <f t="shared" si="51"/>
        <v>303.41224214362205</v>
      </c>
      <c r="G462" s="7">
        <v>6153.5243072714484</v>
      </c>
      <c r="H462" s="7">
        <f t="shared" si="52"/>
        <v>147.2135001739581</v>
      </c>
      <c r="I462" s="7">
        <f t="shared" si="53"/>
        <v>319.90991085746504</v>
      </c>
      <c r="J462" s="7">
        <v>319.68909213972393</v>
      </c>
      <c r="K462" s="7">
        <f t="shared" si="54"/>
        <v>5.0987096035043695</v>
      </c>
      <c r="L462" s="7">
        <f t="shared" si="55"/>
        <v>19.191602020357955</v>
      </c>
      <c r="M462" s="7">
        <v>1168.9380285144005</v>
      </c>
      <c r="N462" s="7">
        <f t="shared" si="56"/>
        <v>93.216748685358894</v>
      </c>
      <c r="O462" s="7">
        <f t="shared" si="57"/>
        <v>35.285800467796413</v>
      </c>
    </row>
    <row r="463" spans="3:15" x14ac:dyDescent="0.2">
      <c r="C463">
        <v>444</v>
      </c>
      <c r="D463" s="7">
        <v>3762.8446154655608</v>
      </c>
      <c r="E463" s="7">
        <f t="shared" si="50"/>
        <v>112.52525763952036</v>
      </c>
      <c r="F463" s="7">
        <f t="shared" si="51"/>
        <v>303.85910285679176</v>
      </c>
      <c r="G463" s="7">
        <v>6154.7830995665499</v>
      </c>
      <c r="H463" s="7">
        <f t="shared" si="52"/>
        <v>147.24361482216628</v>
      </c>
      <c r="I463" s="7">
        <f t="shared" si="53"/>
        <v>319.97535305136984</v>
      </c>
      <c r="J463" s="7">
        <v>503.15538453443924</v>
      </c>
      <c r="K463" s="7">
        <f t="shared" si="54"/>
        <v>8.024806770884199</v>
      </c>
      <c r="L463" s="7">
        <f t="shared" si="55"/>
        <v>30.205465659631273</v>
      </c>
      <c r="M463" s="7">
        <v>1167.6792362192991</v>
      </c>
      <c r="N463" s="7">
        <f t="shared" si="56"/>
        <v>93.116366524665011</v>
      </c>
      <c r="O463" s="7">
        <f t="shared" si="57"/>
        <v>35.247802308208946</v>
      </c>
    </row>
    <row r="464" spans="3:15" x14ac:dyDescent="0.2">
      <c r="C464">
        <v>445</v>
      </c>
      <c r="D464" s="7">
        <v>3768.3531647082123</v>
      </c>
      <c r="E464" s="7">
        <f t="shared" si="50"/>
        <v>112.68998698290109</v>
      </c>
      <c r="F464" s="7">
        <f t="shared" si="51"/>
        <v>304.30393196932937</v>
      </c>
      <c r="G464" s="7">
        <v>6155.837413016623</v>
      </c>
      <c r="H464" s="7">
        <f t="shared" si="52"/>
        <v>147.26883763197662</v>
      </c>
      <c r="I464" s="7">
        <f t="shared" si="53"/>
        <v>320.03016478282427</v>
      </c>
      <c r="J464" s="7">
        <v>686.64683529178774</v>
      </c>
      <c r="K464" s="7">
        <f t="shared" si="54"/>
        <v>10.95130518806679</v>
      </c>
      <c r="L464" s="7">
        <f t="shared" si="55"/>
        <v>41.220839607810987</v>
      </c>
      <c r="M464" s="7">
        <v>1166.624922769226</v>
      </c>
      <c r="N464" s="7">
        <f t="shared" si="56"/>
        <v>93.032290491963806</v>
      </c>
      <c r="O464" s="7">
        <f t="shared" si="57"/>
        <v>35.215976588519538</v>
      </c>
    </row>
    <row r="465" spans="3:15" x14ac:dyDescent="0.2">
      <c r="C465">
        <v>446</v>
      </c>
      <c r="D465" s="7">
        <v>3773.8363157217655</v>
      </c>
      <c r="E465" s="7">
        <f t="shared" si="50"/>
        <v>112.85395680986142</v>
      </c>
      <c r="F465" s="7">
        <f t="shared" si="51"/>
        <v>304.74671011141868</v>
      </c>
      <c r="G465" s="7">
        <v>6156.872184415929</v>
      </c>
      <c r="H465" s="7">
        <f t="shared" si="52"/>
        <v>147.29359292861076</v>
      </c>
      <c r="I465" s="7">
        <f t="shared" si="53"/>
        <v>320.08396056058996</v>
      </c>
      <c r="J465" s="7">
        <v>596.30654142109142</v>
      </c>
      <c r="K465" s="7">
        <f t="shared" si="54"/>
        <v>9.5104711550413317</v>
      </c>
      <c r="L465" s="7">
        <f t="shared" si="55"/>
        <v>35.797523614249286</v>
      </c>
      <c r="M465" s="7">
        <v>1165.5901513699198</v>
      </c>
      <c r="N465" s="7">
        <f t="shared" si="56"/>
        <v>92.949772836516743</v>
      </c>
      <c r="O465" s="7">
        <f t="shared" si="57"/>
        <v>35.184740769139012</v>
      </c>
    </row>
    <row r="466" spans="3:15" x14ac:dyDescent="0.2">
      <c r="C466">
        <v>447</v>
      </c>
      <c r="D466" s="7">
        <v>3779.2943829636092</v>
      </c>
      <c r="E466" s="7">
        <f t="shared" si="50"/>
        <v>113.01717652403138</v>
      </c>
      <c r="F466" s="7">
        <f t="shared" si="51"/>
        <v>305.18746267627938</v>
      </c>
      <c r="G466" s="7">
        <v>6158.0719806885909</v>
      </c>
      <c r="H466" s="7">
        <f t="shared" si="52"/>
        <v>147.32229618872228</v>
      </c>
      <c r="I466" s="7">
        <f t="shared" si="53"/>
        <v>320.14633566459025</v>
      </c>
      <c r="J466" s="7">
        <v>505.99133132210545</v>
      </c>
      <c r="K466" s="7">
        <f t="shared" si="54"/>
        <v>8.0700371821707417</v>
      </c>
      <c r="L466" s="7">
        <f t="shared" si="55"/>
        <v>30.375713451745536</v>
      </c>
      <c r="M466" s="7">
        <v>1164.3903550972582</v>
      </c>
      <c r="N466" s="7">
        <f t="shared" si="56"/>
        <v>92.854095302811658</v>
      </c>
      <c r="O466" s="7">
        <f t="shared" si="57"/>
        <v>35.148523475453267</v>
      </c>
    </row>
    <row r="467" spans="3:15" x14ac:dyDescent="0.2">
      <c r="C467">
        <v>448</v>
      </c>
      <c r="D467" s="7">
        <v>3784.7278169577667</v>
      </c>
      <c r="E467" s="7">
        <f t="shared" si="50"/>
        <v>113.17965959801934</v>
      </c>
      <c r="F467" s="7">
        <f t="shared" si="51"/>
        <v>305.62622604485182</v>
      </c>
      <c r="G467" s="7">
        <v>6159.4364096169274</v>
      </c>
      <c r="H467" s="7">
        <f t="shared" si="52"/>
        <v>147.3549380291131</v>
      </c>
      <c r="I467" s="7">
        <f t="shared" si="53"/>
        <v>320.21726970418115</v>
      </c>
      <c r="J467" s="7">
        <v>415.7007544708049</v>
      </c>
      <c r="K467" s="7">
        <f t="shared" si="54"/>
        <v>6.6299960840638743</v>
      </c>
      <c r="L467" s="7">
        <f t="shared" si="55"/>
        <v>24.95538207440422</v>
      </c>
      <c r="M467" s="7">
        <v>1163.0259261689218</v>
      </c>
      <c r="N467" s="7">
        <f t="shared" si="56"/>
        <v>92.745289168175589</v>
      </c>
      <c r="O467" s="7">
        <f t="shared" si="57"/>
        <v>35.107336547024772</v>
      </c>
    </row>
    <row r="468" spans="3:15" x14ac:dyDescent="0.2">
      <c r="C468">
        <v>449</v>
      </c>
      <c r="D468" s="7">
        <v>3790.1370654222992</v>
      </c>
      <c r="E468" s="7">
        <f t="shared" si="50"/>
        <v>113.34141942052331</v>
      </c>
      <c r="F468" s="7">
        <f t="shared" si="51"/>
        <v>306.0630363714879</v>
      </c>
      <c r="G468" s="7">
        <v>6160.9650651017</v>
      </c>
      <c r="H468" s="7">
        <f t="shared" si="52"/>
        <v>147.39150873449043</v>
      </c>
      <c r="I468" s="7">
        <f t="shared" si="53"/>
        <v>320.29674156704317</v>
      </c>
      <c r="J468" s="7">
        <v>325.43436314912924</v>
      </c>
      <c r="K468" s="7">
        <f t="shared" si="54"/>
        <v>5.1903407200818066</v>
      </c>
      <c r="L468" s="7">
        <f t="shared" si="55"/>
        <v>19.536502604777695</v>
      </c>
      <c r="M468" s="7">
        <v>1161.4972706841495</v>
      </c>
      <c r="N468" s="7">
        <f t="shared" si="56"/>
        <v>92.623386816917829</v>
      </c>
      <c r="O468" s="7">
        <f t="shared" si="57"/>
        <v>35.06119224244754</v>
      </c>
    </row>
    <row r="469" spans="3:15" x14ac:dyDescent="0.2">
      <c r="C469">
        <v>450</v>
      </c>
      <c r="D469" s="7">
        <v>3795.5225732482331</v>
      </c>
      <c r="E469" s="7">
        <f t="shared" ref="E469:E532" si="58">D469/($C$3*($D$8-$D$6))</f>
        <v>113.50246929570076</v>
      </c>
      <c r="F469" s="7">
        <f t="shared" ref="F469:F532" si="59">E469*$C$3*((($D$8)-($D$6))-$C$2*LN(($D$8)/($D$6)))</f>
        <v>306.49792958224941</v>
      </c>
      <c r="G469" s="7">
        <v>6162.6575272164355</v>
      </c>
      <c r="H469" s="7">
        <f t="shared" ref="H469:H532" si="60">G469/($C$3*($D$6-$D$9))</f>
        <v>147.43199825876641</v>
      </c>
      <c r="I469" s="7">
        <f t="shared" ref="I469:I532" si="61">ABS(H469*$C$3*(($D$9-$D$6)-$C$2*(LN($D$9/$D$6))))</f>
        <v>320.38472942200536</v>
      </c>
      <c r="J469" s="7">
        <v>235.19171246605265</v>
      </c>
      <c r="K469" s="7">
        <f t="shared" ref="K469:K532" si="62">J469/($C$3*($D$10-$D$7))</f>
        <v>3.7510639946738862</v>
      </c>
      <c r="L469" s="7">
        <f t="shared" ref="L469:L532" si="63">K469*$C$3*(($D$10-$D$7)-$C$2*LN($D$10/$D$7))</f>
        <v>14.119048335131104</v>
      </c>
      <c r="M469" s="7">
        <v>1159.8048085694136</v>
      </c>
      <c r="N469" s="7">
        <f t="shared" ref="N469:N532" si="64">M469/($C$3*($D$7-$D$11))</f>
        <v>92.488421735997903</v>
      </c>
      <c r="O469" s="7">
        <f t="shared" ref="O469:O532" si="65">ABS(N469*$C$3*(($D$11-$D$7)-$C$2*LN($D$11/$D$7)))</f>
        <v>35.010103237707256</v>
      </c>
    </row>
    <row r="470" spans="3:15" x14ac:dyDescent="0.2">
      <c r="C470">
        <v>451</v>
      </c>
      <c r="D470" s="7">
        <v>3800.8847824787345</v>
      </c>
      <c r="E470" s="7">
        <f t="shared" si="58"/>
        <v>113.66282244254589</v>
      </c>
      <c r="F470" s="7">
        <f t="shared" si="59"/>
        <v>306.93094137322629</v>
      </c>
      <c r="G470" s="7">
        <v>6164.5133622629101</v>
      </c>
      <c r="H470" s="7">
        <f t="shared" si="60"/>
        <v>147.47639622638542</v>
      </c>
      <c r="I470" s="7">
        <f t="shared" si="61"/>
        <v>320.48121072193004</v>
      </c>
      <c r="J470" s="7">
        <v>144.97236037840912</v>
      </c>
      <c r="K470" s="7">
        <f t="shared" si="62"/>
        <v>2.3121588577098744</v>
      </c>
      <c r="L470" s="7">
        <f t="shared" si="63"/>
        <v>8.7029927286925428</v>
      </c>
      <c r="M470" s="7">
        <v>1157.948973522939</v>
      </c>
      <c r="N470" s="7">
        <f t="shared" si="64"/>
        <v>92.3404285106012</v>
      </c>
      <c r="O470" s="7">
        <f t="shared" si="65"/>
        <v>34.954082624506505</v>
      </c>
    </row>
    <row r="471" spans="3:15" x14ac:dyDescent="0.2">
      <c r="C471">
        <v>452</v>
      </c>
      <c r="D471" s="7">
        <v>3806.2241322885193</v>
      </c>
      <c r="E471" s="7">
        <f t="shared" si="58"/>
        <v>113.8224919942739</v>
      </c>
      <c r="F471" s="7">
        <f t="shared" si="59"/>
        <v>307.36210720887402</v>
      </c>
      <c r="G471" s="7">
        <v>6166.5321228277699</v>
      </c>
      <c r="H471" s="7">
        <f t="shared" si="60"/>
        <v>147.52469193367872</v>
      </c>
      <c r="I471" s="7">
        <f t="shared" si="61"/>
        <v>320.5861622066563</v>
      </c>
      <c r="J471" s="7">
        <v>54.775867711480714</v>
      </c>
      <c r="K471" s="7">
        <f t="shared" si="62"/>
        <v>0.87361830480830494</v>
      </c>
      <c r="L471" s="7">
        <f t="shared" si="63"/>
        <v>3.288309420889024</v>
      </c>
      <c r="M471" s="7">
        <v>1155.9302129580794</v>
      </c>
      <c r="N471" s="7">
        <f t="shared" si="64"/>
        <v>92.17944281962356</v>
      </c>
      <c r="O471" s="7">
        <f t="shared" si="65"/>
        <v>34.893143908555565</v>
      </c>
    </row>
    <row r="472" spans="3:15" x14ac:dyDescent="0.2">
      <c r="C472">
        <v>453</v>
      </c>
      <c r="D472" s="7">
        <v>3811.5408659439586</v>
      </c>
      <c r="E472" s="7">
        <f t="shared" si="58"/>
        <v>113.98148522559686</v>
      </c>
      <c r="F472" s="7">
        <f t="shared" si="59"/>
        <v>307.79144673355978</v>
      </c>
      <c r="G472" s="7">
        <v>6168.45572575187</v>
      </c>
      <c r="H472" s="7">
        <f t="shared" si="60"/>
        <v>147.57071114238926</v>
      </c>
      <c r="I472" s="7">
        <f t="shared" si="61"/>
        <v>320.68616662839014</v>
      </c>
      <c r="J472" s="7">
        <v>346.45913405604142</v>
      </c>
      <c r="K472" s="7">
        <f t="shared" si="62"/>
        <v>5.5256640200325586</v>
      </c>
      <c r="L472" s="7">
        <f t="shared" si="63"/>
        <v>20.798663390790075</v>
      </c>
      <c r="M472" s="7">
        <v>1154.0066100339786</v>
      </c>
      <c r="N472" s="7">
        <f t="shared" si="64"/>
        <v>92.02604545725508</v>
      </c>
      <c r="O472" s="7">
        <f t="shared" si="65"/>
        <v>34.835077640452923</v>
      </c>
    </row>
    <row r="473" spans="3:15" x14ac:dyDescent="0.2">
      <c r="C473">
        <v>454</v>
      </c>
      <c r="D473" s="7">
        <v>3712.4999999999995</v>
      </c>
      <c r="E473" s="7">
        <f t="shared" si="58"/>
        <v>111.01973684210526</v>
      </c>
      <c r="F473" s="7">
        <f t="shared" si="59"/>
        <v>299.79364938944394</v>
      </c>
      <c r="G473" s="7">
        <v>6170.5112442446425</v>
      </c>
      <c r="H473" s="7">
        <f t="shared" si="60"/>
        <v>147.61988622594839</v>
      </c>
      <c r="I473" s="7">
        <f t="shared" si="61"/>
        <v>320.79302908719467</v>
      </c>
      <c r="J473" s="7">
        <v>0</v>
      </c>
      <c r="K473" s="7">
        <f t="shared" si="62"/>
        <v>0</v>
      </c>
      <c r="L473" s="7">
        <f t="shared" si="63"/>
        <v>0</v>
      </c>
      <c r="M473" s="7">
        <v>1151.9510915412066</v>
      </c>
      <c r="N473" s="7">
        <f t="shared" si="64"/>
        <v>91.86212851205795</v>
      </c>
      <c r="O473" s="7">
        <f t="shared" si="65"/>
        <v>34.773029342233045</v>
      </c>
    </row>
    <row r="474" spans="3:15" x14ac:dyDescent="0.2">
      <c r="C474">
        <v>455</v>
      </c>
      <c r="D474" s="7">
        <v>3267</v>
      </c>
      <c r="E474" s="7">
        <f t="shared" si="58"/>
        <v>97.697368421052644</v>
      </c>
      <c r="F474" s="7">
        <f t="shared" si="59"/>
        <v>263.81841146271069</v>
      </c>
      <c r="G474" s="7">
        <v>0</v>
      </c>
      <c r="H474" s="7">
        <f t="shared" si="60"/>
        <v>0</v>
      </c>
      <c r="I474" s="7">
        <f t="shared" si="61"/>
        <v>0</v>
      </c>
      <c r="J474" s="7">
        <v>0</v>
      </c>
      <c r="K474" s="7">
        <f t="shared" si="62"/>
        <v>0</v>
      </c>
      <c r="L474" s="7">
        <f t="shared" si="63"/>
        <v>0</v>
      </c>
      <c r="M474" s="7">
        <v>0</v>
      </c>
      <c r="N474" s="7">
        <f t="shared" si="64"/>
        <v>0</v>
      </c>
      <c r="O474" s="7">
        <f t="shared" si="65"/>
        <v>0</v>
      </c>
    </row>
    <row r="475" spans="3:15" x14ac:dyDescent="0.2">
      <c r="C475">
        <v>456</v>
      </c>
      <c r="D475" s="7">
        <v>2821.4999999999995</v>
      </c>
      <c r="E475" s="7">
        <f t="shared" si="58"/>
        <v>84.374999999999986</v>
      </c>
      <c r="F475" s="7">
        <f t="shared" si="59"/>
        <v>227.84317353597737</v>
      </c>
      <c r="G475" s="7">
        <v>0</v>
      </c>
      <c r="H475" s="7">
        <f t="shared" si="60"/>
        <v>0</v>
      </c>
      <c r="I475" s="7">
        <f t="shared" si="61"/>
        <v>0</v>
      </c>
      <c r="J475" s="7">
        <v>0</v>
      </c>
      <c r="K475" s="7">
        <f t="shared" si="62"/>
        <v>0</v>
      </c>
      <c r="L475" s="7">
        <f t="shared" si="63"/>
        <v>0</v>
      </c>
      <c r="M475" s="7">
        <v>0</v>
      </c>
      <c r="N475" s="7">
        <f t="shared" si="64"/>
        <v>0</v>
      </c>
      <c r="O475" s="7">
        <f t="shared" si="65"/>
        <v>0</v>
      </c>
    </row>
    <row r="476" spans="3:15" x14ac:dyDescent="0.2">
      <c r="C476">
        <v>457</v>
      </c>
      <c r="D476" s="7">
        <v>2376</v>
      </c>
      <c r="E476" s="7">
        <f t="shared" si="58"/>
        <v>71.05263157894737</v>
      </c>
      <c r="F476" s="7">
        <f t="shared" si="59"/>
        <v>191.86793560924414</v>
      </c>
      <c r="G476" s="7">
        <v>0</v>
      </c>
      <c r="H476" s="7">
        <f t="shared" si="60"/>
        <v>0</v>
      </c>
      <c r="I476" s="7">
        <f t="shared" si="61"/>
        <v>0</v>
      </c>
      <c r="J476" s="7">
        <v>0</v>
      </c>
      <c r="K476" s="7">
        <f t="shared" si="62"/>
        <v>0</v>
      </c>
      <c r="L476" s="7">
        <f t="shared" si="63"/>
        <v>0</v>
      </c>
      <c r="M476" s="7">
        <v>0</v>
      </c>
      <c r="N476" s="7">
        <f t="shared" si="64"/>
        <v>0</v>
      </c>
      <c r="O476" s="7">
        <f t="shared" si="65"/>
        <v>0</v>
      </c>
    </row>
    <row r="477" spans="3:15" x14ac:dyDescent="0.2">
      <c r="C477">
        <v>458</v>
      </c>
      <c r="D477" s="7">
        <v>2376</v>
      </c>
      <c r="E477" s="7">
        <f t="shared" si="58"/>
        <v>71.05263157894737</v>
      </c>
      <c r="F477" s="7">
        <f t="shared" si="59"/>
        <v>191.86793560924414</v>
      </c>
      <c r="G477" s="7">
        <v>0</v>
      </c>
      <c r="H477" s="7">
        <f t="shared" si="60"/>
        <v>0</v>
      </c>
      <c r="I477" s="7">
        <f t="shared" si="61"/>
        <v>0</v>
      </c>
      <c r="J477" s="7">
        <v>0</v>
      </c>
      <c r="K477" s="7">
        <f t="shared" si="62"/>
        <v>0</v>
      </c>
      <c r="L477" s="7">
        <f t="shared" si="63"/>
        <v>0</v>
      </c>
      <c r="M477" s="7">
        <v>0</v>
      </c>
      <c r="N477" s="7">
        <f t="shared" si="64"/>
        <v>0</v>
      </c>
      <c r="O477" s="7">
        <f t="shared" si="65"/>
        <v>0</v>
      </c>
    </row>
    <row r="478" spans="3:15" x14ac:dyDescent="0.2">
      <c r="C478">
        <v>459</v>
      </c>
      <c r="D478" s="7">
        <v>2545.7142857142858</v>
      </c>
      <c r="E478" s="7">
        <f t="shared" si="58"/>
        <v>76.127819548872182</v>
      </c>
      <c r="F478" s="7">
        <f t="shared" si="59"/>
        <v>205.57278815276158</v>
      </c>
      <c r="G478" s="7">
        <v>0</v>
      </c>
      <c r="H478" s="7">
        <f t="shared" si="60"/>
        <v>0</v>
      </c>
      <c r="I478" s="7">
        <f t="shared" si="61"/>
        <v>0</v>
      </c>
      <c r="J478" s="7">
        <v>0</v>
      </c>
      <c r="K478" s="7">
        <f t="shared" si="62"/>
        <v>0</v>
      </c>
      <c r="L478" s="7">
        <f t="shared" si="63"/>
        <v>0</v>
      </c>
      <c r="M478" s="7">
        <v>0</v>
      </c>
      <c r="N478" s="7">
        <f t="shared" si="64"/>
        <v>0</v>
      </c>
      <c r="O478" s="7">
        <f t="shared" si="65"/>
        <v>0</v>
      </c>
    </row>
    <row r="479" spans="3:15" x14ac:dyDescent="0.2">
      <c r="C479">
        <v>460</v>
      </c>
      <c r="D479" s="7">
        <v>2715.4285714285716</v>
      </c>
      <c r="E479" s="7">
        <f t="shared" si="58"/>
        <v>81.203007518797008</v>
      </c>
      <c r="F479" s="7">
        <f t="shared" si="59"/>
        <v>219.27764069627901</v>
      </c>
      <c r="G479" s="7">
        <v>0</v>
      </c>
      <c r="H479" s="7">
        <f t="shared" si="60"/>
        <v>0</v>
      </c>
      <c r="I479" s="7">
        <f t="shared" si="61"/>
        <v>0</v>
      </c>
      <c r="J479" s="7">
        <v>0</v>
      </c>
      <c r="K479" s="7">
        <f t="shared" si="62"/>
        <v>0</v>
      </c>
      <c r="L479" s="7">
        <f t="shared" si="63"/>
        <v>0</v>
      </c>
      <c r="M479" s="7">
        <v>0</v>
      </c>
      <c r="N479" s="7">
        <f t="shared" si="64"/>
        <v>0</v>
      </c>
      <c r="O479" s="7">
        <f t="shared" si="65"/>
        <v>0</v>
      </c>
    </row>
    <row r="480" spans="3:15" x14ac:dyDescent="0.2">
      <c r="C480">
        <v>461</v>
      </c>
      <c r="D480" s="7">
        <v>2885.1428571428573</v>
      </c>
      <c r="E480" s="7">
        <f t="shared" si="58"/>
        <v>86.278195488721821</v>
      </c>
      <c r="F480" s="7">
        <f t="shared" si="59"/>
        <v>232.98249323979647</v>
      </c>
      <c r="G480" s="7">
        <v>0</v>
      </c>
      <c r="H480" s="7">
        <f t="shared" si="60"/>
        <v>0</v>
      </c>
      <c r="I480" s="7">
        <f t="shared" si="61"/>
        <v>0</v>
      </c>
      <c r="J480" s="7">
        <v>0</v>
      </c>
      <c r="K480" s="7">
        <f t="shared" si="62"/>
        <v>0</v>
      </c>
      <c r="L480" s="7">
        <f t="shared" si="63"/>
        <v>0</v>
      </c>
      <c r="M480" s="7">
        <v>0</v>
      </c>
      <c r="N480" s="7">
        <f t="shared" si="64"/>
        <v>0</v>
      </c>
      <c r="O480" s="7">
        <f t="shared" si="65"/>
        <v>0</v>
      </c>
    </row>
    <row r="481" spans="3:15" x14ac:dyDescent="0.2">
      <c r="C481">
        <v>462</v>
      </c>
      <c r="D481" s="7">
        <v>3054.8571428571431</v>
      </c>
      <c r="E481" s="7">
        <f t="shared" si="58"/>
        <v>91.353383458646633</v>
      </c>
      <c r="F481" s="7">
        <f t="shared" si="59"/>
        <v>246.6873457833139</v>
      </c>
      <c r="G481" s="7">
        <v>0</v>
      </c>
      <c r="H481" s="7">
        <f t="shared" si="60"/>
        <v>0</v>
      </c>
      <c r="I481" s="7">
        <f t="shared" si="61"/>
        <v>0</v>
      </c>
      <c r="J481" s="7">
        <v>0</v>
      </c>
      <c r="K481" s="7">
        <f t="shared" si="62"/>
        <v>0</v>
      </c>
      <c r="L481" s="7">
        <f t="shared" si="63"/>
        <v>0</v>
      </c>
      <c r="M481" s="7">
        <v>0</v>
      </c>
      <c r="N481" s="7">
        <f t="shared" si="64"/>
        <v>0</v>
      </c>
      <c r="O481" s="7">
        <f t="shared" si="65"/>
        <v>0</v>
      </c>
    </row>
    <row r="482" spans="3:15" x14ac:dyDescent="0.2">
      <c r="C482">
        <v>463</v>
      </c>
      <c r="D482" s="7">
        <v>3224.5714285714284</v>
      </c>
      <c r="E482" s="7">
        <f t="shared" si="58"/>
        <v>96.428571428571431</v>
      </c>
      <c r="F482" s="7">
        <f t="shared" si="59"/>
        <v>260.39219832683131</v>
      </c>
      <c r="G482" s="7">
        <v>6181.4071326297299</v>
      </c>
      <c r="H482" s="7">
        <f t="shared" si="60"/>
        <v>147.8805534121945</v>
      </c>
      <c r="I482" s="7">
        <f t="shared" si="61"/>
        <v>321.35948539872129</v>
      </c>
      <c r="J482" s="7">
        <v>0</v>
      </c>
      <c r="K482" s="7">
        <f t="shared" si="62"/>
        <v>0</v>
      </c>
      <c r="L482" s="7">
        <f t="shared" si="63"/>
        <v>0</v>
      </c>
      <c r="M482" s="7">
        <v>1141.055203156119</v>
      </c>
      <c r="N482" s="7">
        <f t="shared" si="64"/>
        <v>90.99323789123757</v>
      </c>
      <c r="O482" s="7">
        <f t="shared" si="65"/>
        <v>34.444123845023576</v>
      </c>
    </row>
    <row r="483" spans="3:15" x14ac:dyDescent="0.2">
      <c r="C483">
        <v>464</v>
      </c>
      <c r="D483" s="7">
        <v>3394.2857142857147</v>
      </c>
      <c r="E483" s="7">
        <f t="shared" si="58"/>
        <v>101.50375939849626</v>
      </c>
      <c r="F483" s="7">
        <f t="shared" si="59"/>
        <v>274.09705087034877</v>
      </c>
      <c r="G483" s="7">
        <v>6184.0527626795702</v>
      </c>
      <c r="H483" s="7">
        <f t="shared" si="60"/>
        <v>147.9438459971189</v>
      </c>
      <c r="I483" s="7">
        <f t="shared" si="61"/>
        <v>321.49702662406531</v>
      </c>
      <c r="J483" s="7">
        <v>0</v>
      </c>
      <c r="K483" s="7">
        <f t="shared" si="62"/>
        <v>0</v>
      </c>
      <c r="L483" s="7">
        <f t="shared" si="63"/>
        <v>0</v>
      </c>
      <c r="M483" s="7">
        <v>1138.4095731062794</v>
      </c>
      <c r="N483" s="7">
        <f t="shared" si="64"/>
        <v>90.782262608156259</v>
      </c>
      <c r="O483" s="7">
        <f t="shared" si="65"/>
        <v>34.364262319627841</v>
      </c>
    </row>
    <row r="484" spans="3:15" x14ac:dyDescent="0.2">
      <c r="C484">
        <v>465</v>
      </c>
      <c r="D484" s="7">
        <v>3564</v>
      </c>
      <c r="E484" s="7">
        <f t="shared" si="58"/>
        <v>106.57894736842105</v>
      </c>
      <c r="F484" s="7">
        <f t="shared" si="59"/>
        <v>287.80190341386617</v>
      </c>
      <c r="G484" s="7">
        <v>0</v>
      </c>
      <c r="H484" s="7">
        <f t="shared" si="60"/>
        <v>0</v>
      </c>
      <c r="I484" s="7">
        <f t="shared" si="61"/>
        <v>0</v>
      </c>
      <c r="J484" s="7">
        <v>0</v>
      </c>
      <c r="K484" s="7">
        <f t="shared" si="62"/>
        <v>0</v>
      </c>
      <c r="L484" s="7">
        <f t="shared" si="63"/>
        <v>0</v>
      </c>
      <c r="M484" s="7">
        <v>0</v>
      </c>
      <c r="N484" s="7">
        <f t="shared" si="64"/>
        <v>0</v>
      </c>
      <c r="O484" s="7">
        <f t="shared" si="65"/>
        <v>0</v>
      </c>
    </row>
    <row r="485" spans="3:15" x14ac:dyDescent="0.2">
      <c r="C485">
        <v>466</v>
      </c>
      <c r="D485" s="7">
        <v>3733.7142857142858</v>
      </c>
      <c r="E485" s="7">
        <f t="shared" si="58"/>
        <v>111.65413533834588</v>
      </c>
      <c r="F485" s="7">
        <f t="shared" si="59"/>
        <v>301.50675595738369</v>
      </c>
      <c r="G485" s="7">
        <v>0</v>
      </c>
      <c r="H485" s="7">
        <f t="shared" si="60"/>
        <v>0</v>
      </c>
      <c r="I485" s="7">
        <f t="shared" si="61"/>
        <v>0</v>
      </c>
      <c r="J485" s="7">
        <v>0</v>
      </c>
      <c r="K485" s="7">
        <f t="shared" si="62"/>
        <v>0</v>
      </c>
      <c r="L485" s="7">
        <f t="shared" si="63"/>
        <v>0</v>
      </c>
      <c r="M485" s="7">
        <v>0</v>
      </c>
      <c r="N485" s="7">
        <f t="shared" si="64"/>
        <v>0</v>
      </c>
      <c r="O485" s="7">
        <f t="shared" si="65"/>
        <v>0</v>
      </c>
    </row>
    <row r="486" spans="3:15" x14ac:dyDescent="0.2">
      <c r="C486">
        <v>467</v>
      </c>
      <c r="D486" s="7">
        <v>3759.1954373665603</v>
      </c>
      <c r="E486" s="7">
        <f t="shared" si="58"/>
        <v>112.41613150019619</v>
      </c>
      <c r="F486" s="7">
        <f t="shared" si="59"/>
        <v>303.56442260909574</v>
      </c>
      <c r="G486" s="7">
        <v>0</v>
      </c>
      <c r="H486" s="7">
        <f t="shared" si="60"/>
        <v>0</v>
      </c>
      <c r="I486" s="7">
        <f t="shared" si="61"/>
        <v>0</v>
      </c>
      <c r="J486" s="7">
        <v>144.23313406201169</v>
      </c>
      <c r="K486" s="7">
        <f t="shared" si="62"/>
        <v>2.3003689643064065</v>
      </c>
      <c r="L486" s="7">
        <f t="shared" si="63"/>
        <v>8.658615433326224</v>
      </c>
      <c r="M486" s="7">
        <v>0</v>
      </c>
      <c r="N486" s="7">
        <f t="shared" si="64"/>
        <v>0</v>
      </c>
      <c r="O486" s="7">
        <f t="shared" si="65"/>
        <v>0</v>
      </c>
    </row>
    <row r="487" spans="3:15" x14ac:dyDescent="0.2">
      <c r="C487">
        <v>468</v>
      </c>
      <c r="D487" s="7">
        <v>3749.9620417512133</v>
      </c>
      <c r="E487" s="7">
        <f t="shared" si="58"/>
        <v>112.14001321026356</v>
      </c>
      <c r="F487" s="7">
        <f t="shared" si="59"/>
        <v>302.81880284673042</v>
      </c>
      <c r="G487" s="7">
        <v>0</v>
      </c>
      <c r="H487" s="7">
        <f t="shared" si="60"/>
        <v>0</v>
      </c>
      <c r="I487" s="7">
        <f t="shared" si="61"/>
        <v>0</v>
      </c>
      <c r="J487" s="7">
        <v>323.1808153916445</v>
      </c>
      <c r="K487" s="7">
        <f t="shared" si="62"/>
        <v>5.1543989695637089</v>
      </c>
      <c r="L487" s="7">
        <f t="shared" si="63"/>
        <v>19.401217439412672</v>
      </c>
      <c r="M487" s="7">
        <v>0</v>
      </c>
      <c r="N487" s="7">
        <f t="shared" si="64"/>
        <v>0</v>
      </c>
      <c r="O487" s="7">
        <f t="shared" si="65"/>
        <v>0</v>
      </c>
    </row>
    <row r="488" spans="3:15" x14ac:dyDescent="0.2">
      <c r="C488">
        <v>469</v>
      </c>
      <c r="D488" s="7">
        <v>3740.7663005766558</v>
      </c>
      <c r="E488" s="7">
        <f t="shared" si="58"/>
        <v>111.86502095025885</v>
      </c>
      <c r="F488" s="7">
        <f t="shared" si="59"/>
        <v>302.07622377452532</v>
      </c>
      <c r="G488" s="7">
        <v>0</v>
      </c>
      <c r="H488" s="7">
        <f t="shared" si="60"/>
        <v>0</v>
      </c>
      <c r="I488" s="7">
        <f t="shared" si="61"/>
        <v>0</v>
      </c>
      <c r="J488" s="7">
        <v>417.23369942334421</v>
      </c>
      <c r="K488" s="7">
        <f t="shared" si="62"/>
        <v>6.6544449668794936</v>
      </c>
      <c r="L488" s="7">
        <f t="shared" si="63"/>
        <v>25.047407952582738</v>
      </c>
      <c r="M488" s="7">
        <v>0</v>
      </c>
      <c r="N488" s="7">
        <f t="shared" si="64"/>
        <v>0</v>
      </c>
      <c r="O488" s="7">
        <f t="shared" si="65"/>
        <v>0</v>
      </c>
    </row>
    <row r="489" spans="3:15" x14ac:dyDescent="0.2">
      <c r="C489">
        <v>470</v>
      </c>
      <c r="D489" s="7">
        <v>3731.6080993239261</v>
      </c>
      <c r="E489" s="7">
        <f t="shared" si="58"/>
        <v>111.59115129557196</v>
      </c>
      <c r="F489" s="7">
        <f t="shared" si="59"/>
        <v>301.33667614478827</v>
      </c>
      <c r="G489" s="7">
        <v>0</v>
      </c>
      <c r="H489" s="7">
        <f t="shared" si="60"/>
        <v>0</v>
      </c>
      <c r="I489" s="7">
        <f t="shared" si="61"/>
        <v>0</v>
      </c>
      <c r="J489" s="7">
        <v>426.39190067607387</v>
      </c>
      <c r="K489" s="7">
        <f t="shared" si="62"/>
        <v>6.8005087827125026</v>
      </c>
      <c r="L489" s="7">
        <f t="shared" si="63"/>
        <v>25.597193847648288</v>
      </c>
      <c r="M489" s="7">
        <v>0</v>
      </c>
      <c r="N489" s="7">
        <f t="shared" si="64"/>
        <v>0</v>
      </c>
      <c r="O489" s="7">
        <f t="shared" si="65"/>
        <v>0</v>
      </c>
    </row>
    <row r="490" spans="3:15" x14ac:dyDescent="0.2">
      <c r="C490">
        <v>471</v>
      </c>
      <c r="D490" s="7">
        <v>3723.281207240525</v>
      </c>
      <c r="E490" s="7">
        <f t="shared" si="58"/>
        <v>111.34214136484825</v>
      </c>
      <c r="F490" s="7">
        <f t="shared" si="59"/>
        <v>300.66425880721118</v>
      </c>
      <c r="G490" s="7">
        <v>0</v>
      </c>
      <c r="H490" s="7">
        <f t="shared" si="60"/>
        <v>0</v>
      </c>
      <c r="I490" s="7">
        <f t="shared" si="61"/>
        <v>0</v>
      </c>
      <c r="J490" s="7">
        <v>859.00450704518971</v>
      </c>
      <c r="K490" s="7">
        <f t="shared" si="62"/>
        <v>13.700231372331576</v>
      </c>
      <c r="L490" s="7">
        <f t="shared" si="63"/>
        <v>51.567829613966914</v>
      </c>
      <c r="M490" s="7">
        <v>0</v>
      </c>
      <c r="N490" s="7">
        <f t="shared" si="64"/>
        <v>0</v>
      </c>
      <c r="O490" s="7">
        <f t="shared" si="65"/>
        <v>0</v>
      </c>
    </row>
    <row r="491" spans="3:15" x14ac:dyDescent="0.2">
      <c r="C491">
        <v>472</v>
      </c>
      <c r="D491" s="7">
        <v>3722.7273145750255</v>
      </c>
      <c r="E491" s="7">
        <f t="shared" si="58"/>
        <v>111.32557758896608</v>
      </c>
      <c r="F491" s="7">
        <f t="shared" si="59"/>
        <v>300.61953059076404</v>
      </c>
      <c r="G491" s="7">
        <v>6193.6239512835118</v>
      </c>
      <c r="H491" s="7">
        <f t="shared" si="60"/>
        <v>148.17282180104095</v>
      </c>
      <c r="I491" s="7">
        <f t="shared" si="61"/>
        <v>321.9946143380634</v>
      </c>
      <c r="J491" s="7">
        <v>1029.2726854249745</v>
      </c>
      <c r="K491" s="7">
        <f t="shared" si="62"/>
        <v>16.415832303428623</v>
      </c>
      <c r="L491" s="7">
        <f t="shared" si="63"/>
        <v>61.789382981098846</v>
      </c>
      <c r="M491" s="7">
        <v>1128.838384502337</v>
      </c>
      <c r="N491" s="7">
        <f t="shared" si="64"/>
        <v>90.01900992841604</v>
      </c>
      <c r="O491" s="7">
        <f t="shared" si="65"/>
        <v>34.075344478750019</v>
      </c>
    </row>
    <row r="492" spans="3:15" x14ac:dyDescent="0.2">
      <c r="C492">
        <v>473</v>
      </c>
      <c r="D492" s="7">
        <v>3730.1975765853576</v>
      </c>
      <c r="E492" s="7">
        <f t="shared" si="58"/>
        <v>111.5489705916674</v>
      </c>
      <c r="F492" s="7">
        <f t="shared" si="59"/>
        <v>301.22277290994862</v>
      </c>
      <c r="G492" s="7">
        <v>6195.3133707360539</v>
      </c>
      <c r="H492" s="7">
        <f t="shared" si="60"/>
        <v>148.21323853435536</v>
      </c>
      <c r="I492" s="7">
        <f t="shared" si="61"/>
        <v>322.08244401086159</v>
      </c>
      <c r="J492" s="7">
        <v>784.202423414642</v>
      </c>
      <c r="K492" s="7">
        <f t="shared" si="62"/>
        <v>12.507215684444052</v>
      </c>
      <c r="L492" s="7">
        <f t="shared" si="63"/>
        <v>47.077304742684873</v>
      </c>
      <c r="M492" s="7">
        <v>1127.1489650497956</v>
      </c>
      <c r="N492" s="7">
        <f t="shared" si="64"/>
        <v>89.884287484034743</v>
      </c>
      <c r="O492" s="7">
        <f t="shared" si="65"/>
        <v>34.024347320427992</v>
      </c>
    </row>
    <row r="493" spans="3:15" x14ac:dyDescent="0.2">
      <c r="C493">
        <v>474</v>
      </c>
      <c r="D493" s="7">
        <v>3737.6402490213463</v>
      </c>
      <c r="E493" s="7">
        <f t="shared" si="58"/>
        <v>111.77153854728907</v>
      </c>
      <c r="F493" s="7">
        <f t="shared" si="59"/>
        <v>301.823787302082</v>
      </c>
      <c r="G493" s="7">
        <v>6197.2805896887066</v>
      </c>
      <c r="H493" s="7">
        <f t="shared" si="60"/>
        <v>148.26030118872504</v>
      </c>
      <c r="I493" s="7">
        <f t="shared" si="61"/>
        <v>322.18471594615511</v>
      </c>
      <c r="J493" s="7">
        <v>539.15975097865385</v>
      </c>
      <c r="K493" s="7">
        <f t="shared" si="62"/>
        <v>8.5990390905686418</v>
      </c>
      <c r="L493" s="7">
        <f t="shared" si="63"/>
        <v>32.366882763879836</v>
      </c>
      <c r="M493" s="7">
        <v>1125.1817460971426</v>
      </c>
      <c r="N493" s="7">
        <f t="shared" si="64"/>
        <v>89.727411969469117</v>
      </c>
      <c r="O493" s="7">
        <f t="shared" si="65"/>
        <v>33.964964450039211</v>
      </c>
    </row>
    <row r="494" spans="3:15" x14ac:dyDescent="0.2">
      <c r="C494">
        <v>475</v>
      </c>
      <c r="D494" s="7">
        <v>3745.0560300704497</v>
      </c>
      <c r="E494" s="7">
        <f t="shared" si="58"/>
        <v>111.99330233464264</v>
      </c>
      <c r="F494" s="7">
        <f t="shared" si="59"/>
        <v>302.42263014754565</v>
      </c>
      <c r="G494" s="7">
        <v>6199.4742443868772</v>
      </c>
      <c r="H494" s="7">
        <f t="shared" si="60"/>
        <v>148.31278096619326</v>
      </c>
      <c r="I494" s="7">
        <f t="shared" si="61"/>
        <v>322.29875984098703</v>
      </c>
      <c r="J494" s="7">
        <v>412.94396992955035</v>
      </c>
      <c r="K494" s="7">
        <f t="shared" si="62"/>
        <v>6.5860282285414735</v>
      </c>
      <c r="L494" s="7">
        <f t="shared" si="63"/>
        <v>24.789886556813936</v>
      </c>
      <c r="M494" s="7">
        <v>1122.9880913989718</v>
      </c>
      <c r="N494" s="7">
        <f t="shared" si="64"/>
        <v>89.55247937790844</v>
      </c>
      <c r="O494" s="7">
        <f t="shared" si="65"/>
        <v>33.898746344299873</v>
      </c>
    </row>
    <row r="495" spans="3:15" x14ac:dyDescent="0.2">
      <c r="C495">
        <v>476</v>
      </c>
      <c r="D495" s="7">
        <v>3752.4455039109025</v>
      </c>
      <c r="E495" s="7">
        <f t="shared" si="58"/>
        <v>112.21427942317293</v>
      </c>
      <c r="F495" s="7">
        <f t="shared" si="59"/>
        <v>303.01934862019135</v>
      </c>
      <c r="G495" s="7">
        <v>6201.973946004905</v>
      </c>
      <c r="H495" s="7">
        <f t="shared" si="60"/>
        <v>148.37258244030875</v>
      </c>
      <c r="I495" s="7">
        <f t="shared" si="61"/>
        <v>322.42871452741741</v>
      </c>
      <c r="J495" s="7">
        <v>49.154496089096483</v>
      </c>
      <c r="K495" s="7">
        <f t="shared" si="62"/>
        <v>0.78396325500951336</v>
      </c>
      <c r="L495" s="7">
        <f t="shared" si="63"/>
        <v>2.9508467747184737</v>
      </c>
      <c r="M495" s="7">
        <v>1120.4883897809441</v>
      </c>
      <c r="N495" s="7">
        <f t="shared" si="64"/>
        <v>89.353141130856798</v>
      </c>
      <c r="O495" s="7">
        <f t="shared" si="65"/>
        <v>33.823289844150892</v>
      </c>
    </row>
    <row r="496" spans="3:15" x14ac:dyDescent="0.2">
      <c r="C496">
        <v>477</v>
      </c>
      <c r="D496" s="7">
        <v>3563.9999999999991</v>
      </c>
      <c r="E496" s="7">
        <f t="shared" si="58"/>
        <v>106.57894736842103</v>
      </c>
      <c r="F496" s="7">
        <f t="shared" si="59"/>
        <v>287.80190341386611</v>
      </c>
      <c r="G496" s="7">
        <v>6204.7534264119531</v>
      </c>
      <c r="H496" s="7">
        <f t="shared" si="60"/>
        <v>148.43907718688885</v>
      </c>
      <c r="I496" s="7">
        <f t="shared" si="61"/>
        <v>322.57321437577235</v>
      </c>
      <c r="J496" s="7">
        <v>0</v>
      </c>
      <c r="K496" s="7">
        <f t="shared" si="62"/>
        <v>0</v>
      </c>
      <c r="L496" s="7">
        <f t="shared" si="63"/>
        <v>0</v>
      </c>
      <c r="M496" s="7">
        <v>1117.7089093738964</v>
      </c>
      <c r="N496" s="7">
        <f t="shared" si="64"/>
        <v>89.131491975589825</v>
      </c>
      <c r="O496" s="7">
        <f t="shared" si="65"/>
        <v>33.739387884718631</v>
      </c>
    </row>
    <row r="497" spans="3:15" x14ac:dyDescent="0.2">
      <c r="C497">
        <v>478</v>
      </c>
      <c r="D497" s="7">
        <v>3326.3999999999996</v>
      </c>
      <c r="E497" s="7">
        <f t="shared" si="58"/>
        <v>99.473684210526315</v>
      </c>
      <c r="F497" s="7">
        <f t="shared" si="59"/>
        <v>268.61510985294177</v>
      </c>
      <c r="G497" s="7">
        <v>6207.5136951561917</v>
      </c>
      <c r="H497" s="7">
        <f t="shared" si="60"/>
        <v>148.50511232431083</v>
      </c>
      <c r="I497" s="7">
        <f t="shared" si="61"/>
        <v>322.7167154466739</v>
      </c>
      <c r="J497" s="7">
        <v>0</v>
      </c>
      <c r="K497" s="7">
        <f t="shared" si="62"/>
        <v>0</v>
      </c>
      <c r="L497" s="7">
        <f t="shared" si="63"/>
        <v>0</v>
      </c>
      <c r="M497" s="7">
        <v>1114.9486406296576</v>
      </c>
      <c r="N497" s="7">
        <f t="shared" si="64"/>
        <v>88.911374850849896</v>
      </c>
      <c r="O497" s="7">
        <f t="shared" si="65"/>
        <v>33.656065852437351</v>
      </c>
    </row>
    <row r="498" spans="3:15" x14ac:dyDescent="0.2">
      <c r="C498">
        <v>479</v>
      </c>
      <c r="D498" s="7">
        <v>2673</v>
      </c>
      <c r="E498" s="7">
        <f t="shared" si="58"/>
        <v>79.934210526315795</v>
      </c>
      <c r="F498" s="7">
        <f t="shared" si="59"/>
        <v>215.85142756039966</v>
      </c>
      <c r="G498" s="7">
        <v>0</v>
      </c>
      <c r="H498" s="7">
        <f t="shared" si="60"/>
        <v>0</v>
      </c>
      <c r="I498" s="7">
        <f t="shared" si="61"/>
        <v>0</v>
      </c>
      <c r="J498" s="7">
        <v>0</v>
      </c>
      <c r="K498" s="7">
        <f t="shared" si="62"/>
        <v>0</v>
      </c>
      <c r="L498" s="7">
        <f t="shared" si="63"/>
        <v>0</v>
      </c>
      <c r="M498" s="7">
        <v>0</v>
      </c>
      <c r="N498" s="7">
        <f t="shared" si="64"/>
        <v>0</v>
      </c>
      <c r="O498" s="7">
        <f t="shared" si="65"/>
        <v>0</v>
      </c>
    </row>
    <row r="499" spans="3:15" x14ac:dyDescent="0.2">
      <c r="C499">
        <v>480</v>
      </c>
      <c r="D499" s="7">
        <v>2524.5</v>
      </c>
      <c r="E499" s="7">
        <f t="shared" si="58"/>
        <v>75.493421052631589</v>
      </c>
      <c r="F499" s="7">
        <f t="shared" si="59"/>
        <v>203.85968158482189</v>
      </c>
      <c r="G499" s="7">
        <v>0</v>
      </c>
      <c r="H499" s="7">
        <f t="shared" si="60"/>
        <v>0</v>
      </c>
      <c r="I499" s="7">
        <f t="shared" si="61"/>
        <v>0</v>
      </c>
      <c r="J499" s="7">
        <v>0</v>
      </c>
      <c r="K499" s="7">
        <f t="shared" si="62"/>
        <v>0</v>
      </c>
      <c r="L499" s="7">
        <f t="shared" si="63"/>
        <v>0</v>
      </c>
      <c r="M499" s="7">
        <v>0</v>
      </c>
      <c r="N499" s="7">
        <f t="shared" si="64"/>
        <v>0</v>
      </c>
      <c r="O499" s="7">
        <f t="shared" si="65"/>
        <v>0</v>
      </c>
    </row>
    <row r="500" spans="3:15" x14ac:dyDescent="0.2">
      <c r="C500">
        <v>481</v>
      </c>
      <c r="D500" s="7">
        <v>2376</v>
      </c>
      <c r="E500" s="7">
        <f t="shared" si="58"/>
        <v>71.05263157894737</v>
      </c>
      <c r="F500" s="7">
        <f t="shared" si="59"/>
        <v>191.86793560924414</v>
      </c>
      <c r="G500" s="7">
        <v>0</v>
      </c>
      <c r="H500" s="7">
        <f t="shared" si="60"/>
        <v>0</v>
      </c>
      <c r="I500" s="7">
        <f t="shared" si="61"/>
        <v>0</v>
      </c>
      <c r="J500" s="7">
        <v>0</v>
      </c>
      <c r="K500" s="7">
        <f t="shared" si="62"/>
        <v>0</v>
      </c>
      <c r="L500" s="7">
        <f t="shared" si="63"/>
        <v>0</v>
      </c>
      <c r="M500" s="7">
        <v>0</v>
      </c>
      <c r="N500" s="7">
        <f t="shared" si="64"/>
        <v>0</v>
      </c>
      <c r="O500" s="7">
        <f t="shared" si="65"/>
        <v>0</v>
      </c>
    </row>
    <row r="501" spans="3:15" x14ac:dyDescent="0.2">
      <c r="C501">
        <v>482</v>
      </c>
      <c r="D501" s="7">
        <v>2376</v>
      </c>
      <c r="E501" s="7">
        <f t="shared" si="58"/>
        <v>71.05263157894737</v>
      </c>
      <c r="F501" s="7">
        <f t="shared" si="59"/>
        <v>191.86793560924414</v>
      </c>
      <c r="G501" s="7">
        <v>0</v>
      </c>
      <c r="H501" s="7">
        <f t="shared" si="60"/>
        <v>0</v>
      </c>
      <c r="I501" s="7">
        <f t="shared" si="61"/>
        <v>0</v>
      </c>
      <c r="J501" s="7">
        <v>0</v>
      </c>
      <c r="K501" s="7">
        <f t="shared" si="62"/>
        <v>0</v>
      </c>
      <c r="L501" s="7">
        <f t="shared" si="63"/>
        <v>0</v>
      </c>
      <c r="M501" s="7">
        <v>0</v>
      </c>
      <c r="N501" s="7">
        <f t="shared" si="64"/>
        <v>0</v>
      </c>
      <c r="O501" s="7">
        <f t="shared" si="65"/>
        <v>0</v>
      </c>
    </row>
    <row r="502" spans="3:15" x14ac:dyDescent="0.2">
      <c r="C502">
        <v>483</v>
      </c>
      <c r="D502" s="7">
        <v>2524.5000000000005</v>
      </c>
      <c r="E502" s="7">
        <f t="shared" si="58"/>
        <v>75.493421052631604</v>
      </c>
      <c r="F502" s="7">
        <f t="shared" si="59"/>
        <v>203.85968158482191</v>
      </c>
      <c r="G502" s="7">
        <v>0</v>
      </c>
      <c r="H502" s="7">
        <f t="shared" si="60"/>
        <v>0</v>
      </c>
      <c r="I502" s="7">
        <f t="shared" si="61"/>
        <v>0</v>
      </c>
      <c r="J502" s="7">
        <v>0</v>
      </c>
      <c r="K502" s="7">
        <f t="shared" si="62"/>
        <v>0</v>
      </c>
      <c r="L502" s="7">
        <f t="shared" si="63"/>
        <v>0</v>
      </c>
      <c r="M502" s="7">
        <v>0</v>
      </c>
      <c r="N502" s="7">
        <f t="shared" si="64"/>
        <v>0</v>
      </c>
      <c r="O502" s="7">
        <f t="shared" si="65"/>
        <v>0</v>
      </c>
    </row>
    <row r="503" spans="3:15" x14ac:dyDescent="0.2">
      <c r="C503">
        <v>484</v>
      </c>
      <c r="D503" s="7">
        <v>2673</v>
      </c>
      <c r="E503" s="7">
        <f t="shared" si="58"/>
        <v>79.934210526315795</v>
      </c>
      <c r="F503" s="7">
        <f t="shared" si="59"/>
        <v>215.85142756039966</v>
      </c>
      <c r="G503" s="7">
        <v>0</v>
      </c>
      <c r="H503" s="7">
        <f t="shared" si="60"/>
        <v>0</v>
      </c>
      <c r="I503" s="7">
        <f t="shared" si="61"/>
        <v>0</v>
      </c>
      <c r="J503" s="7">
        <v>0</v>
      </c>
      <c r="K503" s="7">
        <f t="shared" si="62"/>
        <v>0</v>
      </c>
      <c r="L503" s="7">
        <f t="shared" si="63"/>
        <v>0</v>
      </c>
      <c r="M503" s="7">
        <v>0</v>
      </c>
      <c r="N503" s="7">
        <f t="shared" si="64"/>
        <v>0</v>
      </c>
      <c r="O503" s="7">
        <f t="shared" si="65"/>
        <v>0</v>
      </c>
    </row>
    <row r="504" spans="3:15" x14ac:dyDescent="0.2">
      <c r="C504">
        <v>485</v>
      </c>
      <c r="D504" s="7">
        <v>2821.4999999999995</v>
      </c>
      <c r="E504" s="7">
        <f t="shared" si="58"/>
        <v>84.374999999999986</v>
      </c>
      <c r="F504" s="7">
        <f t="shared" si="59"/>
        <v>227.84317353597737</v>
      </c>
      <c r="G504" s="7">
        <v>0</v>
      </c>
      <c r="H504" s="7">
        <f t="shared" si="60"/>
        <v>0</v>
      </c>
      <c r="I504" s="7">
        <f t="shared" si="61"/>
        <v>0</v>
      </c>
      <c r="J504" s="7">
        <v>0</v>
      </c>
      <c r="K504" s="7">
        <f t="shared" si="62"/>
        <v>0</v>
      </c>
      <c r="L504" s="7">
        <f t="shared" si="63"/>
        <v>0</v>
      </c>
      <c r="M504" s="7">
        <v>0</v>
      </c>
      <c r="N504" s="7">
        <f t="shared" si="64"/>
        <v>0</v>
      </c>
      <c r="O504" s="7">
        <f t="shared" si="65"/>
        <v>0</v>
      </c>
    </row>
    <row r="505" spans="3:15" x14ac:dyDescent="0.2">
      <c r="C505">
        <v>486</v>
      </c>
      <c r="D505" s="7">
        <v>2969.9999999999995</v>
      </c>
      <c r="E505" s="7">
        <f t="shared" si="58"/>
        <v>88.815789473684205</v>
      </c>
      <c r="F505" s="7">
        <f t="shared" si="59"/>
        <v>239.83491951155514</v>
      </c>
      <c r="G505" s="7">
        <v>0</v>
      </c>
      <c r="H505" s="7">
        <f t="shared" si="60"/>
        <v>0</v>
      </c>
      <c r="I505" s="7">
        <f t="shared" si="61"/>
        <v>0</v>
      </c>
      <c r="J505" s="7">
        <v>0</v>
      </c>
      <c r="K505" s="7">
        <f t="shared" si="62"/>
        <v>0</v>
      </c>
      <c r="L505" s="7">
        <f t="shared" si="63"/>
        <v>0</v>
      </c>
      <c r="M505" s="7">
        <v>0</v>
      </c>
      <c r="N505" s="7">
        <f t="shared" si="64"/>
        <v>0</v>
      </c>
      <c r="O505" s="7">
        <f t="shared" si="65"/>
        <v>0</v>
      </c>
    </row>
    <row r="506" spans="3:15" x14ac:dyDescent="0.2">
      <c r="C506">
        <v>487</v>
      </c>
      <c r="D506" s="7">
        <v>3118.5</v>
      </c>
      <c r="E506" s="7">
        <f t="shared" si="58"/>
        <v>93.256578947368425</v>
      </c>
      <c r="F506" s="7">
        <f t="shared" si="59"/>
        <v>251.82666548713291</v>
      </c>
      <c r="G506" s="7">
        <v>6220.5405218773167</v>
      </c>
      <c r="H506" s="7">
        <f t="shared" si="60"/>
        <v>148.81675889658652</v>
      </c>
      <c r="I506" s="7">
        <f t="shared" si="61"/>
        <v>323.39395514981209</v>
      </c>
      <c r="J506" s="7">
        <v>0</v>
      </c>
      <c r="K506" s="7">
        <f t="shared" si="62"/>
        <v>0</v>
      </c>
      <c r="L506" s="7">
        <f t="shared" si="63"/>
        <v>0</v>
      </c>
      <c r="M506" s="7">
        <v>1101.9218139085322</v>
      </c>
      <c r="N506" s="7">
        <f t="shared" si="64"/>
        <v>87.872552943264139</v>
      </c>
      <c r="O506" s="7">
        <f t="shared" si="65"/>
        <v>33.262835418318978</v>
      </c>
    </row>
    <row r="507" spans="3:15" x14ac:dyDescent="0.2">
      <c r="C507">
        <v>488</v>
      </c>
      <c r="D507" s="7">
        <v>3267</v>
      </c>
      <c r="E507" s="7">
        <f t="shared" si="58"/>
        <v>97.697368421052644</v>
      </c>
      <c r="F507" s="7">
        <f t="shared" si="59"/>
        <v>263.81841146271069</v>
      </c>
      <c r="G507" s="7">
        <v>6223.0516538787942</v>
      </c>
      <c r="H507" s="7">
        <f t="shared" si="60"/>
        <v>148.87683382485156</v>
      </c>
      <c r="I507" s="7">
        <f t="shared" si="61"/>
        <v>323.52450407992603</v>
      </c>
      <c r="J507" s="7">
        <v>0</v>
      </c>
      <c r="K507" s="7">
        <f t="shared" si="62"/>
        <v>0</v>
      </c>
      <c r="L507" s="7">
        <f t="shared" si="63"/>
        <v>0</v>
      </c>
      <c r="M507" s="7">
        <v>1099.4106819070548</v>
      </c>
      <c r="N507" s="7">
        <f t="shared" si="64"/>
        <v>87.672303182380773</v>
      </c>
      <c r="O507" s="7">
        <f t="shared" si="65"/>
        <v>33.187033878296326</v>
      </c>
    </row>
    <row r="508" spans="3:15" x14ac:dyDescent="0.2">
      <c r="C508">
        <v>489</v>
      </c>
      <c r="D508" s="7">
        <v>3415.5</v>
      </c>
      <c r="E508" s="7">
        <f t="shared" si="58"/>
        <v>102.13815789473685</v>
      </c>
      <c r="F508" s="7">
        <f t="shared" si="59"/>
        <v>275.81015743828846</v>
      </c>
      <c r="G508" s="7">
        <v>0</v>
      </c>
      <c r="H508" s="7">
        <f t="shared" si="60"/>
        <v>0</v>
      </c>
      <c r="I508" s="7">
        <f t="shared" si="61"/>
        <v>0</v>
      </c>
      <c r="J508" s="7">
        <v>0</v>
      </c>
      <c r="K508" s="7">
        <f t="shared" si="62"/>
        <v>0</v>
      </c>
      <c r="L508" s="7">
        <f t="shared" si="63"/>
        <v>0</v>
      </c>
      <c r="M508" s="7">
        <v>0</v>
      </c>
      <c r="N508" s="7">
        <f t="shared" si="64"/>
        <v>0</v>
      </c>
      <c r="O508" s="7">
        <f t="shared" si="65"/>
        <v>0</v>
      </c>
    </row>
    <row r="509" spans="3:15" x14ac:dyDescent="0.2">
      <c r="C509">
        <v>490</v>
      </c>
      <c r="D509" s="7">
        <v>3564</v>
      </c>
      <c r="E509" s="7">
        <f t="shared" si="58"/>
        <v>106.57894736842105</v>
      </c>
      <c r="F509" s="7">
        <f t="shared" si="59"/>
        <v>287.80190341386617</v>
      </c>
      <c r="G509" s="7">
        <v>0</v>
      </c>
      <c r="H509" s="7">
        <f t="shared" si="60"/>
        <v>0</v>
      </c>
      <c r="I509" s="7">
        <f t="shared" si="61"/>
        <v>0</v>
      </c>
      <c r="J509" s="7">
        <v>0</v>
      </c>
      <c r="K509" s="7">
        <f t="shared" si="62"/>
        <v>0</v>
      </c>
      <c r="L509" s="7">
        <f t="shared" si="63"/>
        <v>0</v>
      </c>
      <c r="M509" s="7">
        <v>0</v>
      </c>
      <c r="N509" s="7">
        <f t="shared" si="64"/>
        <v>0</v>
      </c>
      <c r="O509" s="7">
        <f t="shared" si="65"/>
        <v>0</v>
      </c>
    </row>
    <row r="510" spans="3:15" x14ac:dyDescent="0.2">
      <c r="C510">
        <v>491</v>
      </c>
      <c r="D510" s="7">
        <v>3712.5000000000005</v>
      </c>
      <c r="E510" s="7">
        <f t="shared" si="58"/>
        <v>111.01973684210529</v>
      </c>
      <c r="F510" s="7">
        <f t="shared" si="59"/>
        <v>299.793649389444</v>
      </c>
      <c r="G510" s="7">
        <v>0</v>
      </c>
      <c r="H510" s="7">
        <f t="shared" si="60"/>
        <v>0</v>
      </c>
      <c r="I510" s="7">
        <f t="shared" si="61"/>
        <v>0</v>
      </c>
      <c r="J510" s="7">
        <v>0</v>
      </c>
      <c r="K510" s="7">
        <f t="shared" si="62"/>
        <v>0</v>
      </c>
      <c r="L510" s="7">
        <f t="shared" si="63"/>
        <v>0</v>
      </c>
      <c r="M510" s="7">
        <v>0</v>
      </c>
      <c r="N510" s="7">
        <f t="shared" si="64"/>
        <v>0</v>
      </c>
      <c r="O510" s="7">
        <f t="shared" si="65"/>
        <v>0</v>
      </c>
    </row>
    <row r="511" spans="3:15" x14ac:dyDescent="0.2">
      <c r="C511">
        <v>492</v>
      </c>
      <c r="D511" s="7">
        <v>3722.3562966504742</v>
      </c>
      <c r="E511" s="7">
        <f t="shared" si="58"/>
        <v>111.31448255533715</v>
      </c>
      <c r="F511" s="7">
        <f t="shared" si="59"/>
        <v>300.58956996649732</v>
      </c>
      <c r="G511" s="7">
        <v>0</v>
      </c>
      <c r="H511" s="7">
        <f t="shared" si="60"/>
        <v>0</v>
      </c>
      <c r="I511" s="7">
        <f t="shared" si="61"/>
        <v>0</v>
      </c>
      <c r="J511" s="7">
        <v>138.64370334952673</v>
      </c>
      <c r="K511" s="7">
        <f t="shared" si="62"/>
        <v>2.2112233389079226</v>
      </c>
      <c r="L511" s="7">
        <f t="shared" si="63"/>
        <v>8.3230702665005367</v>
      </c>
      <c r="M511" s="7">
        <v>0</v>
      </c>
      <c r="N511" s="7">
        <f t="shared" si="64"/>
        <v>0</v>
      </c>
      <c r="O511" s="7">
        <f t="shared" si="65"/>
        <v>0</v>
      </c>
    </row>
    <row r="512" spans="3:15" x14ac:dyDescent="0.2">
      <c r="C512">
        <v>493</v>
      </c>
      <c r="D512" s="7">
        <v>3716.8261777035914</v>
      </c>
      <c r="E512" s="7">
        <f t="shared" si="58"/>
        <v>111.14910818491602</v>
      </c>
      <c r="F512" s="7">
        <f t="shared" si="59"/>
        <v>300.14299904645861</v>
      </c>
      <c r="G512" s="7">
        <v>0</v>
      </c>
      <c r="H512" s="7">
        <f t="shared" si="60"/>
        <v>0</v>
      </c>
      <c r="I512" s="7">
        <f t="shared" si="61"/>
        <v>0</v>
      </c>
      <c r="J512" s="7">
        <v>292.67382229640907</v>
      </c>
      <c r="K512" s="7">
        <f t="shared" si="62"/>
        <v>4.6678440557641006</v>
      </c>
      <c r="L512" s="7">
        <f t="shared" si="63"/>
        <v>17.569819106729877</v>
      </c>
      <c r="M512" s="7">
        <v>0</v>
      </c>
      <c r="N512" s="7">
        <f t="shared" si="64"/>
        <v>0</v>
      </c>
      <c r="O512" s="7">
        <f t="shared" si="65"/>
        <v>0</v>
      </c>
    </row>
    <row r="513" spans="3:15" x14ac:dyDescent="0.2">
      <c r="C513">
        <v>494</v>
      </c>
      <c r="D513" s="7">
        <v>3711.3264546854366</v>
      </c>
      <c r="E513" s="7">
        <f t="shared" si="58"/>
        <v>110.9846427836554</v>
      </c>
      <c r="F513" s="7">
        <f t="shared" si="59"/>
        <v>299.69888267359835</v>
      </c>
      <c r="G513" s="7">
        <v>0</v>
      </c>
      <c r="H513" s="7">
        <f t="shared" si="60"/>
        <v>0</v>
      </c>
      <c r="I513" s="7">
        <f t="shared" si="61"/>
        <v>0</v>
      </c>
      <c r="J513" s="7">
        <v>446.67354531456431</v>
      </c>
      <c r="K513" s="7">
        <f t="shared" si="62"/>
        <v>7.1239799890680118</v>
      </c>
      <c r="L513" s="7">
        <f t="shared" si="63"/>
        <v>26.814743216051866</v>
      </c>
      <c r="M513" s="7">
        <v>0</v>
      </c>
      <c r="N513" s="7">
        <f t="shared" si="64"/>
        <v>0</v>
      </c>
      <c r="O513" s="7">
        <f t="shared" si="65"/>
        <v>0</v>
      </c>
    </row>
    <row r="514" spans="3:15" x14ac:dyDescent="0.2">
      <c r="C514">
        <v>495</v>
      </c>
      <c r="D514" s="7">
        <v>3705.8570229956845</v>
      </c>
      <c r="E514" s="7">
        <f t="shared" si="58"/>
        <v>110.82108322355516</v>
      </c>
      <c r="F514" s="7">
        <f t="shared" si="59"/>
        <v>299.25721240117895</v>
      </c>
      <c r="G514" s="7">
        <v>0</v>
      </c>
      <c r="H514" s="7">
        <f t="shared" si="60"/>
        <v>0</v>
      </c>
      <c r="I514" s="7">
        <f t="shared" si="61"/>
        <v>0</v>
      </c>
      <c r="J514" s="7">
        <v>303.64297700431553</v>
      </c>
      <c r="K514" s="7">
        <f t="shared" si="62"/>
        <v>4.8427907018232146</v>
      </c>
      <c r="L514" s="7">
        <f t="shared" si="63"/>
        <v>18.228320309397962</v>
      </c>
      <c r="M514" s="7">
        <v>0</v>
      </c>
      <c r="N514" s="7">
        <f t="shared" si="64"/>
        <v>0</v>
      </c>
      <c r="O514" s="7">
        <f t="shared" si="65"/>
        <v>0</v>
      </c>
    </row>
    <row r="515" spans="3:15" x14ac:dyDescent="0.2">
      <c r="C515">
        <v>496</v>
      </c>
      <c r="D515" s="7">
        <v>3706.3756998921554</v>
      </c>
      <c r="E515" s="7">
        <f t="shared" si="58"/>
        <v>110.83659389629652</v>
      </c>
      <c r="F515" s="7">
        <f t="shared" si="59"/>
        <v>299.2990968563027</v>
      </c>
      <c r="G515" s="7">
        <v>6231.2357484175127</v>
      </c>
      <c r="H515" s="7">
        <f t="shared" si="60"/>
        <v>149.07262556022758</v>
      </c>
      <c r="I515" s="7">
        <f t="shared" si="61"/>
        <v>323.94997943739503</v>
      </c>
      <c r="J515" s="7">
        <v>451.62430010784465</v>
      </c>
      <c r="K515" s="7">
        <f t="shared" si="62"/>
        <v>7.2029393956594046</v>
      </c>
      <c r="L515" s="7">
        <f t="shared" si="63"/>
        <v>27.111947337271896</v>
      </c>
      <c r="M515" s="7">
        <v>1091.2265873683366</v>
      </c>
      <c r="N515" s="7">
        <f t="shared" si="64"/>
        <v>87.019664064460656</v>
      </c>
      <c r="O515" s="7">
        <f t="shared" si="65"/>
        <v>32.939987140267107</v>
      </c>
    </row>
    <row r="516" spans="3:15" x14ac:dyDescent="0.2">
      <c r="C516">
        <v>497</v>
      </c>
      <c r="D516" s="7">
        <v>3714.9288799079313</v>
      </c>
      <c r="E516" s="7">
        <f t="shared" si="58"/>
        <v>111.09237081064389</v>
      </c>
      <c r="F516" s="7">
        <f t="shared" si="59"/>
        <v>299.98978750972071</v>
      </c>
      <c r="G516" s="7">
        <v>6232.5126059701979</v>
      </c>
      <c r="H516" s="7">
        <f t="shared" si="60"/>
        <v>149.10317239163155</v>
      </c>
      <c r="I516" s="7">
        <f t="shared" si="61"/>
        <v>324.01636080934713</v>
      </c>
      <c r="J516" s="7">
        <v>1037.0711200920687</v>
      </c>
      <c r="K516" s="7">
        <f t="shared" si="62"/>
        <v>16.540209251867125</v>
      </c>
      <c r="L516" s="7">
        <f t="shared" si="63"/>
        <v>62.25753925603118</v>
      </c>
      <c r="M516" s="7">
        <v>1089.9497298156509</v>
      </c>
      <c r="N516" s="7">
        <f t="shared" si="64"/>
        <v>86.917841293114108</v>
      </c>
      <c r="O516" s="7">
        <f t="shared" si="65"/>
        <v>32.901443659149351</v>
      </c>
    </row>
    <row r="517" spans="3:15" x14ac:dyDescent="0.2">
      <c r="C517">
        <v>498</v>
      </c>
      <c r="D517" s="7">
        <v>3723.4502227303101</v>
      </c>
      <c r="E517" s="7">
        <f t="shared" si="58"/>
        <v>111.34719565581072</v>
      </c>
      <c r="F517" s="7">
        <f t="shared" si="59"/>
        <v>300.67790723023774</v>
      </c>
      <c r="G517" s="7">
        <v>6233.4744838501729</v>
      </c>
      <c r="H517" s="7">
        <f t="shared" si="60"/>
        <v>149.12618382416682</v>
      </c>
      <c r="I517" s="7">
        <f t="shared" si="61"/>
        <v>324.06636699303522</v>
      </c>
      <c r="J517" s="7">
        <v>880.04977726968991</v>
      </c>
      <c r="K517" s="7">
        <f t="shared" si="62"/>
        <v>14.03588161514657</v>
      </c>
      <c r="L517" s="7">
        <f t="shared" si="63"/>
        <v>52.831221016708206</v>
      </c>
      <c r="M517" s="7">
        <v>1088.9878519356762</v>
      </c>
      <c r="N517" s="7">
        <f t="shared" si="64"/>
        <v>86.841136517996517</v>
      </c>
      <c r="O517" s="7">
        <f t="shared" si="65"/>
        <v>32.872408218331067</v>
      </c>
    </row>
    <row r="518" spans="3:15" x14ac:dyDescent="0.2">
      <c r="C518">
        <v>499</v>
      </c>
      <c r="D518" s="7">
        <v>3731.9396386467374</v>
      </c>
      <c r="E518" s="7">
        <f t="shared" si="58"/>
        <v>111.60106574900531</v>
      </c>
      <c r="F518" s="7">
        <f t="shared" si="59"/>
        <v>301.36344877334091</v>
      </c>
      <c r="G518" s="7">
        <v>6234.3218465893369</v>
      </c>
      <c r="H518" s="7">
        <f t="shared" si="60"/>
        <v>149.14645566003199</v>
      </c>
      <c r="I518" s="7">
        <f t="shared" si="61"/>
        <v>324.11041975447949</v>
      </c>
      <c r="J518" s="7">
        <v>1168.5603613532617</v>
      </c>
      <c r="K518" s="7">
        <f t="shared" si="62"/>
        <v>18.637326337372595</v>
      </c>
      <c r="L518" s="7">
        <f t="shared" si="63"/>
        <v>70.151112262709574</v>
      </c>
      <c r="M518" s="7">
        <v>1088.1404891965126</v>
      </c>
      <c r="N518" s="7">
        <f t="shared" si="64"/>
        <v>86.773563731779319</v>
      </c>
      <c r="O518" s="7">
        <f t="shared" si="65"/>
        <v>32.846829554784662</v>
      </c>
    </row>
    <row r="519" spans="3:15" x14ac:dyDescent="0.2">
      <c r="C519">
        <v>500</v>
      </c>
      <c r="D519" s="7">
        <v>3740.396828595829</v>
      </c>
      <c r="E519" s="7">
        <f t="shared" si="58"/>
        <v>111.85397214700447</v>
      </c>
      <c r="F519" s="7">
        <f t="shared" si="59"/>
        <v>302.04638798907638</v>
      </c>
      <c r="G519" s="7">
        <v>6235.1751206526751</v>
      </c>
      <c r="H519" s="7">
        <f t="shared" si="60"/>
        <v>149.16686891513578</v>
      </c>
      <c r="I519" s="7">
        <f t="shared" si="61"/>
        <v>324.15477983431487</v>
      </c>
      <c r="J519" s="7">
        <v>833.40317140417119</v>
      </c>
      <c r="K519" s="7">
        <f t="shared" si="62"/>
        <v>13.291916609316926</v>
      </c>
      <c r="L519" s="7">
        <f t="shared" si="63"/>
        <v>50.030928115315554</v>
      </c>
      <c r="M519" s="7">
        <v>1087.2872151331737</v>
      </c>
      <c r="N519" s="7">
        <f t="shared" si="64"/>
        <v>86.705519548099986</v>
      </c>
      <c r="O519" s="7">
        <f t="shared" si="65"/>
        <v>32.821072450807485</v>
      </c>
    </row>
    <row r="520" spans="3:15" x14ac:dyDescent="0.2">
      <c r="C520">
        <v>501</v>
      </c>
      <c r="D520" s="7">
        <v>3748.8225300530357</v>
      </c>
      <c r="E520" s="7">
        <f t="shared" si="58"/>
        <v>112.10593690349988</v>
      </c>
      <c r="F520" s="7">
        <f t="shared" si="59"/>
        <v>302.72678443042912</v>
      </c>
      <c r="G520" s="7">
        <v>6236.4547469669797</v>
      </c>
      <c r="H520" s="7">
        <f t="shared" si="60"/>
        <v>149.19748198485598</v>
      </c>
      <c r="I520" s="7">
        <f t="shared" si="61"/>
        <v>324.22130514886612</v>
      </c>
      <c r="J520" s="7">
        <v>498.27746994696463</v>
      </c>
      <c r="K520" s="7">
        <f t="shared" si="62"/>
        <v>7.947009090063232</v>
      </c>
      <c r="L520" s="7">
        <f t="shared" si="63"/>
        <v>29.912634287670677</v>
      </c>
      <c r="M520" s="7">
        <v>1086.0075888188699</v>
      </c>
      <c r="N520" s="7">
        <f t="shared" si="64"/>
        <v>86.603475982366021</v>
      </c>
      <c r="O520" s="7">
        <f t="shared" si="65"/>
        <v>32.782445391289833</v>
      </c>
    </row>
    <row r="521" spans="3:15" x14ac:dyDescent="0.2">
      <c r="C521">
        <v>502</v>
      </c>
      <c r="D521" s="7">
        <v>3757.2177903317797</v>
      </c>
      <c r="E521" s="7">
        <f t="shared" si="58"/>
        <v>112.35699133767285</v>
      </c>
      <c r="F521" s="7">
        <f t="shared" si="59"/>
        <v>303.40472267057424</v>
      </c>
      <c r="G521" s="7">
        <v>6238.159923783247</v>
      </c>
      <c r="H521" s="7">
        <f t="shared" si="60"/>
        <v>149.23827568859443</v>
      </c>
      <c r="I521" s="7">
        <f t="shared" si="61"/>
        <v>324.30995401674227</v>
      </c>
      <c r="J521" s="7">
        <v>163.18220966821991</v>
      </c>
      <c r="K521" s="7">
        <f t="shared" si="62"/>
        <v>2.6025870760481644</v>
      </c>
      <c r="L521" s="7">
        <f t="shared" si="63"/>
        <v>9.796167907368968</v>
      </c>
      <c r="M521" s="7">
        <v>1084.3024120026018</v>
      </c>
      <c r="N521" s="7">
        <f t="shared" si="64"/>
        <v>86.46749696990446</v>
      </c>
      <c r="O521" s="7">
        <f t="shared" si="65"/>
        <v>32.730972577989704</v>
      </c>
    </row>
    <row r="522" spans="3:15" x14ac:dyDescent="0.2">
      <c r="C522">
        <v>503</v>
      </c>
      <c r="D522" s="7">
        <v>3593.7</v>
      </c>
      <c r="E522" s="7">
        <f t="shared" si="58"/>
        <v>107.46710526315789</v>
      </c>
      <c r="F522" s="7">
        <f t="shared" si="59"/>
        <v>290.20025260898171</v>
      </c>
      <c r="G522" s="7">
        <v>0</v>
      </c>
      <c r="H522" s="7">
        <f t="shared" si="60"/>
        <v>0</v>
      </c>
      <c r="I522" s="7">
        <f t="shared" si="61"/>
        <v>0</v>
      </c>
      <c r="J522" s="7">
        <v>0</v>
      </c>
      <c r="K522" s="7">
        <f t="shared" si="62"/>
        <v>0</v>
      </c>
      <c r="L522" s="7">
        <f t="shared" si="63"/>
        <v>0</v>
      </c>
      <c r="M522" s="7">
        <v>0</v>
      </c>
      <c r="N522" s="7">
        <f t="shared" si="64"/>
        <v>0</v>
      </c>
      <c r="O522" s="7">
        <f t="shared" si="65"/>
        <v>0</v>
      </c>
    </row>
    <row r="523" spans="3:15" x14ac:dyDescent="0.2">
      <c r="C523">
        <v>504</v>
      </c>
      <c r="D523" s="7">
        <v>3267</v>
      </c>
      <c r="E523" s="7">
        <f t="shared" si="58"/>
        <v>97.697368421052644</v>
      </c>
      <c r="F523" s="7">
        <f t="shared" si="59"/>
        <v>263.81841146271069</v>
      </c>
      <c r="G523" s="7">
        <v>0</v>
      </c>
      <c r="H523" s="7">
        <f t="shared" si="60"/>
        <v>0</v>
      </c>
      <c r="I523" s="7">
        <f t="shared" si="61"/>
        <v>0</v>
      </c>
      <c r="J523" s="7">
        <v>0</v>
      </c>
      <c r="K523" s="7">
        <f t="shared" si="62"/>
        <v>0</v>
      </c>
      <c r="L523" s="7">
        <f t="shared" si="63"/>
        <v>0</v>
      </c>
      <c r="M523" s="7">
        <v>0</v>
      </c>
      <c r="N523" s="7">
        <f t="shared" si="64"/>
        <v>0</v>
      </c>
      <c r="O523" s="7">
        <f t="shared" si="65"/>
        <v>0</v>
      </c>
    </row>
    <row r="524" spans="3:15" x14ac:dyDescent="0.2">
      <c r="C524">
        <v>505</v>
      </c>
      <c r="D524" s="7">
        <v>2524.5</v>
      </c>
      <c r="E524" s="7">
        <f t="shared" si="58"/>
        <v>75.493421052631589</v>
      </c>
      <c r="F524" s="7">
        <f t="shared" si="59"/>
        <v>203.85968158482189</v>
      </c>
      <c r="G524" s="7">
        <v>0</v>
      </c>
      <c r="H524" s="7">
        <f t="shared" si="60"/>
        <v>0</v>
      </c>
      <c r="I524" s="7">
        <f t="shared" si="61"/>
        <v>0</v>
      </c>
      <c r="J524" s="7">
        <v>0</v>
      </c>
      <c r="K524" s="7">
        <f t="shared" si="62"/>
        <v>0</v>
      </c>
      <c r="L524" s="7">
        <f t="shared" si="63"/>
        <v>0</v>
      </c>
      <c r="M524" s="7">
        <v>0</v>
      </c>
      <c r="N524" s="7">
        <f t="shared" si="64"/>
        <v>0</v>
      </c>
      <c r="O524" s="7">
        <f t="shared" si="65"/>
        <v>0</v>
      </c>
    </row>
    <row r="525" spans="3:15" x14ac:dyDescent="0.2">
      <c r="C525">
        <v>506</v>
      </c>
      <c r="D525" s="7">
        <v>2376</v>
      </c>
      <c r="E525" s="7">
        <f t="shared" si="58"/>
        <v>71.05263157894737</v>
      </c>
      <c r="F525" s="7">
        <f t="shared" si="59"/>
        <v>191.86793560924414</v>
      </c>
      <c r="G525" s="7">
        <v>0</v>
      </c>
      <c r="H525" s="7">
        <f t="shared" si="60"/>
        <v>0</v>
      </c>
      <c r="I525" s="7">
        <f t="shared" si="61"/>
        <v>0</v>
      </c>
      <c r="J525" s="7">
        <v>0</v>
      </c>
      <c r="K525" s="7">
        <f t="shared" si="62"/>
        <v>0</v>
      </c>
      <c r="L525" s="7">
        <f t="shared" si="63"/>
        <v>0</v>
      </c>
      <c r="M525" s="7">
        <v>0</v>
      </c>
      <c r="N525" s="7">
        <f t="shared" si="64"/>
        <v>0</v>
      </c>
      <c r="O525" s="7">
        <f t="shared" si="65"/>
        <v>0</v>
      </c>
    </row>
    <row r="526" spans="3:15" x14ac:dyDescent="0.2">
      <c r="C526">
        <v>507</v>
      </c>
      <c r="D526" s="7">
        <v>2524.5</v>
      </c>
      <c r="E526" s="7">
        <f t="shared" si="58"/>
        <v>75.493421052631589</v>
      </c>
      <c r="F526" s="7">
        <f t="shared" si="59"/>
        <v>203.85968158482189</v>
      </c>
      <c r="G526" s="7">
        <v>0</v>
      </c>
      <c r="H526" s="7">
        <f t="shared" si="60"/>
        <v>0</v>
      </c>
      <c r="I526" s="7">
        <f t="shared" si="61"/>
        <v>0</v>
      </c>
      <c r="J526" s="7">
        <v>0</v>
      </c>
      <c r="K526" s="7">
        <f t="shared" si="62"/>
        <v>0</v>
      </c>
      <c r="L526" s="7">
        <f t="shared" si="63"/>
        <v>0</v>
      </c>
      <c r="M526" s="7">
        <v>0</v>
      </c>
      <c r="N526" s="7">
        <f t="shared" si="64"/>
        <v>0</v>
      </c>
      <c r="O526" s="7">
        <f t="shared" si="65"/>
        <v>0</v>
      </c>
    </row>
    <row r="527" spans="3:15" x14ac:dyDescent="0.2">
      <c r="C527">
        <v>508</v>
      </c>
      <c r="D527" s="7">
        <v>2673</v>
      </c>
      <c r="E527" s="7">
        <f t="shared" si="58"/>
        <v>79.934210526315795</v>
      </c>
      <c r="F527" s="7">
        <f t="shared" si="59"/>
        <v>215.85142756039966</v>
      </c>
      <c r="G527" s="7">
        <v>0</v>
      </c>
      <c r="H527" s="7">
        <f t="shared" si="60"/>
        <v>0</v>
      </c>
      <c r="I527" s="7">
        <f t="shared" si="61"/>
        <v>0</v>
      </c>
      <c r="J527" s="7">
        <v>0</v>
      </c>
      <c r="K527" s="7">
        <f t="shared" si="62"/>
        <v>0</v>
      </c>
      <c r="L527" s="7">
        <f t="shared" si="63"/>
        <v>0</v>
      </c>
      <c r="M527" s="7">
        <v>0</v>
      </c>
      <c r="N527" s="7">
        <f t="shared" si="64"/>
        <v>0</v>
      </c>
      <c r="O527" s="7">
        <f t="shared" si="65"/>
        <v>0</v>
      </c>
    </row>
    <row r="528" spans="3:15" x14ac:dyDescent="0.2">
      <c r="C528">
        <v>509</v>
      </c>
      <c r="D528" s="7">
        <v>3044.2499999999995</v>
      </c>
      <c r="E528" s="7">
        <f t="shared" si="58"/>
        <v>91.036184210526315</v>
      </c>
      <c r="F528" s="7">
        <f t="shared" si="59"/>
        <v>245.830792499344</v>
      </c>
      <c r="G528" s="7">
        <v>0</v>
      </c>
      <c r="H528" s="7">
        <f t="shared" si="60"/>
        <v>0</v>
      </c>
      <c r="I528" s="7">
        <f t="shared" si="61"/>
        <v>0</v>
      </c>
      <c r="J528" s="7">
        <v>0</v>
      </c>
      <c r="K528" s="7">
        <f t="shared" si="62"/>
        <v>0</v>
      </c>
      <c r="L528" s="7">
        <f t="shared" si="63"/>
        <v>0</v>
      </c>
      <c r="M528" s="7">
        <v>0</v>
      </c>
      <c r="N528" s="7">
        <f t="shared" si="64"/>
        <v>0</v>
      </c>
      <c r="O528" s="7">
        <f t="shared" si="65"/>
        <v>0</v>
      </c>
    </row>
    <row r="529" spans="3:15" x14ac:dyDescent="0.2">
      <c r="C529">
        <v>510</v>
      </c>
      <c r="D529" s="7">
        <v>3266.9999999999995</v>
      </c>
      <c r="E529" s="7">
        <f t="shared" si="58"/>
        <v>97.69736842105263</v>
      </c>
      <c r="F529" s="7">
        <f t="shared" si="59"/>
        <v>263.81841146271063</v>
      </c>
      <c r="G529" s="7">
        <v>0</v>
      </c>
      <c r="H529" s="7">
        <f t="shared" si="60"/>
        <v>0</v>
      </c>
      <c r="I529" s="7">
        <f t="shared" si="61"/>
        <v>0</v>
      </c>
      <c r="J529" s="7">
        <v>0</v>
      </c>
      <c r="K529" s="7">
        <f t="shared" si="62"/>
        <v>0</v>
      </c>
      <c r="L529" s="7">
        <f t="shared" si="63"/>
        <v>0</v>
      </c>
      <c r="M529" s="7">
        <v>0</v>
      </c>
      <c r="N529" s="7">
        <f t="shared" si="64"/>
        <v>0</v>
      </c>
      <c r="O529" s="7">
        <f t="shared" si="65"/>
        <v>0</v>
      </c>
    </row>
    <row r="530" spans="3:15" x14ac:dyDescent="0.2">
      <c r="C530">
        <v>511</v>
      </c>
      <c r="D530" s="7">
        <v>3489.7499999999995</v>
      </c>
      <c r="E530" s="7">
        <f t="shared" si="58"/>
        <v>104.35855263157895</v>
      </c>
      <c r="F530" s="7">
        <f t="shared" si="59"/>
        <v>281.80603042607726</v>
      </c>
      <c r="G530" s="7">
        <v>6245.8539568458073</v>
      </c>
      <c r="H530" s="7">
        <f t="shared" si="60"/>
        <v>149.4223434652107</v>
      </c>
      <c r="I530" s="7">
        <f t="shared" si="61"/>
        <v>324.70995201923165</v>
      </c>
      <c r="J530" s="7">
        <v>0</v>
      </c>
      <c r="K530" s="7">
        <f t="shared" si="62"/>
        <v>0</v>
      </c>
      <c r="L530" s="7">
        <f t="shared" si="63"/>
        <v>0</v>
      </c>
      <c r="M530" s="7">
        <v>1076.608378940042</v>
      </c>
      <c r="N530" s="7">
        <f t="shared" si="64"/>
        <v>85.853937714516917</v>
      </c>
      <c r="O530" s="7">
        <f t="shared" si="65"/>
        <v>32.498718935097145</v>
      </c>
    </row>
    <row r="531" spans="3:15" x14ac:dyDescent="0.2">
      <c r="C531">
        <v>512</v>
      </c>
      <c r="D531" s="7">
        <v>3712.4999999999991</v>
      </c>
      <c r="E531" s="7">
        <f t="shared" si="58"/>
        <v>111.01973684210525</v>
      </c>
      <c r="F531" s="7">
        <f t="shared" si="59"/>
        <v>299.79364938944389</v>
      </c>
      <c r="G531" s="7">
        <v>6247.740094019834</v>
      </c>
      <c r="H531" s="7">
        <f t="shared" si="60"/>
        <v>149.46746636411086</v>
      </c>
      <c r="I531" s="7">
        <f t="shared" si="61"/>
        <v>324.80800866857237</v>
      </c>
      <c r="J531" s="7">
        <v>0</v>
      </c>
      <c r="K531" s="7">
        <f t="shared" si="62"/>
        <v>0</v>
      </c>
      <c r="L531" s="7">
        <f t="shared" si="63"/>
        <v>0</v>
      </c>
      <c r="M531" s="7">
        <v>1074.7222417660148</v>
      </c>
      <c r="N531" s="7">
        <f t="shared" si="64"/>
        <v>85.703528051516344</v>
      </c>
      <c r="O531" s="7">
        <f t="shared" si="65"/>
        <v>32.441783615726791</v>
      </c>
    </row>
    <row r="532" spans="3:15" x14ac:dyDescent="0.2">
      <c r="C532">
        <v>513</v>
      </c>
      <c r="D532" s="7">
        <v>3743.5259909907286</v>
      </c>
      <c r="E532" s="7">
        <f t="shared" si="58"/>
        <v>111.94754757747396</v>
      </c>
      <c r="F532" s="7">
        <f t="shared" si="59"/>
        <v>302.29907566958792</v>
      </c>
      <c r="G532" s="7">
        <v>0</v>
      </c>
      <c r="H532" s="7">
        <f t="shared" si="60"/>
        <v>0</v>
      </c>
      <c r="I532" s="7">
        <f t="shared" si="61"/>
        <v>0</v>
      </c>
      <c r="J532" s="7">
        <v>191.7240090092705</v>
      </c>
      <c r="K532" s="7">
        <f t="shared" si="62"/>
        <v>3.0577991867507262</v>
      </c>
      <c r="L532" s="7">
        <f t="shared" si="63"/>
        <v>11.509591566062184</v>
      </c>
      <c r="M532" s="7">
        <v>0</v>
      </c>
      <c r="N532" s="7">
        <f t="shared" si="64"/>
        <v>0</v>
      </c>
      <c r="O532" s="7">
        <f t="shared" si="65"/>
        <v>0</v>
      </c>
    </row>
    <row r="533" spans="3:15" x14ac:dyDescent="0.2">
      <c r="C533">
        <v>514</v>
      </c>
      <c r="D533" s="7">
        <v>3738.0022416851953</v>
      </c>
      <c r="E533" s="7">
        <f t="shared" ref="E533:E596" si="66">D533/($C$3*($D$8-$D$6))</f>
        <v>111.78236368675825</v>
      </c>
      <c r="F533" s="7">
        <f t="shared" ref="F533:F596" si="67">E533*$C$3*((($D$8)-($D$6))-$C$2*LN(($D$8)/($D$6)))</f>
        <v>301.85301911400052</v>
      </c>
      <c r="G533" s="7">
        <v>0</v>
      </c>
      <c r="H533" s="7">
        <f t="shared" ref="H533:H596" si="68">G533/($C$3*($D$6-$D$9))</f>
        <v>0</v>
      </c>
      <c r="I533" s="7">
        <f t="shared" ref="I533:I596" si="69">ABS(H533*$C$3*(($D$9-$D$6)-$C$2*(LN($D$9/$D$6))))</f>
        <v>0</v>
      </c>
      <c r="J533" s="7">
        <v>419.99775831480292</v>
      </c>
      <c r="K533" s="7">
        <f t="shared" ref="K533:K596" si="70">J533/($C$3*($D$10-$D$7))</f>
        <v>6.6985288407464587</v>
      </c>
      <c r="L533" s="7">
        <f t="shared" ref="L533:L596" si="71">K533*$C$3*(($D$10-$D$7)-$C$2*LN($D$10/$D$7))</f>
        <v>25.213340164566134</v>
      </c>
      <c r="M533" s="7">
        <v>0</v>
      </c>
      <c r="N533" s="7">
        <f t="shared" ref="N533:N596" si="72">M533/($C$3*($D$7-$D$11))</f>
        <v>0</v>
      </c>
      <c r="O533" s="7">
        <f t="shared" ref="O533:O596" si="73">ABS(N533*$C$3*(($D$11-$D$7)-$C$2*LN($D$11/$D$7)))</f>
        <v>0</v>
      </c>
    </row>
    <row r="534" spans="3:15" x14ac:dyDescent="0.2">
      <c r="C534">
        <v>515</v>
      </c>
      <c r="D534" s="7">
        <v>3732.5087252611365</v>
      </c>
      <c r="E534" s="7">
        <f t="shared" si="66"/>
        <v>111.61808388938806</v>
      </c>
      <c r="F534" s="7">
        <f t="shared" si="67"/>
        <v>301.40940393911853</v>
      </c>
      <c r="G534" s="7">
        <v>0</v>
      </c>
      <c r="H534" s="7">
        <f t="shared" si="68"/>
        <v>0</v>
      </c>
      <c r="I534" s="7">
        <f t="shared" si="69"/>
        <v>0</v>
      </c>
      <c r="J534" s="7">
        <v>648.24127473886165</v>
      </c>
      <c r="K534" s="7">
        <f t="shared" si="70"/>
        <v>10.338776311624589</v>
      </c>
      <c r="L534" s="7">
        <f t="shared" si="71"/>
        <v>38.915273820228933</v>
      </c>
      <c r="M534" s="7">
        <v>0</v>
      </c>
      <c r="N534" s="7">
        <f t="shared" si="72"/>
        <v>0</v>
      </c>
      <c r="O534" s="7">
        <f t="shared" si="73"/>
        <v>0</v>
      </c>
    </row>
    <row r="535" spans="3:15" x14ac:dyDescent="0.2">
      <c r="C535">
        <v>516</v>
      </c>
      <c r="D535" s="7">
        <v>3727.0453378265515</v>
      </c>
      <c r="E535" s="7">
        <f t="shared" si="66"/>
        <v>111.4547050785452</v>
      </c>
      <c r="F535" s="7">
        <f t="shared" si="67"/>
        <v>300.96822175540336</v>
      </c>
      <c r="G535" s="7">
        <v>0</v>
      </c>
      <c r="H535" s="7">
        <f t="shared" si="68"/>
        <v>0</v>
      </c>
      <c r="I535" s="7">
        <f t="shared" si="69"/>
        <v>0</v>
      </c>
      <c r="J535" s="7">
        <v>876.45466217344665</v>
      </c>
      <c r="K535" s="7">
        <f t="shared" si="70"/>
        <v>13.978543256354811</v>
      </c>
      <c r="L535" s="7">
        <f t="shared" si="71"/>
        <v>52.61539876990372</v>
      </c>
      <c r="M535" s="7">
        <v>0</v>
      </c>
      <c r="N535" s="7">
        <f t="shared" si="72"/>
        <v>0</v>
      </c>
      <c r="O535" s="7">
        <f t="shared" si="73"/>
        <v>0</v>
      </c>
    </row>
    <row r="536" spans="3:15" x14ac:dyDescent="0.2">
      <c r="C536">
        <v>517</v>
      </c>
      <c r="D536" s="7">
        <v>3721.6119757753422</v>
      </c>
      <c r="E536" s="7">
        <f t="shared" si="66"/>
        <v>111.29222415596119</v>
      </c>
      <c r="F536" s="7">
        <f t="shared" si="67"/>
        <v>300.52946419640369</v>
      </c>
      <c r="G536" s="7">
        <v>0</v>
      </c>
      <c r="H536" s="7">
        <f t="shared" si="68"/>
        <v>0</v>
      </c>
      <c r="I536" s="7">
        <f t="shared" si="69"/>
        <v>0</v>
      </c>
      <c r="J536" s="7">
        <v>1104.6380242246578</v>
      </c>
      <c r="K536" s="7">
        <f t="shared" si="70"/>
        <v>17.617831327347016</v>
      </c>
      <c r="L536" s="7">
        <f t="shared" si="71"/>
        <v>66.313721233280461</v>
      </c>
      <c r="M536" s="7">
        <v>0</v>
      </c>
      <c r="N536" s="7">
        <f t="shared" si="72"/>
        <v>0</v>
      </c>
      <c r="O536" s="7">
        <f t="shared" si="73"/>
        <v>0</v>
      </c>
    </row>
    <row r="537" spans="3:15" x14ac:dyDescent="0.2">
      <c r="C537">
        <v>518</v>
      </c>
      <c r="D537" s="7">
        <v>3716.2085357866536</v>
      </c>
      <c r="E537" s="7">
        <f t="shared" si="66"/>
        <v>111.13063803189755</v>
      </c>
      <c r="F537" s="7">
        <f t="shared" si="67"/>
        <v>300.09312291870248</v>
      </c>
      <c r="G537" s="7">
        <v>0</v>
      </c>
      <c r="H537" s="7">
        <f t="shared" si="68"/>
        <v>0</v>
      </c>
      <c r="I537" s="7">
        <f t="shared" si="69"/>
        <v>0</v>
      </c>
      <c r="J537" s="7">
        <v>1332.7914642133464</v>
      </c>
      <c r="K537" s="7">
        <f t="shared" si="70"/>
        <v>21.256642172461667</v>
      </c>
      <c r="L537" s="7">
        <f t="shared" si="71"/>
        <v>80.010247412925025</v>
      </c>
      <c r="M537" s="7">
        <v>0</v>
      </c>
      <c r="N537" s="7">
        <f t="shared" si="72"/>
        <v>0</v>
      </c>
      <c r="O537" s="7">
        <f t="shared" si="73"/>
        <v>0</v>
      </c>
    </row>
    <row r="538" spans="3:15" x14ac:dyDescent="0.2">
      <c r="C538">
        <v>519</v>
      </c>
      <c r="D538" s="7">
        <v>3710.8349148242173</v>
      </c>
      <c r="E538" s="7">
        <f t="shared" si="66"/>
        <v>110.96994362512612</v>
      </c>
      <c r="F538" s="7">
        <f t="shared" si="67"/>
        <v>299.6591896018636</v>
      </c>
      <c r="G538" s="7">
        <v>0</v>
      </c>
      <c r="H538" s="7">
        <f t="shared" si="68"/>
        <v>0</v>
      </c>
      <c r="I538" s="7">
        <f t="shared" si="69"/>
        <v>0</v>
      </c>
      <c r="J538" s="7">
        <v>1189.6650851757818</v>
      </c>
      <c r="K538" s="7">
        <f t="shared" si="70"/>
        <v>18.973924803441498</v>
      </c>
      <c r="L538" s="7">
        <f t="shared" si="71"/>
        <v>71.418072788764533</v>
      </c>
      <c r="M538" s="7">
        <v>0</v>
      </c>
      <c r="N538" s="7">
        <f t="shared" si="72"/>
        <v>0</v>
      </c>
      <c r="O538" s="7">
        <f t="shared" si="73"/>
        <v>0</v>
      </c>
    </row>
    <row r="539" spans="3:15" x14ac:dyDescent="0.2">
      <c r="C539">
        <v>520</v>
      </c>
      <c r="D539" s="7">
        <v>3711.4752058750087</v>
      </c>
      <c r="E539" s="7">
        <f t="shared" si="66"/>
        <v>110.98909108477898</v>
      </c>
      <c r="F539" s="7">
        <f t="shared" si="67"/>
        <v>299.71089470375938</v>
      </c>
      <c r="G539" s="7">
        <v>6244.2773544648826</v>
      </c>
      <c r="H539" s="7">
        <f t="shared" si="68"/>
        <v>149.38462570490151</v>
      </c>
      <c r="I539" s="7">
        <f t="shared" si="69"/>
        <v>324.62798748932096</v>
      </c>
      <c r="J539" s="7">
        <v>1387.0247941249913</v>
      </c>
      <c r="K539" s="7">
        <f t="shared" si="70"/>
        <v>22.121607561802097</v>
      </c>
      <c r="L539" s="7">
        <f t="shared" si="71"/>
        <v>83.265987159741783</v>
      </c>
      <c r="M539" s="7">
        <v>1078.184981320966</v>
      </c>
      <c r="N539" s="7">
        <f t="shared" si="72"/>
        <v>85.979663582214201</v>
      </c>
      <c r="O539" s="7">
        <f t="shared" si="73"/>
        <v>32.546310574408459</v>
      </c>
    </row>
    <row r="540" spans="3:15" x14ac:dyDescent="0.2">
      <c r="C540">
        <v>521</v>
      </c>
      <c r="D540" s="7">
        <v>3720.1502452383911</v>
      </c>
      <c r="E540" s="7">
        <f t="shared" si="66"/>
        <v>111.24851211837294</v>
      </c>
      <c r="F540" s="7">
        <f t="shared" si="67"/>
        <v>300.41142580391977</v>
      </c>
      <c r="G540" s="7">
        <v>6243.6030273201486</v>
      </c>
      <c r="H540" s="7">
        <f t="shared" si="68"/>
        <v>149.3684934765586</v>
      </c>
      <c r="I540" s="7">
        <f t="shared" si="69"/>
        <v>324.5929305161153</v>
      </c>
      <c r="J540" s="7">
        <v>2071.3497547616089</v>
      </c>
      <c r="K540" s="7">
        <f t="shared" si="70"/>
        <v>33.035881256166014</v>
      </c>
      <c r="L540" s="7">
        <f t="shared" si="71"/>
        <v>124.34743979621469</v>
      </c>
      <c r="M540" s="7">
        <v>1078.8593084657009</v>
      </c>
      <c r="N540" s="7">
        <f t="shared" si="72"/>
        <v>86.033437676690667</v>
      </c>
      <c r="O540" s="7">
        <f t="shared" si="73"/>
        <v>32.566665950398217</v>
      </c>
    </row>
    <row r="541" spans="3:15" x14ac:dyDescent="0.2">
      <c r="C541">
        <v>522</v>
      </c>
      <c r="D541" s="7">
        <v>3728.7883779103881</v>
      </c>
      <c r="E541" s="7">
        <f t="shared" si="66"/>
        <v>111.50682948296615</v>
      </c>
      <c r="F541" s="7">
        <f t="shared" si="67"/>
        <v>301.10897659655228</v>
      </c>
      <c r="G541" s="7">
        <v>6242.5490500443266</v>
      </c>
      <c r="H541" s="7">
        <f t="shared" si="68"/>
        <v>149.34327870919444</v>
      </c>
      <c r="I541" s="7">
        <f t="shared" si="69"/>
        <v>324.5381362617145</v>
      </c>
      <c r="J541" s="7">
        <v>1914.211622089611</v>
      </c>
      <c r="K541" s="7">
        <f t="shared" si="70"/>
        <v>30.529690942418039</v>
      </c>
      <c r="L541" s="7">
        <f t="shared" si="71"/>
        <v>114.91411041897983</v>
      </c>
      <c r="M541" s="7">
        <v>1079.9132857415227</v>
      </c>
      <c r="N541" s="7">
        <f t="shared" si="72"/>
        <v>86.117486901237868</v>
      </c>
      <c r="O541" s="7">
        <f t="shared" si="73"/>
        <v>32.598481522263484</v>
      </c>
    </row>
    <row r="542" spans="3:15" x14ac:dyDescent="0.2">
      <c r="C542">
        <v>523</v>
      </c>
      <c r="D542" s="7">
        <v>3737.3894918253127</v>
      </c>
      <c r="E542" s="7">
        <f t="shared" si="66"/>
        <v>111.76403982731199</v>
      </c>
      <c r="F542" s="7">
        <f t="shared" si="67"/>
        <v>301.80353803207271</v>
      </c>
      <c r="G542" s="7">
        <v>6241.3829197425184</v>
      </c>
      <c r="H542" s="7">
        <f t="shared" si="68"/>
        <v>149.31538085508419</v>
      </c>
      <c r="I542" s="7">
        <f t="shared" si="69"/>
        <v>324.47751138688324</v>
      </c>
      <c r="J542" s="7">
        <v>2202.6105081746864</v>
      </c>
      <c r="K542" s="7">
        <f t="shared" si="70"/>
        <v>35.129354197363419</v>
      </c>
      <c r="L542" s="7">
        <f t="shared" si="71"/>
        <v>132.2272962014971</v>
      </c>
      <c r="M542" s="7">
        <v>1081.0794160433302</v>
      </c>
      <c r="N542" s="7">
        <f t="shared" si="72"/>
        <v>86.21047974827195</v>
      </c>
      <c r="O542" s="7">
        <f t="shared" si="73"/>
        <v>32.633682568123305</v>
      </c>
    </row>
    <row r="543" spans="3:15" x14ac:dyDescent="0.2">
      <c r="C543">
        <v>524</v>
      </c>
      <c r="D543" s="7">
        <v>3745.9533010467303</v>
      </c>
      <c r="E543" s="7">
        <f t="shared" si="66"/>
        <v>112.02013460067974</v>
      </c>
      <c r="F543" s="7">
        <f t="shared" si="67"/>
        <v>302.49508702039964</v>
      </c>
      <c r="G543" s="7">
        <v>6240.2051996112732</v>
      </c>
      <c r="H543" s="7">
        <f t="shared" si="68"/>
        <v>149.28720573232712</v>
      </c>
      <c r="I543" s="7">
        <f t="shared" si="69"/>
        <v>324.41628397907783</v>
      </c>
      <c r="J543" s="7">
        <v>1897.0466989532688</v>
      </c>
      <c r="K543" s="7">
        <f t="shared" si="70"/>
        <v>30.255928212970797</v>
      </c>
      <c r="L543" s="7">
        <f t="shared" si="71"/>
        <v>113.8836643335728</v>
      </c>
      <c r="M543" s="7">
        <v>1082.2571361745756</v>
      </c>
      <c r="N543" s="7">
        <f t="shared" si="72"/>
        <v>86.304396824128844</v>
      </c>
      <c r="O543" s="7">
        <f t="shared" si="73"/>
        <v>32.669233466925739</v>
      </c>
    </row>
    <row r="544" spans="3:15" x14ac:dyDescent="0.2">
      <c r="C544">
        <v>525</v>
      </c>
      <c r="D544" s="7">
        <v>3754.4801212865468</v>
      </c>
      <c r="E544" s="7">
        <f t="shared" si="66"/>
        <v>112.27512324421492</v>
      </c>
      <c r="F544" s="7">
        <f t="shared" si="67"/>
        <v>303.18364905605819</v>
      </c>
      <c r="G544" s="7">
        <v>6238.9155770716479</v>
      </c>
      <c r="H544" s="7">
        <f t="shared" si="68"/>
        <v>149.25635351846049</v>
      </c>
      <c r="I544" s="7">
        <f t="shared" si="69"/>
        <v>324.34923897996998</v>
      </c>
      <c r="J544" s="7">
        <v>2334.0198787134523</v>
      </c>
      <c r="K544" s="7">
        <f t="shared" si="70"/>
        <v>37.225197427646769</v>
      </c>
      <c r="L544" s="7">
        <f t="shared" si="71"/>
        <v>140.11607440236077</v>
      </c>
      <c r="M544" s="7">
        <v>1083.5467587142009</v>
      </c>
      <c r="N544" s="7">
        <f t="shared" si="72"/>
        <v>86.407237537017622</v>
      </c>
      <c r="O544" s="7">
        <f t="shared" si="73"/>
        <v>32.708162274528846</v>
      </c>
    </row>
    <row r="545" spans="3:15" x14ac:dyDescent="0.2">
      <c r="C545">
        <v>526</v>
      </c>
      <c r="D545" s="7">
        <v>3762.9696677432994</v>
      </c>
      <c r="E545" s="7">
        <f t="shared" si="66"/>
        <v>112.52899724112739</v>
      </c>
      <c r="F545" s="7">
        <f t="shared" si="67"/>
        <v>303.86920114061877</v>
      </c>
      <c r="G545" s="7">
        <v>6237.8150996743771</v>
      </c>
      <c r="H545" s="7">
        <f t="shared" si="68"/>
        <v>149.23002630799945</v>
      </c>
      <c r="I545" s="7">
        <f t="shared" si="69"/>
        <v>324.29202727355874</v>
      </c>
      <c r="J545" s="7">
        <v>1583.0303322567006</v>
      </c>
      <c r="K545" s="7">
        <f t="shared" si="70"/>
        <v>25.24769269946891</v>
      </c>
      <c r="L545" s="7">
        <f t="shared" si="71"/>
        <v>95.032607836201336</v>
      </c>
      <c r="M545" s="7">
        <v>1084.6472361114716</v>
      </c>
      <c r="N545" s="7">
        <f t="shared" si="72"/>
        <v>86.49499490522102</v>
      </c>
      <c r="O545" s="7">
        <f t="shared" si="73"/>
        <v>32.741381508493511</v>
      </c>
    </row>
    <row r="546" spans="3:15" x14ac:dyDescent="0.2">
      <c r="C546">
        <v>527</v>
      </c>
      <c r="D546" s="7">
        <v>3760.7365565148025</v>
      </c>
      <c r="E546" s="7">
        <f t="shared" si="66"/>
        <v>112.46221759912687</v>
      </c>
      <c r="F546" s="7">
        <f t="shared" si="67"/>
        <v>303.68887183026624</v>
      </c>
      <c r="G546" s="7">
        <v>0</v>
      </c>
      <c r="H546" s="7">
        <f t="shared" si="68"/>
        <v>0</v>
      </c>
      <c r="I546" s="7">
        <f t="shared" si="69"/>
        <v>0</v>
      </c>
      <c r="J546" s="7">
        <v>842.76344348519569</v>
      </c>
      <c r="K546" s="7">
        <f t="shared" si="70"/>
        <v>13.441203245377922</v>
      </c>
      <c r="L546" s="7">
        <f t="shared" si="71"/>
        <v>50.592844743058286</v>
      </c>
      <c r="M546" s="7">
        <v>0</v>
      </c>
      <c r="N546" s="7">
        <f t="shared" si="72"/>
        <v>0</v>
      </c>
      <c r="O546" s="7">
        <f t="shared" si="73"/>
        <v>0</v>
      </c>
    </row>
    <row r="547" spans="3:15" x14ac:dyDescent="0.2">
      <c r="C547">
        <v>528</v>
      </c>
      <c r="D547" s="7">
        <v>3752.5513464052224</v>
      </c>
      <c r="E547" s="7">
        <f t="shared" si="66"/>
        <v>112.21744456953417</v>
      </c>
      <c r="F547" s="7">
        <f t="shared" si="67"/>
        <v>303.02789566601837</v>
      </c>
      <c r="G547" s="7">
        <v>0</v>
      </c>
      <c r="H547" s="7">
        <f t="shared" si="68"/>
        <v>0</v>
      </c>
      <c r="I547" s="7">
        <f t="shared" si="69"/>
        <v>0</v>
      </c>
      <c r="J547" s="7">
        <v>108.44865359477672</v>
      </c>
      <c r="K547" s="7">
        <f t="shared" si="70"/>
        <v>1.7296435980028186</v>
      </c>
      <c r="L547" s="7">
        <f t="shared" si="71"/>
        <v>6.5103985422341477</v>
      </c>
      <c r="M547" s="7">
        <v>0</v>
      </c>
      <c r="N547" s="7">
        <f t="shared" si="72"/>
        <v>0</v>
      </c>
      <c r="O547" s="7">
        <f t="shared" si="73"/>
        <v>0</v>
      </c>
    </row>
    <row r="548" spans="3:15" x14ac:dyDescent="0.2">
      <c r="C548">
        <v>529</v>
      </c>
      <c r="D548" s="7">
        <v>2524.5</v>
      </c>
      <c r="E548" s="7">
        <f t="shared" si="66"/>
        <v>75.493421052631589</v>
      </c>
      <c r="F548" s="7">
        <f t="shared" si="67"/>
        <v>203.85968158482189</v>
      </c>
      <c r="G548" s="7">
        <v>0</v>
      </c>
      <c r="H548" s="7">
        <f t="shared" si="68"/>
        <v>0</v>
      </c>
      <c r="I548" s="7">
        <f t="shared" si="69"/>
        <v>0</v>
      </c>
      <c r="J548" s="7">
        <v>0</v>
      </c>
      <c r="K548" s="7">
        <f t="shared" si="70"/>
        <v>0</v>
      </c>
      <c r="L548" s="7">
        <f t="shared" si="71"/>
        <v>0</v>
      </c>
      <c r="M548" s="7">
        <v>0</v>
      </c>
      <c r="N548" s="7">
        <f t="shared" si="72"/>
        <v>0</v>
      </c>
      <c r="O548" s="7">
        <f t="shared" si="73"/>
        <v>0</v>
      </c>
    </row>
    <row r="549" spans="3:15" x14ac:dyDescent="0.2">
      <c r="C549">
        <v>530</v>
      </c>
      <c r="D549" s="7">
        <v>2376</v>
      </c>
      <c r="E549" s="7">
        <f t="shared" si="66"/>
        <v>71.05263157894737</v>
      </c>
      <c r="F549" s="7">
        <f t="shared" si="67"/>
        <v>191.86793560924414</v>
      </c>
      <c r="G549" s="7">
        <v>0</v>
      </c>
      <c r="H549" s="7">
        <f t="shared" si="68"/>
        <v>0</v>
      </c>
      <c r="I549" s="7">
        <f t="shared" si="69"/>
        <v>0</v>
      </c>
      <c r="J549" s="7">
        <v>0</v>
      </c>
      <c r="K549" s="7">
        <f t="shared" si="70"/>
        <v>0</v>
      </c>
      <c r="L549" s="7">
        <f t="shared" si="71"/>
        <v>0</v>
      </c>
      <c r="M549" s="7">
        <v>0</v>
      </c>
      <c r="N549" s="7">
        <f t="shared" si="72"/>
        <v>0</v>
      </c>
      <c r="O549" s="7">
        <f t="shared" si="73"/>
        <v>0</v>
      </c>
    </row>
    <row r="550" spans="3:15" x14ac:dyDescent="0.2">
      <c r="C550">
        <v>531</v>
      </c>
      <c r="D550" s="7">
        <v>2554.1999999999998</v>
      </c>
      <c r="E550" s="7">
        <f t="shared" si="66"/>
        <v>76.381578947368425</v>
      </c>
      <c r="F550" s="7">
        <f t="shared" si="67"/>
        <v>206.25803077993743</v>
      </c>
      <c r="G550" s="7">
        <v>0</v>
      </c>
      <c r="H550" s="7">
        <f t="shared" si="68"/>
        <v>0</v>
      </c>
      <c r="I550" s="7">
        <f t="shared" si="69"/>
        <v>0</v>
      </c>
      <c r="J550" s="7">
        <v>0</v>
      </c>
      <c r="K550" s="7">
        <f t="shared" si="70"/>
        <v>0</v>
      </c>
      <c r="L550" s="7">
        <f t="shared" si="71"/>
        <v>0</v>
      </c>
      <c r="M550" s="7">
        <v>0</v>
      </c>
      <c r="N550" s="7">
        <f t="shared" si="72"/>
        <v>0</v>
      </c>
      <c r="O550" s="7">
        <f t="shared" si="73"/>
        <v>0</v>
      </c>
    </row>
    <row r="551" spans="3:15" x14ac:dyDescent="0.2">
      <c r="C551">
        <v>532</v>
      </c>
      <c r="D551" s="7">
        <v>2673</v>
      </c>
      <c r="E551" s="7">
        <f t="shared" si="66"/>
        <v>79.934210526315795</v>
      </c>
      <c r="F551" s="7">
        <f t="shared" si="67"/>
        <v>215.85142756039966</v>
      </c>
      <c r="G551" s="7">
        <v>0</v>
      </c>
      <c r="H551" s="7">
        <f t="shared" si="68"/>
        <v>0</v>
      </c>
      <c r="I551" s="7">
        <f t="shared" si="69"/>
        <v>0</v>
      </c>
      <c r="J551" s="7">
        <v>0</v>
      </c>
      <c r="K551" s="7">
        <f t="shared" si="70"/>
        <v>0</v>
      </c>
      <c r="L551" s="7">
        <f t="shared" si="71"/>
        <v>0</v>
      </c>
      <c r="M551" s="7">
        <v>0</v>
      </c>
      <c r="N551" s="7">
        <f t="shared" si="72"/>
        <v>0</v>
      </c>
      <c r="O551" s="7">
        <f t="shared" si="73"/>
        <v>0</v>
      </c>
    </row>
    <row r="552" spans="3:15" x14ac:dyDescent="0.2">
      <c r="C552">
        <v>533</v>
      </c>
      <c r="D552" s="7">
        <v>2948.7857142857142</v>
      </c>
      <c r="E552" s="7">
        <f t="shared" si="66"/>
        <v>88.181390977443613</v>
      </c>
      <c r="F552" s="7">
        <f t="shared" si="67"/>
        <v>238.12181294361548</v>
      </c>
      <c r="G552" s="7">
        <v>0</v>
      </c>
      <c r="H552" s="7">
        <f t="shared" si="68"/>
        <v>0</v>
      </c>
      <c r="I552" s="7">
        <f t="shared" si="69"/>
        <v>0</v>
      </c>
      <c r="J552" s="7">
        <v>0</v>
      </c>
      <c r="K552" s="7">
        <f t="shared" si="70"/>
        <v>0</v>
      </c>
      <c r="L552" s="7">
        <f t="shared" si="71"/>
        <v>0</v>
      </c>
      <c r="M552" s="7">
        <v>0</v>
      </c>
      <c r="N552" s="7">
        <f t="shared" si="72"/>
        <v>0</v>
      </c>
      <c r="O552" s="7">
        <f t="shared" si="73"/>
        <v>0</v>
      </c>
    </row>
    <row r="553" spans="3:15" x14ac:dyDescent="0.2">
      <c r="C553">
        <v>534</v>
      </c>
      <c r="D553" s="7">
        <v>3139.7142857142858</v>
      </c>
      <c r="E553" s="7">
        <f t="shared" si="66"/>
        <v>93.890977443609032</v>
      </c>
      <c r="F553" s="7">
        <f t="shared" si="67"/>
        <v>253.5397720550726</v>
      </c>
      <c r="G553" s="7">
        <v>0</v>
      </c>
      <c r="H553" s="7">
        <f t="shared" si="68"/>
        <v>0</v>
      </c>
      <c r="I553" s="7">
        <f t="shared" si="69"/>
        <v>0</v>
      </c>
      <c r="J553" s="7">
        <v>0</v>
      </c>
      <c r="K553" s="7">
        <f t="shared" si="70"/>
        <v>0</v>
      </c>
      <c r="L553" s="7">
        <f t="shared" si="71"/>
        <v>0</v>
      </c>
      <c r="M553" s="7">
        <v>0</v>
      </c>
      <c r="N553" s="7">
        <f t="shared" si="72"/>
        <v>0</v>
      </c>
      <c r="O553" s="7">
        <f t="shared" si="73"/>
        <v>0</v>
      </c>
    </row>
    <row r="554" spans="3:15" x14ac:dyDescent="0.2">
      <c r="C554">
        <v>535</v>
      </c>
      <c r="D554" s="7">
        <v>3330.6428571428564</v>
      </c>
      <c r="E554" s="7">
        <f t="shared" si="66"/>
        <v>99.600563909774422</v>
      </c>
      <c r="F554" s="7">
        <f t="shared" si="67"/>
        <v>268.95773116652964</v>
      </c>
      <c r="G554" s="7">
        <v>6237.8528881254206</v>
      </c>
      <c r="H554" s="7">
        <f t="shared" si="68"/>
        <v>149.23093033792873</v>
      </c>
      <c r="I554" s="7">
        <f t="shared" si="69"/>
        <v>324.2939918225556</v>
      </c>
      <c r="J554" s="7">
        <v>0</v>
      </c>
      <c r="K554" s="7">
        <f t="shared" si="70"/>
        <v>0</v>
      </c>
      <c r="L554" s="7">
        <f t="shared" si="71"/>
        <v>0</v>
      </c>
      <c r="M554" s="7">
        <v>1084.6094476604287</v>
      </c>
      <c r="N554" s="7">
        <f t="shared" si="72"/>
        <v>86.491981472123513</v>
      </c>
      <c r="O554" s="7">
        <f t="shared" si="73"/>
        <v>32.740240818644303</v>
      </c>
    </row>
    <row r="555" spans="3:15" x14ac:dyDescent="0.2">
      <c r="C555">
        <v>536</v>
      </c>
      <c r="D555" s="7">
        <v>3521.5714285714284</v>
      </c>
      <c r="E555" s="7">
        <f t="shared" si="66"/>
        <v>105.31015037593986</v>
      </c>
      <c r="F555" s="7">
        <f t="shared" si="67"/>
        <v>284.37569027798685</v>
      </c>
      <c r="G555" s="7">
        <v>6239.1495062364256</v>
      </c>
      <c r="H555" s="7">
        <f t="shared" si="68"/>
        <v>149.26194990996234</v>
      </c>
      <c r="I555" s="7">
        <f t="shared" si="69"/>
        <v>324.36140050798446</v>
      </c>
      <c r="J555" s="7">
        <v>0</v>
      </c>
      <c r="K555" s="7">
        <f t="shared" si="70"/>
        <v>0</v>
      </c>
      <c r="L555" s="7">
        <f t="shared" si="71"/>
        <v>0</v>
      </c>
      <c r="M555" s="7">
        <v>1083.3128295494237</v>
      </c>
      <c r="N555" s="7">
        <f t="shared" si="72"/>
        <v>86.388582898678123</v>
      </c>
      <c r="O555" s="7">
        <f t="shared" si="73"/>
        <v>32.701100841304353</v>
      </c>
    </row>
    <row r="556" spans="3:15" x14ac:dyDescent="0.2">
      <c r="C556">
        <v>537</v>
      </c>
      <c r="D556" s="7">
        <v>3712.4999999999995</v>
      </c>
      <c r="E556" s="7">
        <f t="shared" si="66"/>
        <v>111.01973684210526</v>
      </c>
      <c r="F556" s="7">
        <f t="shared" si="67"/>
        <v>299.79364938944394</v>
      </c>
      <c r="G556" s="7">
        <v>0</v>
      </c>
      <c r="H556" s="7">
        <f t="shared" si="68"/>
        <v>0</v>
      </c>
      <c r="I556" s="7">
        <f t="shared" si="69"/>
        <v>0</v>
      </c>
      <c r="J556" s="7">
        <v>0</v>
      </c>
      <c r="K556" s="7">
        <f t="shared" si="70"/>
        <v>0</v>
      </c>
      <c r="L556" s="7">
        <f t="shared" si="71"/>
        <v>0</v>
      </c>
      <c r="M556" s="7">
        <v>0</v>
      </c>
      <c r="N556" s="7">
        <f t="shared" si="72"/>
        <v>0</v>
      </c>
      <c r="O556" s="7">
        <f t="shared" si="73"/>
        <v>0</v>
      </c>
    </row>
    <row r="557" spans="3:15" x14ac:dyDescent="0.2">
      <c r="C557">
        <v>538</v>
      </c>
      <c r="D557" s="7">
        <v>3722.1510535892985</v>
      </c>
      <c r="E557" s="7">
        <f t="shared" si="66"/>
        <v>111.30834490398621</v>
      </c>
      <c r="F557" s="7">
        <f t="shared" si="67"/>
        <v>300.57299607657899</v>
      </c>
      <c r="G557" s="7">
        <v>0</v>
      </c>
      <c r="H557" s="7">
        <f t="shared" si="68"/>
        <v>0</v>
      </c>
      <c r="I557" s="7">
        <f t="shared" si="69"/>
        <v>0</v>
      </c>
      <c r="J557" s="7">
        <v>181.27751783927306</v>
      </c>
      <c r="K557" s="7">
        <f t="shared" si="70"/>
        <v>2.8911884822850569</v>
      </c>
      <c r="L557" s="7">
        <f t="shared" si="71"/>
        <v>10.882466944130602</v>
      </c>
      <c r="M557" s="7">
        <v>0</v>
      </c>
      <c r="N557" s="7">
        <f t="shared" si="72"/>
        <v>0</v>
      </c>
      <c r="O557" s="7">
        <f t="shared" si="73"/>
        <v>0</v>
      </c>
    </row>
    <row r="558" spans="3:15" x14ac:dyDescent="0.2">
      <c r="C558">
        <v>539</v>
      </c>
      <c r="D558" s="7">
        <v>3715.9064680504121</v>
      </c>
      <c r="E558" s="7">
        <f t="shared" si="66"/>
        <v>111.12160490581377</v>
      </c>
      <c r="F558" s="7">
        <f t="shared" si="67"/>
        <v>300.06873019438984</v>
      </c>
      <c r="G558" s="7">
        <v>0</v>
      </c>
      <c r="H558" s="7">
        <f t="shared" si="68"/>
        <v>0</v>
      </c>
      <c r="I558" s="7">
        <f t="shared" si="69"/>
        <v>0</v>
      </c>
      <c r="J558" s="7">
        <v>378.45067480673015</v>
      </c>
      <c r="K558" s="7">
        <f t="shared" si="70"/>
        <v>6.0358959299319004</v>
      </c>
      <c r="L558" s="7">
        <f t="shared" si="71"/>
        <v>22.71918221110985</v>
      </c>
      <c r="M558" s="7">
        <v>0</v>
      </c>
      <c r="N558" s="7">
        <f t="shared" si="72"/>
        <v>0</v>
      </c>
      <c r="O558" s="7">
        <f t="shared" si="73"/>
        <v>0</v>
      </c>
    </row>
    <row r="559" spans="3:15" x14ac:dyDescent="0.2">
      <c r="C559">
        <v>540</v>
      </c>
      <c r="D559" s="7">
        <v>3709.6931822164729</v>
      </c>
      <c r="E559" s="7">
        <f t="shared" si="66"/>
        <v>110.93580090360267</v>
      </c>
      <c r="F559" s="7">
        <f t="shared" si="67"/>
        <v>299.56699184156656</v>
      </c>
      <c r="G559" s="7">
        <v>0</v>
      </c>
      <c r="H559" s="7">
        <f t="shared" si="68"/>
        <v>0</v>
      </c>
      <c r="I559" s="7">
        <f t="shared" si="69"/>
        <v>0</v>
      </c>
      <c r="J559" s="7">
        <v>575.59253206924086</v>
      </c>
      <c r="K559" s="7">
        <f t="shared" si="70"/>
        <v>9.1801041797327105</v>
      </c>
      <c r="L559" s="7">
        <f t="shared" si="71"/>
        <v>34.554018491613007</v>
      </c>
      <c r="M559" s="7">
        <v>0</v>
      </c>
      <c r="N559" s="7">
        <f t="shared" si="72"/>
        <v>0</v>
      </c>
      <c r="O559" s="7">
        <f t="shared" si="73"/>
        <v>0</v>
      </c>
    </row>
    <row r="560" spans="3:15" x14ac:dyDescent="0.2">
      <c r="C560">
        <v>541</v>
      </c>
      <c r="D560" s="7">
        <v>3703.5110918535379</v>
      </c>
      <c r="E560" s="7">
        <f t="shared" si="66"/>
        <v>110.75092978030915</v>
      </c>
      <c r="F560" s="7">
        <f t="shared" si="67"/>
        <v>299.06777260095794</v>
      </c>
      <c r="G560" s="7">
        <v>0</v>
      </c>
      <c r="H560" s="7">
        <f t="shared" si="68"/>
        <v>0</v>
      </c>
      <c r="I560" s="7">
        <f t="shared" si="69"/>
        <v>0</v>
      </c>
      <c r="J560" s="7">
        <v>772.70319386074652</v>
      </c>
      <c r="K560" s="7">
        <f t="shared" si="70"/>
        <v>12.323814894110791</v>
      </c>
      <c r="L560" s="7">
        <f t="shared" si="71"/>
        <v>46.386982043020652</v>
      </c>
      <c r="M560" s="7">
        <v>0</v>
      </c>
      <c r="N560" s="7">
        <f t="shared" si="72"/>
        <v>0</v>
      </c>
      <c r="O560" s="7">
        <f t="shared" si="73"/>
        <v>0</v>
      </c>
    </row>
    <row r="561" spans="3:15" x14ac:dyDescent="0.2">
      <c r="C561">
        <v>542</v>
      </c>
      <c r="D561" s="7">
        <v>3697.3600930083935</v>
      </c>
      <c r="E561" s="7">
        <f t="shared" si="66"/>
        <v>110.5669884272845</v>
      </c>
      <c r="F561" s="7">
        <f t="shared" si="67"/>
        <v>298.5710640780822</v>
      </c>
      <c r="G561" s="7">
        <v>0</v>
      </c>
      <c r="H561" s="7">
        <f t="shared" si="68"/>
        <v>0</v>
      </c>
      <c r="I561" s="7">
        <f t="shared" si="69"/>
        <v>0</v>
      </c>
      <c r="J561" s="7">
        <v>969.78276413446338</v>
      </c>
      <c r="K561" s="7">
        <f t="shared" si="70"/>
        <v>15.467029731012175</v>
      </c>
      <c r="L561" s="7">
        <f t="shared" si="71"/>
        <v>58.218079105860859</v>
      </c>
      <c r="M561" s="7">
        <v>0</v>
      </c>
      <c r="N561" s="7">
        <f t="shared" si="72"/>
        <v>0</v>
      </c>
      <c r="O561" s="7">
        <f t="shared" si="73"/>
        <v>0</v>
      </c>
    </row>
    <row r="562" spans="3:15" x14ac:dyDescent="0.2">
      <c r="C562">
        <v>543</v>
      </c>
      <c r="D562" s="7">
        <v>3691.2400820079201</v>
      </c>
      <c r="E562" s="7">
        <f t="shared" si="66"/>
        <v>110.383973744256</v>
      </c>
      <c r="F562" s="7">
        <f t="shared" si="67"/>
        <v>298.07685790107604</v>
      </c>
      <c r="G562" s="7">
        <v>0</v>
      </c>
      <c r="H562" s="7">
        <f t="shared" si="68"/>
        <v>0</v>
      </c>
      <c r="I562" s="7">
        <f t="shared" si="69"/>
        <v>0</v>
      </c>
      <c r="J562" s="7">
        <v>1166.8313465635083</v>
      </c>
      <c r="K562" s="7">
        <f t="shared" si="70"/>
        <v>18.609750343915604</v>
      </c>
      <c r="L562" s="7">
        <f t="shared" si="71"/>
        <v>70.047315903846766</v>
      </c>
      <c r="M562" s="7">
        <v>0</v>
      </c>
      <c r="N562" s="7">
        <f t="shared" si="72"/>
        <v>0</v>
      </c>
      <c r="O562" s="7">
        <f t="shared" si="73"/>
        <v>0</v>
      </c>
    </row>
    <row r="563" spans="3:15" x14ac:dyDescent="0.2">
      <c r="C563">
        <v>544</v>
      </c>
      <c r="D563" s="7">
        <v>3691.1146690416804</v>
      </c>
      <c r="E563" s="7">
        <f t="shared" si="66"/>
        <v>110.38022335650959</v>
      </c>
      <c r="F563" s="7">
        <f t="shared" si="67"/>
        <v>298.06673049075152</v>
      </c>
      <c r="G563" s="7">
        <v>6233.2668850352293</v>
      </c>
      <c r="H563" s="7">
        <f t="shared" si="68"/>
        <v>149.12121734534043</v>
      </c>
      <c r="I563" s="7">
        <f t="shared" si="69"/>
        <v>324.05557432934097</v>
      </c>
      <c r="J563" s="7">
        <v>1357.8853309583196</v>
      </c>
      <c r="K563" s="7">
        <f t="shared" si="70"/>
        <v>21.656863332668575</v>
      </c>
      <c r="L563" s="7">
        <f t="shared" si="71"/>
        <v>81.516684496836959</v>
      </c>
      <c r="M563" s="7">
        <v>1089.19545075062</v>
      </c>
      <c r="N563" s="7">
        <f t="shared" si="72"/>
        <v>86.857691447417864</v>
      </c>
      <c r="O563" s="7">
        <f t="shared" si="73"/>
        <v>32.87867483827393</v>
      </c>
    </row>
    <row r="564" spans="3:15" x14ac:dyDescent="0.2">
      <c r="C564">
        <v>545</v>
      </c>
      <c r="D564" s="7">
        <v>3699.0208521519835</v>
      </c>
      <c r="E564" s="7">
        <f t="shared" si="66"/>
        <v>110.61665227727224</v>
      </c>
      <c r="F564" s="7">
        <f t="shared" si="67"/>
        <v>298.70517452775596</v>
      </c>
      <c r="G564" s="7">
        <v>6232.6221569943136</v>
      </c>
      <c r="H564" s="7">
        <f t="shared" si="68"/>
        <v>149.10579322952904</v>
      </c>
      <c r="I564" s="7">
        <f t="shared" si="69"/>
        <v>324.02205615669749</v>
      </c>
      <c r="J564" s="7">
        <v>1201.4791478480156</v>
      </c>
      <c r="K564" s="7">
        <f t="shared" si="70"/>
        <v>19.162346855630233</v>
      </c>
      <c r="L564" s="7">
        <f t="shared" si="71"/>
        <v>72.127295576228221</v>
      </c>
      <c r="M564" s="7">
        <v>1089.840178791535</v>
      </c>
      <c r="N564" s="7">
        <f t="shared" si="72"/>
        <v>86.909105166789075</v>
      </c>
      <c r="O564" s="7">
        <f t="shared" si="73"/>
        <v>32.898136729711091</v>
      </c>
    </row>
    <row r="565" spans="3:15" x14ac:dyDescent="0.2">
      <c r="C565">
        <v>546</v>
      </c>
      <c r="D565" s="7">
        <v>3706.8921006959072</v>
      </c>
      <c r="E565" s="7">
        <f t="shared" si="66"/>
        <v>110.85203650406422</v>
      </c>
      <c r="F565" s="7">
        <f t="shared" si="67"/>
        <v>299.34079751125336</v>
      </c>
      <c r="G565" s="7">
        <v>6231.8645821672217</v>
      </c>
      <c r="H565" s="7">
        <f t="shared" si="68"/>
        <v>149.08766942983786</v>
      </c>
      <c r="I565" s="7">
        <f t="shared" si="69"/>
        <v>323.98267129636372</v>
      </c>
      <c r="J565" s="7">
        <v>1490.6078993040928</v>
      </c>
      <c r="K565" s="7">
        <f t="shared" si="70"/>
        <v>23.773650706604354</v>
      </c>
      <c r="L565" s="7">
        <f t="shared" si="71"/>
        <v>89.484296697063584</v>
      </c>
      <c r="M565" s="7">
        <v>1090.5977536186278</v>
      </c>
      <c r="N565" s="7">
        <f t="shared" si="72"/>
        <v>86.969517832426476</v>
      </c>
      <c r="O565" s="7">
        <f t="shared" si="73"/>
        <v>32.921005037128722</v>
      </c>
    </row>
    <row r="566" spans="3:15" x14ac:dyDescent="0.2">
      <c r="C566">
        <v>547</v>
      </c>
      <c r="D566" s="7">
        <v>3714.7278219466625</v>
      </c>
      <c r="E566" s="7">
        <f t="shared" si="66"/>
        <v>111.08635831180212</v>
      </c>
      <c r="F566" s="7">
        <f t="shared" si="67"/>
        <v>299.97355157707489</v>
      </c>
      <c r="G566" s="7">
        <v>6230.6939447129771</v>
      </c>
      <c r="H566" s="7">
        <f t="shared" si="68"/>
        <v>149.05966374911429</v>
      </c>
      <c r="I566" s="7">
        <f t="shared" si="69"/>
        <v>323.92181210333325</v>
      </c>
      <c r="J566" s="7">
        <v>1779.7721780533375</v>
      </c>
      <c r="K566" s="7">
        <f t="shared" si="70"/>
        <v>28.385521181073965</v>
      </c>
      <c r="L566" s="7">
        <f t="shared" si="71"/>
        <v>106.84343059530079</v>
      </c>
      <c r="M566" s="7">
        <v>1091.7683910728717</v>
      </c>
      <c r="N566" s="7">
        <f t="shared" si="72"/>
        <v>87.062870101504927</v>
      </c>
      <c r="O566" s="7">
        <f t="shared" si="73"/>
        <v>32.956342136806342</v>
      </c>
    </row>
    <row r="567" spans="3:15" x14ac:dyDescent="0.2">
      <c r="C567">
        <v>548</v>
      </c>
      <c r="D567" s="7">
        <v>3722.5272778302829</v>
      </c>
      <c r="E567" s="7">
        <f t="shared" si="66"/>
        <v>111.31959562889602</v>
      </c>
      <c r="F567" s="7">
        <f t="shared" si="67"/>
        <v>300.60337712390384</v>
      </c>
      <c r="G567" s="7">
        <v>6229.2111124859648</v>
      </c>
      <c r="H567" s="7">
        <f t="shared" si="68"/>
        <v>149.0241892939226</v>
      </c>
      <c r="I567" s="7">
        <f t="shared" si="69"/>
        <v>323.84472250363831</v>
      </c>
      <c r="J567" s="7">
        <v>1920.4727221697162</v>
      </c>
      <c r="K567" s="7">
        <f t="shared" si="70"/>
        <v>30.629548997922111</v>
      </c>
      <c r="L567" s="7">
        <f t="shared" si="71"/>
        <v>115.28997729683533</v>
      </c>
      <c r="M567" s="7">
        <v>1093.2512232998843</v>
      </c>
      <c r="N567" s="7">
        <f t="shared" si="72"/>
        <v>87.181118285477226</v>
      </c>
      <c r="O567" s="7">
        <f t="shared" si="73"/>
        <v>33.001103211228809</v>
      </c>
    </row>
    <row r="568" spans="3:15" x14ac:dyDescent="0.2">
      <c r="C568">
        <v>549</v>
      </c>
      <c r="D568" s="7">
        <v>3730.289885003207</v>
      </c>
      <c r="E568" s="7">
        <f t="shared" si="66"/>
        <v>111.55173101086146</v>
      </c>
      <c r="F568" s="7">
        <f t="shared" si="67"/>
        <v>301.23022704529041</v>
      </c>
      <c r="G568" s="7">
        <v>6227.3164059655246</v>
      </c>
      <c r="H568" s="7">
        <f t="shared" si="68"/>
        <v>148.97886138673505</v>
      </c>
      <c r="I568" s="7">
        <f t="shared" si="69"/>
        <v>323.74622035043507</v>
      </c>
      <c r="J568" s="7">
        <v>2358.2101149967921</v>
      </c>
      <c r="K568" s="7">
        <f t="shared" si="70"/>
        <v>37.611006618768613</v>
      </c>
      <c r="L568" s="7">
        <f t="shared" si="71"/>
        <v>141.56826466766194</v>
      </c>
      <c r="M568" s="7">
        <v>1095.1459298203242</v>
      </c>
      <c r="N568" s="7">
        <f t="shared" si="72"/>
        <v>87.332211309435749</v>
      </c>
      <c r="O568" s="7">
        <f t="shared" si="73"/>
        <v>33.058297206628417</v>
      </c>
    </row>
    <row r="569" spans="3:15" x14ac:dyDescent="0.2">
      <c r="C569">
        <v>550</v>
      </c>
      <c r="D569" s="7">
        <v>3738.0151400666937</v>
      </c>
      <c r="E569" s="7">
        <f t="shared" si="66"/>
        <v>111.78274940390831</v>
      </c>
      <c r="F569" s="7">
        <f t="shared" si="67"/>
        <v>301.85406069052863</v>
      </c>
      <c r="G569" s="7">
        <v>6225.6117882394992</v>
      </c>
      <c r="H569" s="7">
        <f t="shared" si="68"/>
        <v>148.93808105836123</v>
      </c>
      <c r="I569" s="7">
        <f t="shared" si="69"/>
        <v>323.65760054858686</v>
      </c>
      <c r="J569" s="7">
        <v>1607.9848599333063</v>
      </c>
      <c r="K569" s="7">
        <f t="shared" si="70"/>
        <v>25.645691545985748</v>
      </c>
      <c r="L569" s="7">
        <f t="shared" si="71"/>
        <v>96.530680105636506</v>
      </c>
      <c r="M569" s="7">
        <v>1096.8505475463498</v>
      </c>
      <c r="N569" s="7">
        <f t="shared" si="72"/>
        <v>87.468145737348479</v>
      </c>
      <c r="O569" s="7">
        <f t="shared" si="73"/>
        <v>33.109753143117068</v>
      </c>
    </row>
    <row r="570" spans="3:15" x14ac:dyDescent="0.2">
      <c r="C570">
        <v>551</v>
      </c>
      <c r="D570" s="7">
        <v>3737.6663816062678</v>
      </c>
      <c r="E570" s="7">
        <f t="shared" si="66"/>
        <v>111.77232002411088</v>
      </c>
      <c r="F570" s="7">
        <f t="shared" si="67"/>
        <v>301.82589757359762</v>
      </c>
      <c r="G570" s="7">
        <v>0</v>
      </c>
      <c r="H570" s="7">
        <f t="shared" si="68"/>
        <v>0</v>
      </c>
      <c r="I570" s="7">
        <f t="shared" si="69"/>
        <v>0</v>
      </c>
      <c r="J570" s="7">
        <v>865.83361839373038</v>
      </c>
      <c r="K570" s="7">
        <f t="shared" si="70"/>
        <v>13.809148618719783</v>
      </c>
      <c r="L570" s="7">
        <f t="shared" si="71"/>
        <v>51.977795391268501</v>
      </c>
      <c r="M570" s="7">
        <v>0</v>
      </c>
      <c r="N570" s="7">
        <f t="shared" si="72"/>
        <v>0</v>
      </c>
      <c r="O570" s="7">
        <f t="shared" si="73"/>
        <v>0</v>
      </c>
    </row>
    <row r="571" spans="3:15" x14ac:dyDescent="0.2">
      <c r="C571">
        <v>552</v>
      </c>
      <c r="D571" s="7">
        <v>3731.3856672740326</v>
      </c>
      <c r="E571" s="7">
        <f t="shared" si="66"/>
        <v>111.58449961943879</v>
      </c>
      <c r="F571" s="7">
        <f t="shared" si="67"/>
        <v>301.3187142010903</v>
      </c>
      <c r="G571" s="7">
        <v>0</v>
      </c>
      <c r="H571" s="7">
        <f t="shared" si="68"/>
        <v>0</v>
      </c>
      <c r="I571" s="7">
        <f t="shared" si="69"/>
        <v>0</v>
      </c>
      <c r="J571" s="7">
        <v>129.61433272596651</v>
      </c>
      <c r="K571" s="7">
        <f t="shared" si="70"/>
        <v>2.0672142380536922</v>
      </c>
      <c r="L571" s="7">
        <f t="shared" si="71"/>
        <v>7.7810183424206789</v>
      </c>
      <c r="M571" s="7">
        <v>0</v>
      </c>
      <c r="N571" s="7">
        <f t="shared" si="72"/>
        <v>0</v>
      </c>
      <c r="O571" s="7">
        <f t="shared" si="73"/>
        <v>0</v>
      </c>
    </row>
    <row r="572" spans="3:15" x14ac:dyDescent="0.2">
      <c r="C572">
        <v>553</v>
      </c>
      <c r="D572" s="7">
        <v>2524.5</v>
      </c>
      <c r="E572" s="7">
        <f t="shared" si="66"/>
        <v>75.493421052631589</v>
      </c>
      <c r="F572" s="7">
        <f t="shared" si="67"/>
        <v>203.85968158482189</v>
      </c>
      <c r="G572" s="7">
        <v>0</v>
      </c>
      <c r="H572" s="7">
        <f t="shared" si="68"/>
        <v>0</v>
      </c>
      <c r="I572" s="7">
        <f t="shared" si="69"/>
        <v>0</v>
      </c>
      <c r="J572" s="7">
        <v>0</v>
      </c>
      <c r="K572" s="7">
        <f t="shared" si="70"/>
        <v>0</v>
      </c>
      <c r="L572" s="7">
        <f t="shared" si="71"/>
        <v>0</v>
      </c>
      <c r="M572" s="7">
        <v>0</v>
      </c>
      <c r="N572" s="7">
        <f t="shared" si="72"/>
        <v>0</v>
      </c>
      <c r="O572" s="7">
        <f t="shared" si="73"/>
        <v>0</v>
      </c>
    </row>
    <row r="573" spans="3:15" x14ac:dyDescent="0.2">
      <c r="C573">
        <v>554</v>
      </c>
      <c r="D573" s="7">
        <v>2376</v>
      </c>
      <c r="E573" s="7">
        <f t="shared" si="66"/>
        <v>71.05263157894737</v>
      </c>
      <c r="F573" s="7">
        <f t="shared" si="67"/>
        <v>191.86793560924414</v>
      </c>
      <c r="G573" s="7">
        <v>0</v>
      </c>
      <c r="H573" s="7">
        <f t="shared" si="68"/>
        <v>0</v>
      </c>
      <c r="I573" s="7">
        <f t="shared" si="69"/>
        <v>0</v>
      </c>
      <c r="J573" s="7">
        <v>0</v>
      </c>
      <c r="K573" s="7">
        <f t="shared" si="70"/>
        <v>0</v>
      </c>
      <c r="L573" s="7">
        <f t="shared" si="71"/>
        <v>0</v>
      </c>
      <c r="M573" s="7">
        <v>0</v>
      </c>
      <c r="N573" s="7">
        <f t="shared" si="72"/>
        <v>0</v>
      </c>
      <c r="O573" s="7">
        <f t="shared" si="73"/>
        <v>0</v>
      </c>
    </row>
    <row r="574" spans="3:15" x14ac:dyDescent="0.2">
      <c r="C574">
        <v>555</v>
      </c>
      <c r="D574" s="7">
        <v>2524.5</v>
      </c>
      <c r="E574" s="7">
        <f t="shared" si="66"/>
        <v>75.493421052631589</v>
      </c>
      <c r="F574" s="7">
        <f t="shared" si="67"/>
        <v>203.85968158482189</v>
      </c>
      <c r="G574" s="7">
        <v>0</v>
      </c>
      <c r="H574" s="7">
        <f t="shared" si="68"/>
        <v>0</v>
      </c>
      <c r="I574" s="7">
        <f t="shared" si="69"/>
        <v>0</v>
      </c>
      <c r="J574" s="7">
        <v>0</v>
      </c>
      <c r="K574" s="7">
        <f t="shared" si="70"/>
        <v>0</v>
      </c>
      <c r="L574" s="7">
        <f t="shared" si="71"/>
        <v>0</v>
      </c>
      <c r="M574" s="7">
        <v>0</v>
      </c>
      <c r="N574" s="7">
        <f t="shared" si="72"/>
        <v>0</v>
      </c>
      <c r="O574" s="7">
        <f t="shared" si="73"/>
        <v>0</v>
      </c>
    </row>
    <row r="575" spans="3:15" x14ac:dyDescent="0.2">
      <c r="C575">
        <v>556</v>
      </c>
      <c r="D575" s="7">
        <v>2673</v>
      </c>
      <c r="E575" s="7">
        <f t="shared" si="66"/>
        <v>79.934210526315795</v>
      </c>
      <c r="F575" s="7">
        <f t="shared" si="67"/>
        <v>215.85142756039966</v>
      </c>
      <c r="G575" s="7">
        <v>0</v>
      </c>
      <c r="H575" s="7">
        <f t="shared" si="68"/>
        <v>0</v>
      </c>
      <c r="I575" s="7">
        <f t="shared" si="69"/>
        <v>0</v>
      </c>
      <c r="J575" s="7">
        <v>0</v>
      </c>
      <c r="K575" s="7">
        <f t="shared" si="70"/>
        <v>0</v>
      </c>
      <c r="L575" s="7">
        <f t="shared" si="71"/>
        <v>0</v>
      </c>
      <c r="M575" s="7">
        <v>0</v>
      </c>
      <c r="N575" s="7">
        <f t="shared" si="72"/>
        <v>0</v>
      </c>
      <c r="O575" s="7">
        <f t="shared" si="73"/>
        <v>0</v>
      </c>
    </row>
    <row r="576" spans="3:15" x14ac:dyDescent="0.2">
      <c r="C576">
        <v>557</v>
      </c>
      <c r="D576" s="7">
        <v>2992.8461538461534</v>
      </c>
      <c r="E576" s="7">
        <f t="shared" si="66"/>
        <v>89.498987854250998</v>
      </c>
      <c r="F576" s="7">
        <f t="shared" si="67"/>
        <v>241.67980350779786</v>
      </c>
      <c r="G576" s="7">
        <v>0</v>
      </c>
      <c r="H576" s="7">
        <f t="shared" si="68"/>
        <v>0</v>
      </c>
      <c r="I576" s="7">
        <f t="shared" si="69"/>
        <v>0</v>
      </c>
      <c r="J576" s="7">
        <v>0</v>
      </c>
      <c r="K576" s="7">
        <f t="shared" si="70"/>
        <v>0</v>
      </c>
      <c r="L576" s="7">
        <f t="shared" si="71"/>
        <v>0</v>
      </c>
      <c r="M576" s="7">
        <v>0</v>
      </c>
      <c r="N576" s="7">
        <f t="shared" si="72"/>
        <v>0</v>
      </c>
      <c r="O576" s="7">
        <f t="shared" si="73"/>
        <v>0</v>
      </c>
    </row>
    <row r="577" spans="3:15" x14ac:dyDescent="0.2">
      <c r="C577">
        <v>558</v>
      </c>
      <c r="D577" s="7">
        <v>3198.4615384615386</v>
      </c>
      <c r="E577" s="7">
        <f t="shared" si="66"/>
        <v>95.647773279352236</v>
      </c>
      <c r="F577" s="7">
        <f t="shared" si="67"/>
        <v>258.28375947398251</v>
      </c>
      <c r="G577" s="7">
        <v>0</v>
      </c>
      <c r="H577" s="7">
        <f t="shared" si="68"/>
        <v>0</v>
      </c>
      <c r="I577" s="7">
        <f t="shared" si="69"/>
        <v>0</v>
      </c>
      <c r="J577" s="7">
        <v>0</v>
      </c>
      <c r="K577" s="7">
        <f t="shared" si="70"/>
        <v>0</v>
      </c>
      <c r="L577" s="7">
        <f t="shared" si="71"/>
        <v>0</v>
      </c>
      <c r="M577" s="7">
        <v>0</v>
      </c>
      <c r="N577" s="7">
        <f t="shared" si="72"/>
        <v>0</v>
      </c>
      <c r="O577" s="7">
        <f t="shared" si="73"/>
        <v>0</v>
      </c>
    </row>
    <row r="578" spans="3:15" x14ac:dyDescent="0.2">
      <c r="C578">
        <v>559</v>
      </c>
      <c r="D578" s="7">
        <v>3404.0769230769229</v>
      </c>
      <c r="E578" s="7">
        <f t="shared" si="66"/>
        <v>101.79655870445345</v>
      </c>
      <c r="F578" s="7">
        <f t="shared" si="67"/>
        <v>274.88771544016709</v>
      </c>
      <c r="G578" s="7">
        <v>6220.3962646260952</v>
      </c>
      <c r="H578" s="7">
        <f t="shared" si="68"/>
        <v>148.81330776617455</v>
      </c>
      <c r="I578" s="7">
        <f t="shared" si="69"/>
        <v>323.38645549236804</v>
      </c>
      <c r="J578" s="7">
        <v>0</v>
      </c>
      <c r="K578" s="7">
        <f t="shared" si="70"/>
        <v>0</v>
      </c>
      <c r="L578" s="7">
        <f t="shared" si="71"/>
        <v>0</v>
      </c>
      <c r="M578" s="7">
        <v>1102.0660711597541</v>
      </c>
      <c r="N578" s="7">
        <f t="shared" si="72"/>
        <v>87.884056711304154</v>
      </c>
      <c r="O578" s="7">
        <f t="shared" si="73"/>
        <v>33.267189996969407</v>
      </c>
    </row>
    <row r="579" spans="3:15" x14ac:dyDescent="0.2">
      <c r="C579">
        <v>560</v>
      </c>
      <c r="D579" s="7">
        <v>3609.6923076923063</v>
      </c>
      <c r="E579" s="7">
        <f t="shared" si="66"/>
        <v>107.94534412955463</v>
      </c>
      <c r="F579" s="7">
        <f t="shared" si="67"/>
        <v>291.49167140635154</v>
      </c>
      <c r="G579" s="7">
        <v>6221.1443340441947</v>
      </c>
      <c r="H579" s="7">
        <f t="shared" si="68"/>
        <v>148.83120416373671</v>
      </c>
      <c r="I579" s="7">
        <f t="shared" si="69"/>
        <v>323.42534618474349</v>
      </c>
      <c r="J579" s="7">
        <v>0</v>
      </c>
      <c r="K579" s="7">
        <f t="shared" si="70"/>
        <v>0</v>
      </c>
      <c r="L579" s="7">
        <f t="shared" si="71"/>
        <v>0</v>
      </c>
      <c r="M579" s="7">
        <v>1101.3180017416548</v>
      </c>
      <c r="N579" s="7">
        <f t="shared" si="72"/>
        <v>87.824402052763546</v>
      </c>
      <c r="O579" s="7">
        <f t="shared" si="73"/>
        <v>33.244608621755994</v>
      </c>
    </row>
    <row r="580" spans="3:15" x14ac:dyDescent="0.2">
      <c r="C580">
        <v>561</v>
      </c>
      <c r="D580" s="7">
        <v>3715.8668198689693</v>
      </c>
      <c r="E580" s="7">
        <f t="shared" si="66"/>
        <v>111.12041925445483</v>
      </c>
      <c r="F580" s="7">
        <f t="shared" si="67"/>
        <v>300.06552850469114</v>
      </c>
      <c r="G580" s="7">
        <v>0</v>
      </c>
      <c r="H580" s="7">
        <f t="shared" si="68"/>
        <v>0</v>
      </c>
      <c r="I580" s="7">
        <f t="shared" si="69"/>
        <v>0</v>
      </c>
      <c r="J580" s="7">
        <v>99.440872438722181</v>
      </c>
      <c r="K580" s="7">
        <f t="shared" si="70"/>
        <v>1.5859788267738786</v>
      </c>
      <c r="L580" s="7">
        <f t="shared" si="71"/>
        <v>5.9696426788532291</v>
      </c>
      <c r="M580" s="7">
        <v>0</v>
      </c>
      <c r="N580" s="7">
        <f t="shared" si="72"/>
        <v>0</v>
      </c>
      <c r="O580" s="7">
        <f t="shared" si="73"/>
        <v>0</v>
      </c>
    </row>
    <row r="581" spans="3:15" x14ac:dyDescent="0.2">
      <c r="C581">
        <v>562</v>
      </c>
      <c r="D581" s="7">
        <v>3709.7126457186819</v>
      </c>
      <c r="E581" s="7">
        <f t="shared" si="66"/>
        <v>110.93638294613284</v>
      </c>
      <c r="F581" s="7">
        <f t="shared" si="67"/>
        <v>299.56856356799273</v>
      </c>
      <c r="G581" s="7">
        <v>0</v>
      </c>
      <c r="H581" s="7">
        <f t="shared" si="68"/>
        <v>0</v>
      </c>
      <c r="I581" s="7">
        <f t="shared" si="69"/>
        <v>0</v>
      </c>
      <c r="J581" s="7">
        <v>311.21043120439435</v>
      </c>
      <c r="K581" s="7">
        <f t="shared" si="70"/>
        <v>4.9634837512662582</v>
      </c>
      <c r="L581" s="7">
        <f t="shared" si="71"/>
        <v>18.682610345830373</v>
      </c>
      <c r="M581" s="7">
        <v>0</v>
      </c>
      <c r="N581" s="7">
        <f t="shared" si="72"/>
        <v>0</v>
      </c>
      <c r="O581" s="7">
        <f t="shared" si="73"/>
        <v>0</v>
      </c>
    </row>
    <row r="582" spans="3:15" x14ac:dyDescent="0.2">
      <c r="C582">
        <v>563</v>
      </c>
      <c r="D582" s="7">
        <v>3703.5893958971237</v>
      </c>
      <c r="E582" s="7">
        <f t="shared" si="66"/>
        <v>110.75327140840682</v>
      </c>
      <c r="F582" s="7">
        <f t="shared" si="67"/>
        <v>299.0740958480929</v>
      </c>
      <c r="G582" s="7">
        <v>0</v>
      </c>
      <c r="H582" s="7">
        <f t="shared" si="68"/>
        <v>0</v>
      </c>
      <c r="I582" s="7">
        <f t="shared" si="69"/>
        <v>0</v>
      </c>
      <c r="J582" s="7">
        <v>522.94906564133726</v>
      </c>
      <c r="K582" s="7">
        <f t="shared" si="70"/>
        <v>8.3404954647741203</v>
      </c>
      <c r="L582" s="7">
        <f t="shared" si="71"/>
        <v>31.393721560947533</v>
      </c>
      <c r="M582" s="7">
        <v>0</v>
      </c>
      <c r="N582" s="7">
        <f t="shared" si="72"/>
        <v>0</v>
      </c>
      <c r="O582" s="7">
        <f t="shared" si="73"/>
        <v>0</v>
      </c>
    </row>
    <row r="583" spans="3:15" x14ac:dyDescent="0.2">
      <c r="C583">
        <v>564</v>
      </c>
      <c r="D583" s="7">
        <v>3697.4969673223313</v>
      </c>
      <c r="E583" s="7">
        <f t="shared" si="66"/>
        <v>110.57108155868217</v>
      </c>
      <c r="F583" s="7">
        <f t="shared" si="67"/>
        <v>298.58211702086555</v>
      </c>
      <c r="G583" s="7">
        <v>0</v>
      </c>
      <c r="H583" s="7">
        <f t="shared" si="68"/>
        <v>0</v>
      </c>
      <c r="I583" s="7">
        <f t="shared" si="69"/>
        <v>0</v>
      </c>
      <c r="J583" s="7">
        <v>734.6568788315144</v>
      </c>
      <c r="K583" s="7">
        <f t="shared" si="70"/>
        <v>11.717015611347918</v>
      </c>
      <c r="L583" s="7">
        <f t="shared" si="71"/>
        <v>44.102982512429669</v>
      </c>
      <c r="M583" s="7">
        <v>0</v>
      </c>
      <c r="N583" s="7">
        <f t="shared" si="72"/>
        <v>0</v>
      </c>
      <c r="O583" s="7">
        <f t="shared" si="73"/>
        <v>0</v>
      </c>
    </row>
    <row r="584" spans="3:15" x14ac:dyDescent="0.2">
      <c r="C584">
        <v>565</v>
      </c>
      <c r="D584" s="7">
        <v>3691.4352571901491</v>
      </c>
      <c r="E584" s="7">
        <f t="shared" si="66"/>
        <v>110.38981032267193</v>
      </c>
      <c r="F584" s="7">
        <f t="shared" si="67"/>
        <v>298.09261878461831</v>
      </c>
      <c r="G584" s="7">
        <v>0</v>
      </c>
      <c r="H584" s="7">
        <f t="shared" si="68"/>
        <v>0</v>
      </c>
      <c r="I584" s="7">
        <f t="shared" si="69"/>
        <v>0</v>
      </c>
      <c r="J584" s="7">
        <v>946.33397357908052</v>
      </c>
      <c r="K584" s="7">
        <f t="shared" si="70"/>
        <v>15.093045830607347</v>
      </c>
      <c r="L584" s="7">
        <f t="shared" si="71"/>
        <v>56.810399371824303</v>
      </c>
      <c r="M584" s="7">
        <v>0</v>
      </c>
      <c r="N584" s="7">
        <f t="shared" si="72"/>
        <v>0</v>
      </c>
      <c r="O584" s="7">
        <f t="shared" si="73"/>
        <v>0</v>
      </c>
    </row>
    <row r="585" spans="3:15" x14ac:dyDescent="0.2">
      <c r="C585">
        <v>566</v>
      </c>
      <c r="D585" s="7">
        <v>3685.4041629736148</v>
      </c>
      <c r="E585" s="7">
        <f t="shared" si="66"/>
        <v>110.20945463437845</v>
      </c>
      <c r="F585" s="7">
        <f t="shared" si="67"/>
        <v>297.60559286004286</v>
      </c>
      <c r="G585" s="7">
        <v>0</v>
      </c>
      <c r="H585" s="7">
        <f t="shared" si="68"/>
        <v>0</v>
      </c>
      <c r="I585" s="7">
        <f t="shared" si="69"/>
        <v>0</v>
      </c>
      <c r="J585" s="7">
        <v>1157.9804524110004</v>
      </c>
      <c r="K585" s="7">
        <f t="shared" si="70"/>
        <v>18.468587757751205</v>
      </c>
      <c r="L585" s="7">
        <f t="shared" si="71"/>
        <v>69.515978294038661</v>
      </c>
      <c r="M585" s="7">
        <v>0</v>
      </c>
      <c r="N585" s="7">
        <f t="shared" si="72"/>
        <v>0</v>
      </c>
      <c r="O585" s="7">
        <f t="shared" si="73"/>
        <v>0</v>
      </c>
    </row>
    <row r="586" spans="3:15" x14ac:dyDescent="0.2">
      <c r="C586">
        <v>567</v>
      </c>
      <c r="D586" s="7">
        <v>3679.4035824223215</v>
      </c>
      <c r="E586" s="7">
        <f t="shared" si="66"/>
        <v>110.03001143607422</v>
      </c>
      <c r="F586" s="7">
        <f t="shared" si="67"/>
        <v>297.12103099016338</v>
      </c>
      <c r="G586" s="7">
        <v>0</v>
      </c>
      <c r="H586" s="7">
        <f t="shared" si="68"/>
        <v>0</v>
      </c>
      <c r="I586" s="7">
        <f t="shared" si="69"/>
        <v>0</v>
      </c>
      <c r="J586" s="7">
        <v>1369.5964175776785</v>
      </c>
      <c r="K586" s="7">
        <f t="shared" si="70"/>
        <v>21.843643023567441</v>
      </c>
      <c r="L586" s="7">
        <f t="shared" si="71"/>
        <v>82.219725417377475</v>
      </c>
      <c r="M586" s="7">
        <v>0</v>
      </c>
      <c r="N586" s="7">
        <f t="shared" si="72"/>
        <v>0</v>
      </c>
      <c r="O586" s="7">
        <f t="shared" si="73"/>
        <v>0</v>
      </c>
    </row>
    <row r="587" spans="3:15" x14ac:dyDescent="0.2">
      <c r="C587">
        <v>568</v>
      </c>
      <c r="D587" s="7">
        <v>3679.3522291282816</v>
      </c>
      <c r="E587" s="7">
        <f t="shared" si="66"/>
        <v>110.02847575144384</v>
      </c>
      <c r="F587" s="7">
        <f t="shared" si="67"/>
        <v>297.11688408338131</v>
      </c>
      <c r="G587" s="7">
        <v>6209.4348701056742</v>
      </c>
      <c r="H587" s="7">
        <f t="shared" si="68"/>
        <v>148.55107344750417</v>
      </c>
      <c r="I587" s="7">
        <f t="shared" si="69"/>
        <v>322.81659364267028</v>
      </c>
      <c r="J587" s="7">
        <v>1221.1477708717175</v>
      </c>
      <c r="K587" s="7">
        <f t="shared" si="70"/>
        <v>19.476041002738718</v>
      </c>
      <c r="L587" s="7">
        <f t="shared" si="71"/>
        <v>73.308043980350689</v>
      </c>
      <c r="M587" s="7">
        <v>1113.0274656801746</v>
      </c>
      <c r="N587" s="7">
        <f t="shared" si="72"/>
        <v>88.758171106871984</v>
      </c>
      <c r="O587" s="7">
        <f t="shared" si="73"/>
        <v>33.598072875669075</v>
      </c>
    </row>
    <row r="588" spans="3:15" x14ac:dyDescent="0.2">
      <c r="C588">
        <v>569</v>
      </c>
      <c r="D588" s="7">
        <v>3687.3230162454711</v>
      </c>
      <c r="E588" s="7">
        <f t="shared" si="66"/>
        <v>110.26683661021147</v>
      </c>
      <c r="F588" s="7">
        <f t="shared" si="67"/>
        <v>297.7605450553325</v>
      </c>
      <c r="G588" s="7">
        <v>6208.1723996400515</v>
      </c>
      <c r="H588" s="7">
        <f t="shared" si="68"/>
        <v>148.52087080478594</v>
      </c>
      <c r="I588" s="7">
        <f t="shared" si="69"/>
        <v>322.75096022774414</v>
      </c>
      <c r="J588" s="7">
        <v>1480.4769837545291</v>
      </c>
      <c r="K588" s="7">
        <f t="shared" si="70"/>
        <v>23.612073106132843</v>
      </c>
      <c r="L588" s="7">
        <f t="shared" si="71"/>
        <v>88.8761167368787</v>
      </c>
      <c r="M588" s="7">
        <v>1114.2899361457978</v>
      </c>
      <c r="N588" s="7">
        <f t="shared" si="72"/>
        <v>88.858846582599512</v>
      </c>
      <c r="O588" s="7">
        <f t="shared" si="73"/>
        <v>33.63618206525809</v>
      </c>
    </row>
    <row r="589" spans="3:15" x14ac:dyDescent="0.2">
      <c r="C589">
        <v>570</v>
      </c>
      <c r="D589" s="7">
        <v>3695.2568584263399</v>
      </c>
      <c r="E589" s="7">
        <f t="shared" si="66"/>
        <v>110.50409265629008</v>
      </c>
      <c r="F589" s="7">
        <f t="shared" si="67"/>
        <v>298.40122263138164</v>
      </c>
      <c r="G589" s="7">
        <v>6206.5399954783106</v>
      </c>
      <c r="H589" s="7">
        <f t="shared" si="68"/>
        <v>148.48181807364381</v>
      </c>
      <c r="I589" s="7">
        <f t="shared" si="69"/>
        <v>322.66609467041644</v>
      </c>
      <c r="J589" s="7">
        <v>1739.8431415736604</v>
      </c>
      <c r="K589" s="7">
        <f t="shared" si="70"/>
        <v>27.748694442961092</v>
      </c>
      <c r="L589" s="7">
        <f t="shared" si="71"/>
        <v>104.4464073748795</v>
      </c>
      <c r="M589" s="7">
        <v>1115.9223403075387</v>
      </c>
      <c r="N589" s="7">
        <f t="shared" si="72"/>
        <v>88.989022353073267</v>
      </c>
      <c r="O589" s="7">
        <f t="shared" si="73"/>
        <v>33.685458148445484</v>
      </c>
    </row>
    <row r="590" spans="3:15" x14ac:dyDescent="0.2">
      <c r="C590">
        <v>571</v>
      </c>
      <c r="D590" s="7">
        <v>3703.1529251027678</v>
      </c>
      <c r="E590" s="7">
        <f t="shared" si="66"/>
        <v>110.74021905211627</v>
      </c>
      <c r="F590" s="7">
        <f t="shared" si="67"/>
        <v>299.03884974107825</v>
      </c>
      <c r="G590" s="7">
        <v>6204.3780163468509</v>
      </c>
      <c r="H590" s="7">
        <f t="shared" si="68"/>
        <v>148.43009608485289</v>
      </c>
      <c r="I590" s="7">
        <f t="shared" si="69"/>
        <v>322.55369752746475</v>
      </c>
      <c r="J590" s="7">
        <v>2236.8470748972313</v>
      </c>
      <c r="K590" s="7">
        <f t="shared" si="70"/>
        <v>35.675391944134475</v>
      </c>
      <c r="L590" s="7">
        <f t="shared" si="71"/>
        <v>134.28258860664221</v>
      </c>
      <c r="M590" s="7">
        <v>1118.0843194389984</v>
      </c>
      <c r="N590" s="7">
        <f t="shared" si="72"/>
        <v>89.161428982376265</v>
      </c>
      <c r="O590" s="7">
        <f t="shared" si="73"/>
        <v>33.750720089102153</v>
      </c>
    </row>
    <row r="591" spans="3:15" x14ac:dyDescent="0.2">
      <c r="C591">
        <v>572</v>
      </c>
      <c r="D591" s="7">
        <v>3711.0101670008194</v>
      </c>
      <c r="E591" s="7">
        <f t="shared" si="66"/>
        <v>110.97518441988097</v>
      </c>
      <c r="F591" s="7">
        <f t="shared" si="67"/>
        <v>299.67334165293079</v>
      </c>
      <c r="G591" s="7">
        <v>6201.867822961498</v>
      </c>
      <c r="H591" s="7">
        <f t="shared" si="68"/>
        <v>148.37004361151909</v>
      </c>
      <c r="I591" s="7">
        <f t="shared" si="69"/>
        <v>322.4231973942006</v>
      </c>
      <c r="J591" s="7">
        <v>2228.9898329991797</v>
      </c>
      <c r="K591" s="7">
        <f t="shared" si="70"/>
        <v>35.550077081326634</v>
      </c>
      <c r="L591" s="7">
        <f t="shared" si="71"/>
        <v>133.8109020111572</v>
      </c>
      <c r="M591" s="7">
        <v>1120.5945128243516</v>
      </c>
      <c r="N591" s="7">
        <f t="shared" si="72"/>
        <v>89.361603893488962</v>
      </c>
      <c r="O591" s="7">
        <f t="shared" si="73"/>
        <v>33.826493295868062</v>
      </c>
    </row>
    <row r="592" spans="3:15" x14ac:dyDescent="0.2">
      <c r="C592">
        <v>573</v>
      </c>
      <c r="D592" s="7">
        <v>3718.8282914813876</v>
      </c>
      <c r="E592" s="7">
        <f t="shared" si="66"/>
        <v>111.20898000841471</v>
      </c>
      <c r="F592" s="7">
        <f t="shared" si="67"/>
        <v>300.30467473560026</v>
      </c>
      <c r="G592" s="7">
        <v>6199.1502072104822</v>
      </c>
      <c r="H592" s="7">
        <f t="shared" si="68"/>
        <v>148.30502888063356</v>
      </c>
      <c r="I592" s="7">
        <f t="shared" si="69"/>
        <v>322.28191377050143</v>
      </c>
      <c r="J592" s="7">
        <v>2518.1717085186124</v>
      </c>
      <c r="K592" s="7">
        <f t="shared" si="70"/>
        <v>40.162228206038478</v>
      </c>
      <c r="L592" s="7">
        <f t="shared" si="71"/>
        <v>151.17109228015769</v>
      </c>
      <c r="M592" s="7">
        <v>1123.3121285753671</v>
      </c>
      <c r="N592" s="7">
        <f t="shared" si="72"/>
        <v>89.578319663107422</v>
      </c>
      <c r="O592" s="7">
        <f t="shared" si="73"/>
        <v>33.908527796243021</v>
      </c>
    </row>
    <row r="593" spans="3:15" x14ac:dyDescent="0.2">
      <c r="C593">
        <v>574</v>
      </c>
      <c r="D593" s="7">
        <v>3726.7836391117303</v>
      </c>
      <c r="E593" s="7">
        <f t="shared" si="66"/>
        <v>111.44687916003979</v>
      </c>
      <c r="F593" s="7">
        <f t="shared" si="67"/>
        <v>300.94708893041832</v>
      </c>
      <c r="G593" s="7">
        <v>6196.7467712955786</v>
      </c>
      <c r="H593" s="7">
        <f t="shared" si="68"/>
        <v>148.24753041376982</v>
      </c>
      <c r="I593" s="7">
        <f t="shared" si="69"/>
        <v>322.15696375309756</v>
      </c>
      <c r="J593" s="7">
        <v>1738.0163608882699</v>
      </c>
      <c r="K593" s="7">
        <f t="shared" si="70"/>
        <v>27.719559184820895</v>
      </c>
      <c r="L593" s="7">
        <f t="shared" si="71"/>
        <v>104.33674192568373</v>
      </c>
      <c r="M593" s="7">
        <v>1125.7155644902709</v>
      </c>
      <c r="N593" s="7">
        <f t="shared" si="72"/>
        <v>89.76998121931986</v>
      </c>
      <c r="O593" s="7">
        <f t="shared" si="73"/>
        <v>33.981078400348373</v>
      </c>
    </row>
    <row r="594" spans="3:15" x14ac:dyDescent="0.2">
      <c r="C594">
        <v>575</v>
      </c>
      <c r="D594" s="7">
        <v>3727.3776955415774</v>
      </c>
      <c r="E594" s="7">
        <f t="shared" si="66"/>
        <v>111.46464400542996</v>
      </c>
      <c r="F594" s="7">
        <f t="shared" si="67"/>
        <v>300.99506047117177</v>
      </c>
      <c r="G594" s="7">
        <v>0</v>
      </c>
      <c r="H594" s="7">
        <f t="shared" si="68"/>
        <v>0</v>
      </c>
      <c r="I594" s="7">
        <f t="shared" si="69"/>
        <v>0</v>
      </c>
      <c r="J594" s="7">
        <v>965.22230445842297</v>
      </c>
      <c r="K594" s="7">
        <f t="shared" si="70"/>
        <v>15.394295126928597</v>
      </c>
      <c r="L594" s="7">
        <f t="shared" si="71"/>
        <v>57.944305213399723</v>
      </c>
      <c r="M594" s="7">
        <v>0</v>
      </c>
      <c r="N594" s="7">
        <f t="shared" si="72"/>
        <v>0</v>
      </c>
      <c r="O594" s="7">
        <f t="shared" si="73"/>
        <v>0</v>
      </c>
    </row>
    <row r="595" spans="3:15" x14ac:dyDescent="0.2">
      <c r="C595">
        <v>576</v>
      </c>
      <c r="D595" s="7">
        <v>3722.0937804326859</v>
      </c>
      <c r="E595" s="7">
        <f t="shared" si="66"/>
        <v>111.30663218997267</v>
      </c>
      <c r="F595" s="7">
        <f t="shared" si="67"/>
        <v>300.56837112610549</v>
      </c>
      <c r="G595" s="7">
        <v>0</v>
      </c>
      <c r="H595" s="7">
        <f t="shared" si="68"/>
        <v>0</v>
      </c>
      <c r="I595" s="7">
        <f t="shared" si="69"/>
        <v>0</v>
      </c>
      <c r="J595" s="7">
        <v>198.30621956731375</v>
      </c>
      <c r="K595" s="7">
        <f t="shared" si="70"/>
        <v>3.1627786214882576</v>
      </c>
      <c r="L595" s="7">
        <f t="shared" si="71"/>
        <v>11.904735374687824</v>
      </c>
      <c r="M595" s="7">
        <v>0</v>
      </c>
      <c r="N595" s="7">
        <f t="shared" si="72"/>
        <v>0</v>
      </c>
      <c r="O595" s="7">
        <f t="shared" si="73"/>
        <v>0</v>
      </c>
    </row>
    <row r="596" spans="3:15" x14ac:dyDescent="0.2">
      <c r="C596">
        <v>577</v>
      </c>
      <c r="D596" s="7">
        <v>2524.5</v>
      </c>
      <c r="E596" s="7">
        <f t="shared" si="66"/>
        <v>75.493421052631589</v>
      </c>
      <c r="F596" s="7">
        <f t="shared" si="67"/>
        <v>203.85968158482189</v>
      </c>
      <c r="G596" s="7">
        <v>0</v>
      </c>
      <c r="H596" s="7">
        <f t="shared" si="68"/>
        <v>0</v>
      </c>
      <c r="I596" s="7">
        <f t="shared" si="69"/>
        <v>0</v>
      </c>
      <c r="J596" s="7">
        <v>0</v>
      </c>
      <c r="K596" s="7">
        <f t="shared" si="70"/>
        <v>0</v>
      </c>
      <c r="L596" s="7">
        <f t="shared" si="71"/>
        <v>0</v>
      </c>
      <c r="M596" s="7">
        <v>0</v>
      </c>
      <c r="N596" s="7">
        <f t="shared" si="72"/>
        <v>0</v>
      </c>
      <c r="O596" s="7">
        <f t="shared" si="73"/>
        <v>0</v>
      </c>
    </row>
    <row r="597" spans="3:15" x14ac:dyDescent="0.2">
      <c r="C597">
        <v>578</v>
      </c>
      <c r="D597" s="7">
        <v>2376</v>
      </c>
      <c r="E597" s="7">
        <f t="shared" ref="E597:E660" si="74">D597/($C$3*($D$8-$D$6))</f>
        <v>71.05263157894737</v>
      </c>
      <c r="F597" s="7">
        <f t="shared" ref="F597:F660" si="75">E597*$C$3*((($D$8)-($D$6))-$C$2*LN(($D$8)/($D$6)))</f>
        <v>191.86793560924414</v>
      </c>
      <c r="G597" s="7">
        <v>0</v>
      </c>
      <c r="H597" s="7">
        <f t="shared" ref="H597:H660" si="76">G597/($C$3*($D$6-$D$9))</f>
        <v>0</v>
      </c>
      <c r="I597" s="7">
        <f t="shared" ref="I597:I660" si="77">ABS(H597*$C$3*(($D$9-$D$6)-$C$2*(LN($D$9/$D$6))))</f>
        <v>0</v>
      </c>
      <c r="J597" s="7">
        <v>0</v>
      </c>
      <c r="K597" s="7">
        <f t="shared" ref="K597:K660" si="78">J597/($C$3*($D$10-$D$7))</f>
        <v>0</v>
      </c>
      <c r="L597" s="7">
        <f t="shared" ref="L597:L660" si="79">K597*$C$3*(($D$10-$D$7)-$C$2*LN($D$10/$D$7))</f>
        <v>0</v>
      </c>
      <c r="M597" s="7">
        <v>0</v>
      </c>
      <c r="N597" s="7">
        <f t="shared" ref="N597:N660" si="80">M597/($C$3*($D$7-$D$11))</f>
        <v>0</v>
      </c>
      <c r="O597" s="7">
        <f t="shared" ref="O597:O660" si="81">ABS(N597*$C$3*(($D$11-$D$7)-$C$2*LN($D$11/$D$7)))</f>
        <v>0</v>
      </c>
    </row>
    <row r="598" spans="3:15" x14ac:dyDescent="0.2">
      <c r="C598">
        <v>579</v>
      </c>
      <c r="D598" s="7">
        <v>2524.5</v>
      </c>
      <c r="E598" s="7">
        <f t="shared" si="74"/>
        <v>75.493421052631589</v>
      </c>
      <c r="F598" s="7">
        <f t="shared" si="75"/>
        <v>203.85968158482189</v>
      </c>
      <c r="G598" s="7">
        <v>0</v>
      </c>
      <c r="H598" s="7">
        <f t="shared" si="76"/>
        <v>0</v>
      </c>
      <c r="I598" s="7">
        <f t="shared" si="77"/>
        <v>0</v>
      </c>
      <c r="J598" s="7">
        <v>0</v>
      </c>
      <c r="K598" s="7">
        <f t="shared" si="78"/>
        <v>0</v>
      </c>
      <c r="L598" s="7">
        <f t="shared" si="79"/>
        <v>0</v>
      </c>
      <c r="M598" s="7">
        <v>0</v>
      </c>
      <c r="N598" s="7">
        <f t="shared" si="80"/>
        <v>0</v>
      </c>
      <c r="O598" s="7">
        <f t="shared" si="81"/>
        <v>0</v>
      </c>
    </row>
    <row r="599" spans="3:15" x14ac:dyDescent="0.2">
      <c r="C599">
        <v>580</v>
      </c>
      <c r="D599" s="7">
        <v>2673</v>
      </c>
      <c r="E599" s="7">
        <f t="shared" si="74"/>
        <v>79.934210526315795</v>
      </c>
      <c r="F599" s="7">
        <f t="shared" si="75"/>
        <v>215.85142756039966</v>
      </c>
      <c r="G599" s="7">
        <v>0</v>
      </c>
      <c r="H599" s="7">
        <f t="shared" si="76"/>
        <v>0</v>
      </c>
      <c r="I599" s="7">
        <f t="shared" si="77"/>
        <v>0</v>
      </c>
      <c r="J599" s="7">
        <v>0</v>
      </c>
      <c r="K599" s="7">
        <f t="shared" si="78"/>
        <v>0</v>
      </c>
      <c r="L599" s="7">
        <f t="shared" si="79"/>
        <v>0</v>
      </c>
      <c r="M599" s="7">
        <v>0</v>
      </c>
      <c r="N599" s="7">
        <f t="shared" si="80"/>
        <v>0</v>
      </c>
      <c r="O599" s="7">
        <f t="shared" si="81"/>
        <v>0</v>
      </c>
    </row>
    <row r="600" spans="3:15" x14ac:dyDescent="0.2">
      <c r="C600">
        <v>581</v>
      </c>
      <c r="D600" s="7">
        <v>2969.9999999999995</v>
      </c>
      <c r="E600" s="7">
        <f t="shared" si="74"/>
        <v>88.815789473684205</v>
      </c>
      <c r="F600" s="7">
        <f t="shared" si="75"/>
        <v>239.83491951155514</v>
      </c>
      <c r="G600" s="7">
        <v>0</v>
      </c>
      <c r="H600" s="7">
        <f t="shared" si="76"/>
        <v>0</v>
      </c>
      <c r="I600" s="7">
        <f t="shared" si="77"/>
        <v>0</v>
      </c>
      <c r="J600" s="7">
        <v>0</v>
      </c>
      <c r="K600" s="7">
        <f t="shared" si="78"/>
        <v>0</v>
      </c>
      <c r="L600" s="7">
        <f t="shared" si="79"/>
        <v>0</v>
      </c>
      <c r="M600" s="7">
        <v>0</v>
      </c>
      <c r="N600" s="7">
        <f t="shared" si="80"/>
        <v>0</v>
      </c>
      <c r="O600" s="7">
        <f t="shared" si="81"/>
        <v>0</v>
      </c>
    </row>
    <row r="601" spans="3:15" x14ac:dyDescent="0.2">
      <c r="C601">
        <v>582</v>
      </c>
      <c r="D601" s="7">
        <v>3167.9999999999995</v>
      </c>
      <c r="E601" s="7">
        <f t="shared" si="74"/>
        <v>94.73684210526315</v>
      </c>
      <c r="F601" s="7">
        <f t="shared" si="75"/>
        <v>255.82391414565882</v>
      </c>
      <c r="G601" s="7">
        <v>0</v>
      </c>
      <c r="H601" s="7">
        <f t="shared" si="76"/>
        <v>0</v>
      </c>
      <c r="I601" s="7">
        <f t="shared" si="77"/>
        <v>0</v>
      </c>
      <c r="J601" s="7">
        <v>0</v>
      </c>
      <c r="K601" s="7">
        <f t="shared" si="78"/>
        <v>0</v>
      </c>
      <c r="L601" s="7">
        <f t="shared" si="79"/>
        <v>0</v>
      </c>
      <c r="M601" s="7">
        <v>0</v>
      </c>
      <c r="N601" s="7">
        <f t="shared" si="80"/>
        <v>0</v>
      </c>
      <c r="O601" s="7">
        <f t="shared" si="81"/>
        <v>0</v>
      </c>
    </row>
    <row r="602" spans="3:15" x14ac:dyDescent="0.2">
      <c r="C602">
        <v>583</v>
      </c>
      <c r="D602" s="7">
        <v>3365.9999999999995</v>
      </c>
      <c r="E602" s="7">
        <f t="shared" si="74"/>
        <v>100.6578947368421</v>
      </c>
      <c r="F602" s="7">
        <f t="shared" si="75"/>
        <v>271.81290877976249</v>
      </c>
      <c r="G602" s="7">
        <v>6186.580872284836</v>
      </c>
      <c r="H602" s="7">
        <f t="shared" si="76"/>
        <v>148.00432708815399</v>
      </c>
      <c r="I602" s="7">
        <f t="shared" si="77"/>
        <v>321.62845818719455</v>
      </c>
      <c r="J602" s="7">
        <v>0</v>
      </c>
      <c r="K602" s="7">
        <f t="shared" si="78"/>
        <v>0</v>
      </c>
      <c r="L602" s="7">
        <f t="shared" si="79"/>
        <v>0</v>
      </c>
      <c r="M602" s="7">
        <v>1135.8814635010128</v>
      </c>
      <c r="N602" s="7">
        <f t="shared" si="80"/>
        <v>90.580658971372642</v>
      </c>
      <c r="O602" s="7">
        <f t="shared" si="81"/>
        <v>34.287948290213016</v>
      </c>
    </row>
    <row r="603" spans="3:15" x14ac:dyDescent="0.2">
      <c r="C603">
        <v>584</v>
      </c>
      <c r="D603" s="7">
        <v>3563.9999999999995</v>
      </c>
      <c r="E603" s="7">
        <f t="shared" si="74"/>
        <v>106.57894736842104</v>
      </c>
      <c r="F603" s="7">
        <f t="shared" si="75"/>
        <v>287.80190341386617</v>
      </c>
      <c r="G603" s="7">
        <v>6186.8631387546966</v>
      </c>
      <c r="H603" s="7">
        <f t="shared" si="76"/>
        <v>148.01107987451428</v>
      </c>
      <c r="I603" s="7">
        <f t="shared" si="77"/>
        <v>321.64313267886826</v>
      </c>
      <c r="J603" s="7">
        <v>0</v>
      </c>
      <c r="K603" s="7">
        <f t="shared" si="78"/>
        <v>0</v>
      </c>
      <c r="L603" s="7">
        <f t="shared" si="79"/>
        <v>0</v>
      </c>
      <c r="M603" s="7">
        <v>1135.5991970311527</v>
      </c>
      <c r="N603" s="7">
        <f t="shared" si="80"/>
        <v>90.558149683505007</v>
      </c>
      <c r="O603" s="7">
        <f t="shared" si="81"/>
        <v>34.279427737291243</v>
      </c>
    </row>
    <row r="604" spans="3:15" x14ac:dyDescent="0.2">
      <c r="C604">
        <v>585</v>
      </c>
      <c r="D604" s="7">
        <v>3723.4546374692163</v>
      </c>
      <c r="E604" s="7">
        <f t="shared" si="74"/>
        <v>111.34732767551485</v>
      </c>
      <c r="F604" s="7">
        <f t="shared" si="75"/>
        <v>300.67826373143311</v>
      </c>
      <c r="G604" s="7">
        <v>6187.1196394824574</v>
      </c>
      <c r="H604" s="7">
        <f t="shared" si="76"/>
        <v>148.01721625556118</v>
      </c>
      <c r="I604" s="7">
        <f t="shared" si="77"/>
        <v>321.65646765909349</v>
      </c>
      <c r="J604" s="7">
        <v>38.545362530782768</v>
      </c>
      <c r="K604" s="7">
        <f t="shared" si="78"/>
        <v>0.61475857305873638</v>
      </c>
      <c r="L604" s="7">
        <f t="shared" si="79"/>
        <v>2.3139583914795723</v>
      </c>
      <c r="M604" s="7">
        <v>1135.3426963033917</v>
      </c>
      <c r="N604" s="7">
        <f t="shared" si="80"/>
        <v>90.537695080015297</v>
      </c>
      <c r="O604" s="7">
        <f t="shared" si="81"/>
        <v>34.271684954287494</v>
      </c>
    </row>
    <row r="605" spans="3:15" x14ac:dyDescent="0.2">
      <c r="C605">
        <v>586</v>
      </c>
      <c r="D605" s="7">
        <v>3732.1285339831052</v>
      </c>
      <c r="E605" s="7">
        <f t="shared" si="74"/>
        <v>111.6067145329876</v>
      </c>
      <c r="F605" s="7">
        <f t="shared" si="75"/>
        <v>301.37870254364185</v>
      </c>
      <c r="G605" s="7">
        <v>6187.1812824543986</v>
      </c>
      <c r="H605" s="7">
        <f t="shared" si="76"/>
        <v>148.0186909678086</v>
      </c>
      <c r="I605" s="7">
        <f t="shared" si="77"/>
        <v>321.65967235881902</v>
      </c>
      <c r="J605" s="7">
        <v>227.87146601689437</v>
      </c>
      <c r="K605" s="7">
        <f t="shared" si="78"/>
        <v>3.6343136525820476</v>
      </c>
      <c r="L605" s="7">
        <f t="shared" si="79"/>
        <v>13.679598694848154</v>
      </c>
      <c r="M605" s="7">
        <v>1135.2810533314505</v>
      </c>
      <c r="N605" s="7">
        <f t="shared" si="80"/>
        <v>90.532779372523976</v>
      </c>
      <c r="O605" s="7">
        <f t="shared" si="81"/>
        <v>34.269824187031141</v>
      </c>
    </row>
    <row r="606" spans="3:15" x14ac:dyDescent="0.2">
      <c r="C606">
        <v>587</v>
      </c>
      <c r="D606" s="7">
        <v>3740.7674349361641</v>
      </c>
      <c r="E606" s="7">
        <f t="shared" si="74"/>
        <v>111.86505487249295</v>
      </c>
      <c r="F606" s="7">
        <f t="shared" si="75"/>
        <v>302.07631537688945</v>
      </c>
      <c r="G606" s="7">
        <v>6186.9673515597569</v>
      </c>
      <c r="H606" s="7">
        <f t="shared" si="76"/>
        <v>148.01357300382193</v>
      </c>
      <c r="I606" s="7">
        <f t="shared" si="77"/>
        <v>321.64855050246206</v>
      </c>
      <c r="J606" s="7">
        <v>417.23256506383586</v>
      </c>
      <c r="K606" s="7">
        <f t="shared" si="78"/>
        <v>6.654426875021306</v>
      </c>
      <c r="L606" s="7">
        <f t="shared" si="79"/>
        <v>25.047339854618912</v>
      </c>
      <c r="M606" s="7">
        <v>1135.4949842260926</v>
      </c>
      <c r="N606" s="7">
        <f t="shared" si="80"/>
        <v>90.549839252479472</v>
      </c>
      <c r="O606" s="7">
        <f t="shared" si="81"/>
        <v>34.27628194841634</v>
      </c>
    </row>
    <row r="607" spans="3:15" x14ac:dyDescent="0.2">
      <c r="C607">
        <v>588</v>
      </c>
      <c r="D607" s="7">
        <v>3749.3708279886614</v>
      </c>
      <c r="E607" s="7">
        <f t="shared" si="74"/>
        <v>112.12233337286668</v>
      </c>
      <c r="F607" s="7">
        <f t="shared" si="75"/>
        <v>302.77106085846248</v>
      </c>
      <c r="G607" s="7">
        <v>6186.4782342996705</v>
      </c>
      <c r="H607" s="7">
        <f t="shared" si="76"/>
        <v>148.00187163396342</v>
      </c>
      <c r="I607" s="7">
        <f t="shared" si="77"/>
        <v>321.62312223546263</v>
      </c>
      <c r="J607" s="7">
        <v>606.6291720113386</v>
      </c>
      <c r="K607" s="7">
        <f t="shared" si="78"/>
        <v>9.6751064116640926</v>
      </c>
      <c r="L607" s="7">
        <f t="shared" si="79"/>
        <v>36.417212627612962</v>
      </c>
      <c r="M607" s="7">
        <v>1135.9841014861786</v>
      </c>
      <c r="N607" s="7">
        <f t="shared" si="80"/>
        <v>90.588843818674533</v>
      </c>
      <c r="O607" s="7">
        <f t="shared" si="81"/>
        <v>34.291046541255099</v>
      </c>
    </row>
    <row r="608" spans="3:15" x14ac:dyDescent="0.2">
      <c r="C608">
        <v>589</v>
      </c>
      <c r="D608" s="7">
        <v>3757.9382042710654</v>
      </c>
      <c r="E608" s="7">
        <f t="shared" si="74"/>
        <v>112.37853481671847</v>
      </c>
      <c r="F608" s="7">
        <f t="shared" si="75"/>
        <v>303.46289789587513</v>
      </c>
      <c r="G608" s="7">
        <v>6185.7143421066339</v>
      </c>
      <c r="H608" s="7">
        <f t="shared" si="76"/>
        <v>147.98359670111566</v>
      </c>
      <c r="I608" s="7">
        <f t="shared" si="77"/>
        <v>321.58340894740581</v>
      </c>
      <c r="J608" s="7">
        <v>796.0617957289337</v>
      </c>
      <c r="K608" s="7">
        <f t="shared" si="78"/>
        <v>12.696360378451894</v>
      </c>
      <c r="L608" s="7">
        <f t="shared" si="79"/>
        <v>47.7892475623281</v>
      </c>
      <c r="M608" s="7">
        <v>1136.7479936792149</v>
      </c>
      <c r="N608" s="7">
        <f t="shared" si="80"/>
        <v>90.649760261500404</v>
      </c>
      <c r="O608" s="7">
        <f t="shared" si="81"/>
        <v>34.31410554596269</v>
      </c>
    </row>
    <row r="609" spans="3:15" x14ac:dyDescent="0.2">
      <c r="C609">
        <v>590</v>
      </c>
      <c r="D609" s="7">
        <v>3765.4106472945191</v>
      </c>
      <c r="E609" s="7">
        <f t="shared" si="74"/>
        <v>112.60199304110405</v>
      </c>
      <c r="F609" s="7">
        <f t="shared" si="75"/>
        <v>304.0663163373178</v>
      </c>
      <c r="G609" s="7">
        <v>6184.6758245261944</v>
      </c>
      <c r="H609" s="7">
        <f t="shared" si="76"/>
        <v>147.95875178292331</v>
      </c>
      <c r="I609" s="7">
        <f t="shared" si="77"/>
        <v>321.52941841287759</v>
      </c>
      <c r="J609" s="7">
        <v>986.58935270548091</v>
      </c>
      <c r="K609" s="7">
        <f t="shared" si="78"/>
        <v>15.735077395621706</v>
      </c>
      <c r="L609" s="7">
        <f t="shared" si="79"/>
        <v>59.227013621005014</v>
      </c>
      <c r="M609" s="7">
        <v>1137.7865112596544</v>
      </c>
      <c r="N609" s="7">
        <f t="shared" si="80"/>
        <v>90.732576655474844</v>
      </c>
      <c r="O609" s="7">
        <f t="shared" si="81"/>
        <v>34.345454448326876</v>
      </c>
    </row>
    <row r="610" spans="3:15" x14ac:dyDescent="0.2">
      <c r="C610">
        <v>591</v>
      </c>
      <c r="D610" s="7">
        <v>3771.2621289605509</v>
      </c>
      <c r="E610" s="7">
        <f t="shared" si="74"/>
        <v>112.77697754068633</v>
      </c>
      <c r="F610" s="7">
        <f t="shared" si="75"/>
        <v>304.5388380997407</v>
      </c>
      <c r="G610" s="7">
        <v>6183.5942696703405</v>
      </c>
      <c r="H610" s="7">
        <f t="shared" si="76"/>
        <v>147.9328772648407</v>
      </c>
      <c r="I610" s="7">
        <f t="shared" si="77"/>
        <v>321.47319045305386</v>
      </c>
      <c r="J610" s="7">
        <v>832.23787103944915</v>
      </c>
      <c r="K610" s="7">
        <f t="shared" si="78"/>
        <v>13.273331276546239</v>
      </c>
      <c r="L610" s="7">
        <f t="shared" si="79"/>
        <v>49.960972707440234</v>
      </c>
      <c r="M610" s="7">
        <v>1138.8680661155088</v>
      </c>
      <c r="N610" s="7">
        <f t="shared" si="80"/>
        <v>90.818825049083642</v>
      </c>
      <c r="O610" s="7">
        <f t="shared" si="81"/>
        <v>34.378102482617585</v>
      </c>
    </row>
    <row r="611" spans="3:15" x14ac:dyDescent="0.2">
      <c r="C611">
        <v>592</v>
      </c>
      <c r="D611" s="7">
        <v>3777.0818814896475</v>
      </c>
      <c r="E611" s="7">
        <f t="shared" si="74"/>
        <v>112.95101320244162</v>
      </c>
      <c r="F611" s="7">
        <f t="shared" si="75"/>
        <v>305.00879765509188</v>
      </c>
      <c r="G611" s="7">
        <v>6182.3688520576525</v>
      </c>
      <c r="H611" s="7">
        <f t="shared" si="76"/>
        <v>147.90356105401082</v>
      </c>
      <c r="I611" s="7">
        <f t="shared" si="77"/>
        <v>321.40948334479151</v>
      </c>
      <c r="J611" s="7">
        <v>1172.9181185103525</v>
      </c>
      <c r="K611" s="7">
        <f t="shared" si="78"/>
        <v>18.706828046417108</v>
      </c>
      <c r="L611" s="7">
        <f t="shared" si="79"/>
        <v>70.412717500787892</v>
      </c>
      <c r="M611" s="7">
        <v>1140.0934837281964</v>
      </c>
      <c r="N611" s="7">
        <f t="shared" si="80"/>
        <v>90.916545751849796</v>
      </c>
      <c r="O611" s="7">
        <f t="shared" si="81"/>
        <v>34.415093187271083</v>
      </c>
    </row>
    <row r="612" spans="3:15" x14ac:dyDescent="0.2">
      <c r="C612">
        <v>593</v>
      </c>
      <c r="D612" s="7">
        <v>3782.8691908999313</v>
      </c>
      <c r="E612" s="7">
        <f t="shared" si="74"/>
        <v>113.12407867523719</v>
      </c>
      <c r="F612" s="7">
        <f t="shared" si="75"/>
        <v>305.47613734755112</v>
      </c>
      <c r="G612" s="7">
        <v>6180.6660710514898</v>
      </c>
      <c r="H612" s="7">
        <f t="shared" si="76"/>
        <v>147.8628246663036</v>
      </c>
      <c r="I612" s="7">
        <f t="shared" si="77"/>
        <v>321.32095903048145</v>
      </c>
      <c r="J612" s="7">
        <v>1513.6308091000687</v>
      </c>
      <c r="K612" s="7">
        <f t="shared" si="78"/>
        <v>24.140842250399821</v>
      </c>
      <c r="L612" s="7">
        <f t="shared" si="79"/>
        <v>90.866409922127431</v>
      </c>
      <c r="M612" s="7">
        <v>1141.7962647343597</v>
      </c>
      <c r="N612" s="7">
        <f t="shared" si="80"/>
        <v>91.052333710873995</v>
      </c>
      <c r="O612" s="7">
        <f t="shared" si="81"/>
        <v>34.466493680161363</v>
      </c>
    </row>
    <row r="613" spans="3:15" x14ac:dyDescent="0.2">
      <c r="C613">
        <v>594</v>
      </c>
      <c r="D613" s="7">
        <v>3788.623098683172</v>
      </c>
      <c r="E613" s="7">
        <f t="shared" si="74"/>
        <v>113.29614529554941</v>
      </c>
      <c r="F613" s="7">
        <f t="shared" si="75"/>
        <v>305.94077977518424</v>
      </c>
      <c r="G613" s="7">
        <v>6178.4867578811354</v>
      </c>
      <c r="H613" s="7">
        <f t="shared" si="76"/>
        <v>147.81068798758699</v>
      </c>
      <c r="I613" s="7">
        <f t="shared" si="77"/>
        <v>321.20766072413784</v>
      </c>
      <c r="J613" s="7">
        <v>1854.3769013168271</v>
      </c>
      <c r="K613" s="7">
        <f t="shared" si="78"/>
        <v>29.575389175706974</v>
      </c>
      <c r="L613" s="7">
        <f t="shared" si="79"/>
        <v>111.32210751270419</v>
      </c>
      <c r="M613" s="7">
        <v>1143.9755779047136</v>
      </c>
      <c r="N613" s="7">
        <f t="shared" si="80"/>
        <v>91.226122639929329</v>
      </c>
      <c r="O613" s="7">
        <f t="shared" si="81"/>
        <v>34.532278869632599</v>
      </c>
    </row>
    <row r="614" spans="3:15" x14ac:dyDescent="0.2">
      <c r="C614">
        <v>595</v>
      </c>
      <c r="D614" s="7">
        <v>3794.3430344201151</v>
      </c>
      <c r="E614" s="7">
        <f t="shared" si="74"/>
        <v>113.46719600538623</v>
      </c>
      <c r="F614" s="7">
        <f t="shared" si="75"/>
        <v>306.40267887521156</v>
      </c>
      <c r="G614" s="7">
        <v>6176.3410655823445</v>
      </c>
      <c r="H614" s="7">
        <f t="shared" si="76"/>
        <v>147.75935563594126</v>
      </c>
      <c r="I614" s="7">
        <f t="shared" si="77"/>
        <v>321.09611030233759</v>
      </c>
      <c r="J614" s="7">
        <v>1440.2819655798849</v>
      </c>
      <c r="K614" s="7">
        <f t="shared" si="78"/>
        <v>22.971004235723843</v>
      </c>
      <c r="L614" s="7">
        <f t="shared" si="79"/>
        <v>86.463126081346175</v>
      </c>
      <c r="M614" s="7">
        <v>1146.1212702035045</v>
      </c>
      <c r="N614" s="7">
        <f t="shared" si="80"/>
        <v>91.397230478748369</v>
      </c>
      <c r="O614" s="7">
        <f t="shared" si="81"/>
        <v>34.597049172654252</v>
      </c>
    </row>
    <row r="615" spans="3:15" x14ac:dyDescent="0.2">
      <c r="C615">
        <v>596</v>
      </c>
      <c r="D615" s="7">
        <v>3800.0299558668603</v>
      </c>
      <c r="E615" s="7">
        <f t="shared" si="74"/>
        <v>113.63725944577932</v>
      </c>
      <c r="F615" s="7">
        <f t="shared" si="75"/>
        <v>306.86191198883063</v>
      </c>
      <c r="G615" s="7">
        <v>6174.7381191924651</v>
      </c>
      <c r="H615" s="7">
        <f t="shared" si="76"/>
        <v>147.72100763618337</v>
      </c>
      <c r="I615" s="7">
        <f t="shared" si="77"/>
        <v>321.01277619799521</v>
      </c>
      <c r="J615" s="7">
        <v>1026.2200441331397</v>
      </c>
      <c r="K615" s="7">
        <f t="shared" si="78"/>
        <v>16.367145839444017</v>
      </c>
      <c r="L615" s="7">
        <f t="shared" si="79"/>
        <v>61.606126566587839</v>
      </c>
      <c r="M615" s="7">
        <v>1147.7242165933837</v>
      </c>
      <c r="N615" s="7">
        <f t="shared" si="80"/>
        <v>91.525057144607956</v>
      </c>
      <c r="O615" s="7">
        <f t="shared" si="81"/>
        <v>34.645436037564224</v>
      </c>
    </row>
    <row r="616" spans="3:15" x14ac:dyDescent="0.2">
      <c r="C616">
        <v>597</v>
      </c>
      <c r="D616" s="7">
        <v>3805.6851960269505</v>
      </c>
      <c r="E616" s="7">
        <f t="shared" si="74"/>
        <v>113.80637547927485</v>
      </c>
      <c r="F616" s="7">
        <f t="shared" si="75"/>
        <v>307.31858675940765</v>
      </c>
      <c r="G616" s="7">
        <v>6173.6772036346747</v>
      </c>
      <c r="H616" s="7">
        <f t="shared" si="76"/>
        <v>147.69562688121232</v>
      </c>
      <c r="I616" s="7">
        <f t="shared" si="77"/>
        <v>320.95762123563992</v>
      </c>
      <c r="J616" s="7">
        <v>612.18980397304949</v>
      </c>
      <c r="K616" s="7">
        <f t="shared" si="78"/>
        <v>9.7637927268428957</v>
      </c>
      <c r="L616" s="7">
        <f t="shared" si="79"/>
        <v>36.75102894545028</v>
      </c>
      <c r="M616" s="7">
        <v>1148.7851321511746</v>
      </c>
      <c r="N616" s="7">
        <f t="shared" si="80"/>
        <v>91.609659661178199</v>
      </c>
      <c r="O616" s="7">
        <f t="shared" si="81"/>
        <v>34.677461049816557</v>
      </c>
    </row>
    <row r="617" spans="3:15" x14ac:dyDescent="0.2">
      <c r="C617">
        <v>598</v>
      </c>
      <c r="D617" s="7">
        <v>3811.3100803347306</v>
      </c>
      <c r="E617" s="7">
        <f t="shared" si="74"/>
        <v>113.97458374206731</v>
      </c>
      <c r="F617" s="7">
        <f t="shared" si="75"/>
        <v>307.77281021907709</v>
      </c>
      <c r="G617" s="7">
        <v>6173.1575570586274</v>
      </c>
      <c r="H617" s="7">
        <f t="shared" si="76"/>
        <v>147.68319514494326</v>
      </c>
      <c r="I617" s="7">
        <f t="shared" si="77"/>
        <v>320.93060580813534</v>
      </c>
      <c r="J617" s="7">
        <v>198.18991966526937</v>
      </c>
      <c r="K617" s="7">
        <f t="shared" si="78"/>
        <v>3.1609237586167365</v>
      </c>
      <c r="L617" s="7">
        <f t="shared" si="79"/>
        <v>11.897753649349298</v>
      </c>
      <c r="M617" s="7">
        <v>1149.3047787272219</v>
      </c>
      <c r="N617" s="7">
        <f t="shared" si="80"/>
        <v>91.651098782075124</v>
      </c>
      <c r="O617" s="7">
        <f t="shared" si="81"/>
        <v>34.693147206780317</v>
      </c>
    </row>
    <row r="618" spans="3:15" x14ac:dyDescent="0.2">
      <c r="C618">
        <v>599</v>
      </c>
      <c r="D618" s="7">
        <v>3601.1250000000005</v>
      </c>
      <c r="E618" s="7">
        <f t="shared" si="74"/>
        <v>107.68914473684212</v>
      </c>
      <c r="F618" s="7">
        <f t="shared" si="75"/>
        <v>290.79983990776066</v>
      </c>
      <c r="G618" s="7">
        <v>0</v>
      </c>
      <c r="H618" s="7">
        <f t="shared" si="76"/>
        <v>0</v>
      </c>
      <c r="I618" s="7">
        <f t="shared" si="77"/>
        <v>0</v>
      </c>
      <c r="J618" s="7">
        <v>0</v>
      </c>
      <c r="K618" s="7">
        <f t="shared" si="78"/>
        <v>0</v>
      </c>
      <c r="L618" s="7">
        <f t="shared" si="79"/>
        <v>0</v>
      </c>
      <c r="M618" s="7">
        <v>0</v>
      </c>
      <c r="N618" s="7">
        <f t="shared" si="80"/>
        <v>0</v>
      </c>
      <c r="O618" s="7">
        <f t="shared" si="81"/>
        <v>0</v>
      </c>
    </row>
    <row r="619" spans="3:15" x14ac:dyDescent="0.2">
      <c r="C619">
        <v>600</v>
      </c>
      <c r="D619" s="7">
        <v>2969.9999999999995</v>
      </c>
      <c r="E619" s="7">
        <f t="shared" si="74"/>
        <v>88.815789473684205</v>
      </c>
      <c r="F619" s="7">
        <f t="shared" si="75"/>
        <v>239.83491951155514</v>
      </c>
      <c r="G619" s="7">
        <v>0</v>
      </c>
      <c r="H619" s="7">
        <f t="shared" si="76"/>
        <v>0</v>
      </c>
      <c r="I619" s="7">
        <f t="shared" si="77"/>
        <v>0</v>
      </c>
      <c r="J619" s="7">
        <v>0</v>
      </c>
      <c r="K619" s="7">
        <f t="shared" si="78"/>
        <v>0</v>
      </c>
      <c r="L619" s="7">
        <f t="shared" si="79"/>
        <v>0</v>
      </c>
      <c r="M619" s="7">
        <v>0</v>
      </c>
      <c r="N619" s="7">
        <f t="shared" si="80"/>
        <v>0</v>
      </c>
      <c r="O619" s="7">
        <f t="shared" si="81"/>
        <v>0</v>
      </c>
    </row>
    <row r="620" spans="3:15" x14ac:dyDescent="0.2">
      <c r="C620">
        <v>601</v>
      </c>
      <c r="D620" s="7">
        <v>2524.5</v>
      </c>
      <c r="E620" s="7">
        <f t="shared" si="74"/>
        <v>75.493421052631589</v>
      </c>
      <c r="F620" s="7">
        <f t="shared" si="75"/>
        <v>203.85968158482189</v>
      </c>
      <c r="G620" s="7">
        <v>0</v>
      </c>
      <c r="H620" s="7">
        <f t="shared" si="76"/>
        <v>0</v>
      </c>
      <c r="I620" s="7">
        <f t="shared" si="77"/>
        <v>0</v>
      </c>
      <c r="J620" s="7">
        <v>0</v>
      </c>
      <c r="K620" s="7">
        <f t="shared" si="78"/>
        <v>0</v>
      </c>
      <c r="L620" s="7">
        <f t="shared" si="79"/>
        <v>0</v>
      </c>
      <c r="M620" s="7">
        <v>0</v>
      </c>
      <c r="N620" s="7">
        <f t="shared" si="80"/>
        <v>0</v>
      </c>
      <c r="O620" s="7">
        <f t="shared" si="81"/>
        <v>0</v>
      </c>
    </row>
    <row r="621" spans="3:15" x14ac:dyDescent="0.2">
      <c r="C621">
        <v>602</v>
      </c>
      <c r="D621" s="7">
        <v>2376</v>
      </c>
      <c r="E621" s="7">
        <f t="shared" si="74"/>
        <v>71.05263157894737</v>
      </c>
      <c r="F621" s="7">
        <f t="shared" si="75"/>
        <v>191.86793560924414</v>
      </c>
      <c r="G621" s="7">
        <v>0</v>
      </c>
      <c r="H621" s="7">
        <f t="shared" si="76"/>
        <v>0</v>
      </c>
      <c r="I621" s="7">
        <f t="shared" si="77"/>
        <v>0</v>
      </c>
      <c r="J621" s="7">
        <v>0</v>
      </c>
      <c r="K621" s="7">
        <f t="shared" si="78"/>
        <v>0</v>
      </c>
      <c r="L621" s="7">
        <f t="shared" si="79"/>
        <v>0</v>
      </c>
      <c r="M621" s="7">
        <v>0</v>
      </c>
      <c r="N621" s="7">
        <f t="shared" si="80"/>
        <v>0</v>
      </c>
      <c r="O621" s="7">
        <f t="shared" si="81"/>
        <v>0</v>
      </c>
    </row>
    <row r="622" spans="3:15" x14ac:dyDescent="0.2">
      <c r="C622">
        <v>603</v>
      </c>
      <c r="D622" s="7">
        <v>2524.5</v>
      </c>
      <c r="E622" s="7">
        <f t="shared" si="74"/>
        <v>75.493421052631589</v>
      </c>
      <c r="F622" s="7">
        <f t="shared" si="75"/>
        <v>203.85968158482189</v>
      </c>
      <c r="G622" s="7">
        <v>0</v>
      </c>
      <c r="H622" s="7">
        <f t="shared" si="76"/>
        <v>0</v>
      </c>
      <c r="I622" s="7">
        <f t="shared" si="77"/>
        <v>0</v>
      </c>
      <c r="J622" s="7">
        <v>0</v>
      </c>
      <c r="K622" s="7">
        <f t="shared" si="78"/>
        <v>0</v>
      </c>
      <c r="L622" s="7">
        <f t="shared" si="79"/>
        <v>0</v>
      </c>
      <c r="M622" s="7">
        <v>0</v>
      </c>
      <c r="N622" s="7">
        <f t="shared" si="80"/>
        <v>0</v>
      </c>
      <c r="O622" s="7">
        <f t="shared" si="81"/>
        <v>0</v>
      </c>
    </row>
    <row r="623" spans="3:15" x14ac:dyDescent="0.2">
      <c r="C623">
        <v>604</v>
      </c>
      <c r="D623" s="7">
        <v>2673</v>
      </c>
      <c r="E623" s="7">
        <f t="shared" si="74"/>
        <v>79.934210526315795</v>
      </c>
      <c r="F623" s="7">
        <f t="shared" si="75"/>
        <v>215.85142756039966</v>
      </c>
      <c r="G623" s="7">
        <v>0</v>
      </c>
      <c r="H623" s="7">
        <f t="shared" si="76"/>
        <v>0</v>
      </c>
      <c r="I623" s="7">
        <f t="shared" si="77"/>
        <v>0</v>
      </c>
      <c r="J623" s="7">
        <v>0</v>
      </c>
      <c r="K623" s="7">
        <f t="shared" si="78"/>
        <v>0</v>
      </c>
      <c r="L623" s="7">
        <f t="shared" si="79"/>
        <v>0</v>
      </c>
      <c r="M623" s="7">
        <v>0</v>
      </c>
      <c r="N623" s="7">
        <f t="shared" si="80"/>
        <v>0</v>
      </c>
      <c r="O623" s="7">
        <f t="shared" si="81"/>
        <v>0</v>
      </c>
    </row>
    <row r="624" spans="3:15" x14ac:dyDescent="0.2">
      <c r="C624">
        <v>605</v>
      </c>
      <c r="D624" s="7">
        <v>2943</v>
      </c>
      <c r="E624" s="7">
        <f t="shared" si="74"/>
        <v>88.008373205741634</v>
      </c>
      <c r="F624" s="7">
        <f t="shared" si="75"/>
        <v>237.65460206145011</v>
      </c>
      <c r="G624" s="7">
        <v>0</v>
      </c>
      <c r="H624" s="7">
        <f t="shared" si="76"/>
        <v>0</v>
      </c>
      <c r="I624" s="7">
        <f t="shared" si="77"/>
        <v>0</v>
      </c>
      <c r="J624" s="7">
        <v>0</v>
      </c>
      <c r="K624" s="7">
        <f t="shared" si="78"/>
        <v>0</v>
      </c>
      <c r="L624" s="7">
        <f t="shared" si="79"/>
        <v>0</v>
      </c>
      <c r="M624" s="7">
        <v>0</v>
      </c>
      <c r="N624" s="7">
        <f t="shared" si="80"/>
        <v>0</v>
      </c>
      <c r="O624" s="7">
        <f t="shared" si="81"/>
        <v>0</v>
      </c>
    </row>
    <row r="625" spans="3:15" x14ac:dyDescent="0.2">
      <c r="C625">
        <v>606</v>
      </c>
      <c r="D625" s="7">
        <v>3131.9999999999995</v>
      </c>
      <c r="E625" s="7">
        <f t="shared" si="74"/>
        <v>93.660287081339703</v>
      </c>
      <c r="F625" s="7">
        <f t="shared" si="75"/>
        <v>252.91682421218542</v>
      </c>
      <c r="G625" s="7">
        <v>0</v>
      </c>
      <c r="H625" s="7">
        <f t="shared" si="76"/>
        <v>0</v>
      </c>
      <c r="I625" s="7">
        <f t="shared" si="77"/>
        <v>0</v>
      </c>
      <c r="J625" s="7">
        <v>0</v>
      </c>
      <c r="K625" s="7">
        <f t="shared" si="78"/>
        <v>0</v>
      </c>
      <c r="L625" s="7">
        <f t="shared" si="79"/>
        <v>0</v>
      </c>
      <c r="M625" s="7">
        <v>0</v>
      </c>
      <c r="N625" s="7">
        <f t="shared" si="80"/>
        <v>0</v>
      </c>
      <c r="O625" s="7">
        <f t="shared" si="81"/>
        <v>0</v>
      </c>
    </row>
    <row r="626" spans="3:15" x14ac:dyDescent="0.2">
      <c r="C626">
        <v>607</v>
      </c>
      <c r="D626" s="7">
        <v>3321</v>
      </c>
      <c r="E626" s="7">
        <f t="shared" si="74"/>
        <v>99.312200956937801</v>
      </c>
      <c r="F626" s="7">
        <f t="shared" si="75"/>
        <v>268.17904636292076</v>
      </c>
      <c r="G626" s="7">
        <v>6163.6939476214393</v>
      </c>
      <c r="H626" s="7">
        <f t="shared" si="76"/>
        <v>147.45679300529761</v>
      </c>
      <c r="I626" s="7">
        <f t="shared" si="77"/>
        <v>320.43861092841041</v>
      </c>
      <c r="J626" s="7">
        <v>0</v>
      </c>
      <c r="K626" s="7">
        <f t="shared" si="78"/>
        <v>0</v>
      </c>
      <c r="L626" s="7">
        <f t="shared" si="79"/>
        <v>0</v>
      </c>
      <c r="M626" s="7">
        <v>1158.7683881644093</v>
      </c>
      <c r="N626" s="7">
        <f t="shared" si="80"/>
        <v>92.405772580893895</v>
      </c>
      <c r="O626" s="7">
        <f t="shared" si="81"/>
        <v>34.978817641106197</v>
      </c>
    </row>
    <row r="627" spans="3:15" x14ac:dyDescent="0.2">
      <c r="C627">
        <v>608</v>
      </c>
      <c r="D627" s="7">
        <v>3510</v>
      </c>
      <c r="E627" s="7">
        <f t="shared" si="74"/>
        <v>104.9641148325359</v>
      </c>
      <c r="F627" s="7">
        <f t="shared" si="75"/>
        <v>283.4412685136561</v>
      </c>
      <c r="G627" s="7">
        <v>6164.1253131094199</v>
      </c>
      <c r="H627" s="7">
        <f t="shared" si="76"/>
        <v>147.46711275381389</v>
      </c>
      <c r="I627" s="7">
        <f t="shared" si="77"/>
        <v>320.46103679169073</v>
      </c>
      <c r="J627" s="7">
        <v>0</v>
      </c>
      <c r="K627" s="7">
        <f t="shared" si="78"/>
        <v>0</v>
      </c>
      <c r="L627" s="7">
        <f t="shared" si="79"/>
        <v>0</v>
      </c>
      <c r="M627" s="7">
        <v>1158.3370226764291</v>
      </c>
      <c r="N627" s="7">
        <f t="shared" si="80"/>
        <v>92.371373419172983</v>
      </c>
      <c r="O627" s="7">
        <f t="shared" si="81"/>
        <v>34.965796354976163</v>
      </c>
    </row>
    <row r="628" spans="3:15" x14ac:dyDescent="0.2">
      <c r="C628">
        <v>609</v>
      </c>
      <c r="D628" s="7">
        <v>3699</v>
      </c>
      <c r="E628" s="7">
        <f t="shared" si="74"/>
        <v>110.61602870813398</v>
      </c>
      <c r="F628" s="7">
        <f t="shared" si="75"/>
        <v>298.70349066439144</v>
      </c>
      <c r="G628" s="7">
        <v>6164.6000993291009</v>
      </c>
      <c r="H628" s="7">
        <f t="shared" si="76"/>
        <v>147.47847127581582</v>
      </c>
      <c r="I628" s="7">
        <f t="shared" si="77"/>
        <v>320.48572001542232</v>
      </c>
      <c r="J628" s="7">
        <v>0</v>
      </c>
      <c r="K628" s="7">
        <f t="shared" si="78"/>
        <v>0</v>
      </c>
      <c r="L628" s="7">
        <f t="shared" si="79"/>
        <v>0</v>
      </c>
      <c r="M628" s="7">
        <v>1157.862236456748</v>
      </c>
      <c r="N628" s="7">
        <f t="shared" si="80"/>
        <v>92.333511679166506</v>
      </c>
      <c r="O628" s="7">
        <f t="shared" si="81"/>
        <v>34.951464361830361</v>
      </c>
    </row>
    <row r="629" spans="3:15" x14ac:dyDescent="0.2">
      <c r="C629">
        <v>610</v>
      </c>
      <c r="D629" s="7">
        <v>3785.1332444073864</v>
      </c>
      <c r="E629" s="7">
        <f t="shared" si="74"/>
        <v>113.1917836246228</v>
      </c>
      <c r="F629" s="7">
        <f t="shared" si="75"/>
        <v>305.65896532422795</v>
      </c>
      <c r="G629" s="7">
        <v>6165.0792454481725</v>
      </c>
      <c r="H629" s="7">
        <f t="shared" si="76"/>
        <v>147.48993410163092</v>
      </c>
      <c r="I629" s="7">
        <f t="shared" si="77"/>
        <v>320.51062990195004</v>
      </c>
      <c r="J629" s="7">
        <v>102.86675559261312</v>
      </c>
      <c r="K629" s="7">
        <f t="shared" si="78"/>
        <v>1.6406181115249303</v>
      </c>
      <c r="L629" s="7">
        <f t="shared" si="79"/>
        <v>6.1753055796974898</v>
      </c>
      <c r="M629" s="7">
        <v>1157.383090337677</v>
      </c>
      <c r="N629" s="7">
        <f t="shared" si="80"/>
        <v>92.295302259782858</v>
      </c>
      <c r="O629" s="7">
        <f t="shared" si="81"/>
        <v>34.937000759877108</v>
      </c>
    </row>
    <row r="630" spans="3:15" x14ac:dyDescent="0.2">
      <c r="C630">
        <v>611</v>
      </c>
      <c r="D630" s="7">
        <v>3790.8012085771802</v>
      </c>
      <c r="E630" s="7">
        <f t="shared" si="74"/>
        <v>113.36128016080085</v>
      </c>
      <c r="F630" s="7">
        <f t="shared" si="75"/>
        <v>306.11666759037513</v>
      </c>
      <c r="G630" s="7">
        <v>6165.3781575402554</v>
      </c>
      <c r="H630" s="7">
        <f t="shared" si="76"/>
        <v>147.49708510861856</v>
      </c>
      <c r="I630" s="7">
        <f t="shared" si="77"/>
        <v>320.52616976755513</v>
      </c>
      <c r="J630" s="7">
        <v>286.19879142281934</v>
      </c>
      <c r="K630" s="7">
        <f t="shared" si="78"/>
        <v>4.564574025882286</v>
      </c>
      <c r="L630" s="7">
        <f t="shared" si="79"/>
        <v>17.181109517786023</v>
      </c>
      <c r="M630" s="7">
        <v>1157.0841782455934</v>
      </c>
      <c r="N630" s="7">
        <f t="shared" si="80"/>
        <v>92.271465569824045</v>
      </c>
      <c r="O630" s="7">
        <f t="shared" si="81"/>
        <v>34.927977738826051</v>
      </c>
    </row>
    <row r="631" spans="3:15" x14ac:dyDescent="0.2">
      <c r="C631">
        <v>612</v>
      </c>
      <c r="D631" s="7">
        <v>3796.4410680828169</v>
      </c>
      <c r="E631" s="7">
        <f t="shared" si="74"/>
        <v>113.52993624649572</v>
      </c>
      <c r="F631" s="7">
        <f t="shared" si="75"/>
        <v>306.57210033468181</v>
      </c>
      <c r="G631" s="7">
        <v>6165.4732466401056</v>
      </c>
      <c r="H631" s="7">
        <f t="shared" si="76"/>
        <v>147.49935996746666</v>
      </c>
      <c r="I631" s="7">
        <f t="shared" si="77"/>
        <v>320.53111326723723</v>
      </c>
      <c r="J631" s="7">
        <v>469.55893191718314</v>
      </c>
      <c r="K631" s="7">
        <f t="shared" si="78"/>
        <v>7.4889781804973392</v>
      </c>
      <c r="L631" s="7">
        <f t="shared" si="79"/>
        <v>28.188600637397766</v>
      </c>
      <c r="M631" s="7">
        <v>1156.9890891457433</v>
      </c>
      <c r="N631" s="7">
        <f t="shared" si="80"/>
        <v>92.26388270699708</v>
      </c>
      <c r="O631" s="7">
        <f t="shared" si="81"/>
        <v>34.925107359967527</v>
      </c>
    </row>
    <row r="632" spans="3:15" x14ac:dyDescent="0.2">
      <c r="C632">
        <v>613</v>
      </c>
      <c r="D632" s="7">
        <v>3802.0524588735684</v>
      </c>
      <c r="E632" s="7">
        <f t="shared" si="74"/>
        <v>113.69774099502298</v>
      </c>
      <c r="F632" s="7">
        <f t="shared" si="75"/>
        <v>307.02523415914231</v>
      </c>
      <c r="G632" s="7">
        <v>6165.3647731682604</v>
      </c>
      <c r="H632" s="7">
        <f t="shared" si="76"/>
        <v>147.49676490833158</v>
      </c>
      <c r="I632" s="7">
        <f t="shared" si="77"/>
        <v>320.52547393975982</v>
      </c>
      <c r="J632" s="7">
        <v>652.94754112643159</v>
      </c>
      <c r="K632" s="7">
        <f t="shared" si="78"/>
        <v>10.413836381601781</v>
      </c>
      <c r="L632" s="7">
        <f t="shared" si="79"/>
        <v>39.197800793256071</v>
      </c>
      <c r="M632" s="7">
        <v>1157.0975626175889</v>
      </c>
      <c r="N632" s="7">
        <f t="shared" si="80"/>
        <v>92.272532904113959</v>
      </c>
      <c r="O632" s="7">
        <f t="shared" si="81"/>
        <v>34.928381762194356</v>
      </c>
    </row>
    <row r="633" spans="3:15" x14ac:dyDescent="0.2">
      <c r="C633">
        <v>614</v>
      </c>
      <c r="D633" s="7">
        <v>3807.6351577804858</v>
      </c>
      <c r="E633" s="7">
        <f t="shared" si="74"/>
        <v>113.86468773267003</v>
      </c>
      <c r="F633" s="7">
        <f t="shared" si="75"/>
        <v>307.47605104230655</v>
      </c>
      <c r="G633" s="7">
        <v>6165.2377745830699</v>
      </c>
      <c r="H633" s="7">
        <f t="shared" si="76"/>
        <v>147.49372666466675</v>
      </c>
      <c r="I633" s="7">
        <f t="shared" si="77"/>
        <v>320.5188715272173</v>
      </c>
      <c r="J633" s="7">
        <v>562.50769936237111</v>
      </c>
      <c r="K633" s="7">
        <f t="shared" si="78"/>
        <v>8.9714146628767324</v>
      </c>
      <c r="L633" s="7">
        <f t="shared" si="79"/>
        <v>33.76850873232646</v>
      </c>
      <c r="M633" s="7">
        <v>1157.2245612027789</v>
      </c>
      <c r="N633" s="7">
        <f t="shared" si="80"/>
        <v>92.282660382996724</v>
      </c>
      <c r="O633" s="7">
        <f t="shared" si="81"/>
        <v>34.932215367250727</v>
      </c>
    </row>
    <row r="634" spans="3:15" x14ac:dyDescent="0.2">
      <c r="C634">
        <v>615</v>
      </c>
      <c r="D634" s="7">
        <v>3813.1894961284629</v>
      </c>
      <c r="E634" s="7">
        <f t="shared" si="74"/>
        <v>114.03078636747797</v>
      </c>
      <c r="F634" s="7">
        <f t="shared" si="75"/>
        <v>307.9245777394874</v>
      </c>
      <c r="G634" s="7">
        <v>6165.2769182504817</v>
      </c>
      <c r="H634" s="7">
        <f t="shared" si="76"/>
        <v>147.49466311604024</v>
      </c>
      <c r="I634" s="7">
        <f t="shared" si="77"/>
        <v>320.5209065313104</v>
      </c>
      <c r="J634" s="7">
        <v>472.09621815725177</v>
      </c>
      <c r="K634" s="7">
        <f t="shared" si="78"/>
        <v>7.5294452656658981</v>
      </c>
      <c r="L634" s="7">
        <f t="shared" si="79"/>
        <v>28.340919214816871</v>
      </c>
      <c r="M634" s="7">
        <v>1157.1854175353674</v>
      </c>
      <c r="N634" s="7">
        <f t="shared" si="80"/>
        <v>92.279538878418464</v>
      </c>
      <c r="O634" s="7">
        <f t="shared" si="81"/>
        <v>34.931033768565285</v>
      </c>
    </row>
    <row r="635" spans="3:15" x14ac:dyDescent="0.2">
      <c r="C635">
        <v>616</v>
      </c>
      <c r="D635" s="7">
        <v>3818.7159414776238</v>
      </c>
      <c r="E635" s="7">
        <f t="shared" si="74"/>
        <v>114.1960508815079</v>
      </c>
      <c r="F635" s="7">
        <f t="shared" si="75"/>
        <v>308.37085200733281</v>
      </c>
      <c r="G635" s="7">
        <v>6165.4819121637374</v>
      </c>
      <c r="H635" s="7">
        <f t="shared" si="76"/>
        <v>147.49956727664446</v>
      </c>
      <c r="I635" s="7">
        <f t="shared" si="77"/>
        <v>320.53156377116863</v>
      </c>
      <c r="J635" s="7">
        <v>381.71262995094776</v>
      </c>
      <c r="K635" s="7">
        <f t="shared" si="78"/>
        <v>6.0879207328699803</v>
      </c>
      <c r="L635" s="7">
        <f t="shared" si="79"/>
        <v>22.915004172119151</v>
      </c>
      <c r="M635" s="7">
        <v>1156.9804236221121</v>
      </c>
      <c r="N635" s="7">
        <f t="shared" si="80"/>
        <v>92.263191676404475</v>
      </c>
      <c r="O635" s="7">
        <f t="shared" si="81"/>
        <v>34.924845780713241</v>
      </c>
    </row>
    <row r="636" spans="3:15" x14ac:dyDescent="0.2">
      <c r="C636">
        <v>617</v>
      </c>
      <c r="D636" s="7">
        <v>3824.2149587493072</v>
      </c>
      <c r="E636" s="7">
        <f t="shared" si="74"/>
        <v>114.36049517790991</v>
      </c>
      <c r="F636" s="7">
        <f t="shared" si="75"/>
        <v>308.81491138940248</v>
      </c>
      <c r="G636" s="7">
        <v>6165.8524501950142</v>
      </c>
      <c r="H636" s="7">
        <f t="shared" si="76"/>
        <v>147.50843182284723</v>
      </c>
      <c r="I636" s="7">
        <f t="shared" si="77"/>
        <v>320.55082733179432</v>
      </c>
      <c r="J636" s="7">
        <v>291.3564698221212</v>
      </c>
      <c r="K636" s="7">
        <f t="shared" si="78"/>
        <v>4.6468336494756173</v>
      </c>
      <c r="L636" s="7">
        <f t="shared" si="79"/>
        <v>17.490735694037092</v>
      </c>
      <c r="M636" s="7">
        <v>1156.6098855908344</v>
      </c>
      <c r="N636" s="7">
        <f t="shared" si="80"/>
        <v>92.233643189061766</v>
      </c>
      <c r="O636" s="7">
        <f t="shared" si="81"/>
        <v>34.91366064453112</v>
      </c>
    </row>
    <row r="637" spans="3:15" x14ac:dyDescent="0.2">
      <c r="C637">
        <v>618</v>
      </c>
      <c r="D637" s="7">
        <v>3829.6870102035855</v>
      </c>
      <c r="E637" s="7">
        <f t="shared" si="74"/>
        <v>114.52413308025076</v>
      </c>
      <c r="F637" s="7">
        <f t="shared" si="75"/>
        <v>309.25679321435194</v>
      </c>
      <c r="G637" s="7">
        <v>6166.3882121411843</v>
      </c>
      <c r="H637" s="7">
        <f t="shared" si="76"/>
        <v>147.52124909428673</v>
      </c>
      <c r="I637" s="7">
        <f t="shared" si="77"/>
        <v>320.57868056644196</v>
      </c>
      <c r="J637" s="7">
        <v>201.02727551070029</v>
      </c>
      <c r="K637" s="7">
        <f t="shared" si="78"/>
        <v>3.2061766429138805</v>
      </c>
      <c r="L637" s="7">
        <f t="shared" si="79"/>
        <v>12.068086030135838</v>
      </c>
      <c r="M637" s="7">
        <v>1156.0741236446645</v>
      </c>
      <c r="N637" s="7">
        <f t="shared" si="80"/>
        <v>92.190918950930183</v>
      </c>
      <c r="O637" s="7">
        <f t="shared" si="81"/>
        <v>34.897488025735562</v>
      </c>
    </row>
    <row r="638" spans="3:15" x14ac:dyDescent="0.2">
      <c r="C638">
        <v>619</v>
      </c>
      <c r="D638" s="7">
        <v>3835.1325554169925</v>
      </c>
      <c r="E638" s="7">
        <f t="shared" si="74"/>
        <v>114.68697833184787</v>
      </c>
      <c r="F638" s="7">
        <f t="shared" si="75"/>
        <v>309.69653459413445</v>
      </c>
      <c r="G638" s="7">
        <v>6167.0888637707485</v>
      </c>
      <c r="H638" s="7">
        <f t="shared" si="76"/>
        <v>147.538011094994</v>
      </c>
      <c r="I638" s="7">
        <f t="shared" si="77"/>
        <v>320.6151060990577</v>
      </c>
      <c r="J638" s="7">
        <v>110.72458744015103</v>
      </c>
      <c r="K638" s="7">
        <f t="shared" si="78"/>
        <v>1.765942383415487</v>
      </c>
      <c r="L638" s="7">
        <f t="shared" si="79"/>
        <v>6.6470275910788805</v>
      </c>
      <c r="M638" s="7">
        <v>1155.3734720151008</v>
      </c>
      <c r="N638" s="7">
        <f t="shared" si="80"/>
        <v>92.135045615239306</v>
      </c>
      <c r="O638" s="7">
        <f t="shared" si="81"/>
        <v>34.876338013506398</v>
      </c>
    </row>
    <row r="639" spans="3:15" x14ac:dyDescent="0.2">
      <c r="C639">
        <v>620</v>
      </c>
      <c r="D639" s="7">
        <v>3840.5520512604958</v>
      </c>
      <c r="E639" s="7">
        <f t="shared" si="74"/>
        <v>114.84904459511053</v>
      </c>
      <c r="F639" s="7">
        <f t="shared" si="75"/>
        <v>310.13417242222192</v>
      </c>
      <c r="G639" s="7">
        <v>6167.9540568719667</v>
      </c>
      <c r="H639" s="7">
        <f t="shared" si="76"/>
        <v>147.55870949454467</v>
      </c>
      <c r="I639" s="7">
        <f t="shared" si="77"/>
        <v>320.66008582678182</v>
      </c>
      <c r="J639" s="7">
        <v>20.447948739504227</v>
      </c>
      <c r="K639" s="7">
        <f t="shared" si="78"/>
        <v>0.32612358436210892</v>
      </c>
      <c r="L639" s="7">
        <f t="shared" si="79"/>
        <v>1.2275329499504146</v>
      </c>
      <c r="M639" s="7">
        <v>1154.5082789138826</v>
      </c>
      <c r="N639" s="7">
        <f t="shared" si="80"/>
        <v>92.066050950070391</v>
      </c>
      <c r="O639" s="7">
        <f t="shared" si="81"/>
        <v>34.850221119033812</v>
      </c>
    </row>
    <row r="640" spans="3:15" x14ac:dyDescent="0.2">
      <c r="C640">
        <v>621</v>
      </c>
      <c r="D640" s="7">
        <v>3845.9457588581263</v>
      </c>
      <c r="E640" s="7">
        <f t="shared" si="74"/>
        <v>115.01033967877173</v>
      </c>
      <c r="F640" s="7">
        <f t="shared" si="75"/>
        <v>310.56972778503223</v>
      </c>
      <c r="G640" s="7">
        <v>6168.7258072137247</v>
      </c>
      <c r="H640" s="7">
        <f t="shared" si="76"/>
        <v>147.57717242138099</v>
      </c>
      <c r="I640" s="7">
        <f t="shared" si="77"/>
        <v>320.70020764489902</v>
      </c>
      <c r="J640" s="7">
        <v>312.05424114187372</v>
      </c>
      <c r="K640" s="7">
        <f t="shared" si="78"/>
        <v>4.9769416450059607</v>
      </c>
      <c r="L640" s="7">
        <f t="shared" si="79"/>
        <v>18.733266013787439</v>
      </c>
      <c r="M640" s="7">
        <v>1153.7365285721244</v>
      </c>
      <c r="N640" s="7">
        <f t="shared" si="80"/>
        <v>92.004507860615988</v>
      </c>
      <c r="O640" s="7">
        <f t="shared" si="81"/>
        <v>34.826924906654753</v>
      </c>
    </row>
    <row r="641" spans="3:15" x14ac:dyDescent="0.2">
      <c r="C641">
        <v>622</v>
      </c>
      <c r="D641" s="7">
        <v>3712.4999999999995</v>
      </c>
      <c r="E641" s="7">
        <f t="shared" si="74"/>
        <v>111.01973684210526</v>
      </c>
      <c r="F641" s="7">
        <f t="shared" si="75"/>
        <v>299.79364938944394</v>
      </c>
      <c r="G641" s="7">
        <v>6169.6187010276863</v>
      </c>
      <c r="H641" s="7">
        <f t="shared" si="76"/>
        <v>147.59853351740878</v>
      </c>
      <c r="I641" s="7">
        <f t="shared" si="77"/>
        <v>320.7466274794794</v>
      </c>
      <c r="J641" s="7">
        <v>0</v>
      </c>
      <c r="K641" s="7">
        <f t="shared" si="78"/>
        <v>0</v>
      </c>
      <c r="L641" s="7">
        <f t="shared" si="79"/>
        <v>0</v>
      </c>
      <c r="M641" s="7">
        <v>1152.8436347581628</v>
      </c>
      <c r="N641" s="7">
        <f t="shared" si="80"/>
        <v>91.933304207190019</v>
      </c>
      <c r="O641" s="7">
        <f t="shared" si="81"/>
        <v>34.799971832847731</v>
      </c>
    </row>
    <row r="642" spans="3:15" x14ac:dyDescent="0.2">
      <c r="C642">
        <v>623</v>
      </c>
      <c r="D642" s="7">
        <v>3267</v>
      </c>
      <c r="E642" s="7">
        <f t="shared" si="74"/>
        <v>97.697368421052644</v>
      </c>
      <c r="F642" s="7">
        <f t="shared" si="75"/>
        <v>263.81841146271069</v>
      </c>
      <c r="G642" s="7">
        <v>0</v>
      </c>
      <c r="H642" s="7">
        <f t="shared" si="76"/>
        <v>0</v>
      </c>
      <c r="I642" s="7">
        <f t="shared" si="77"/>
        <v>0</v>
      </c>
      <c r="J642" s="7">
        <v>0</v>
      </c>
      <c r="K642" s="7">
        <f t="shared" si="78"/>
        <v>0</v>
      </c>
      <c r="L642" s="7">
        <f t="shared" si="79"/>
        <v>0</v>
      </c>
      <c r="M642" s="7">
        <v>0</v>
      </c>
      <c r="N642" s="7">
        <f t="shared" si="80"/>
        <v>0</v>
      </c>
      <c r="O642" s="7">
        <f t="shared" si="81"/>
        <v>0</v>
      </c>
    </row>
    <row r="643" spans="3:15" x14ac:dyDescent="0.2">
      <c r="C643">
        <v>624</v>
      </c>
      <c r="D643" s="7">
        <v>2821.4999999999995</v>
      </c>
      <c r="E643" s="7">
        <f t="shared" si="74"/>
        <v>84.374999999999986</v>
      </c>
      <c r="F643" s="7">
        <f t="shared" si="75"/>
        <v>227.84317353597737</v>
      </c>
      <c r="G643" s="7">
        <v>0</v>
      </c>
      <c r="H643" s="7">
        <f t="shared" si="76"/>
        <v>0</v>
      </c>
      <c r="I643" s="7">
        <f t="shared" si="77"/>
        <v>0</v>
      </c>
      <c r="J643" s="7">
        <v>0</v>
      </c>
      <c r="K643" s="7">
        <f t="shared" si="78"/>
        <v>0</v>
      </c>
      <c r="L643" s="7">
        <f t="shared" si="79"/>
        <v>0</v>
      </c>
      <c r="M643" s="7">
        <v>0</v>
      </c>
      <c r="N643" s="7">
        <f t="shared" si="80"/>
        <v>0</v>
      </c>
      <c r="O643" s="7">
        <f t="shared" si="81"/>
        <v>0</v>
      </c>
    </row>
    <row r="644" spans="3:15" x14ac:dyDescent="0.2">
      <c r="C644">
        <v>625</v>
      </c>
      <c r="D644" s="7">
        <v>2376</v>
      </c>
      <c r="E644" s="7">
        <f t="shared" si="74"/>
        <v>71.05263157894737</v>
      </c>
      <c r="F644" s="7">
        <f t="shared" si="75"/>
        <v>191.86793560924414</v>
      </c>
      <c r="G644" s="7">
        <v>0</v>
      </c>
      <c r="H644" s="7">
        <f t="shared" si="76"/>
        <v>0</v>
      </c>
      <c r="I644" s="7">
        <f t="shared" si="77"/>
        <v>0</v>
      </c>
      <c r="J644" s="7">
        <v>0</v>
      </c>
      <c r="K644" s="7">
        <f t="shared" si="78"/>
        <v>0</v>
      </c>
      <c r="L644" s="7">
        <f t="shared" si="79"/>
        <v>0</v>
      </c>
      <c r="M644" s="7">
        <v>0</v>
      </c>
      <c r="N644" s="7">
        <f t="shared" si="80"/>
        <v>0</v>
      </c>
      <c r="O644" s="7">
        <f t="shared" si="81"/>
        <v>0</v>
      </c>
    </row>
    <row r="645" spans="3:15" x14ac:dyDescent="0.2">
      <c r="C645">
        <v>626</v>
      </c>
      <c r="D645" s="7">
        <v>2376</v>
      </c>
      <c r="E645" s="7">
        <f t="shared" si="74"/>
        <v>71.05263157894737</v>
      </c>
      <c r="F645" s="7">
        <f t="shared" si="75"/>
        <v>191.86793560924414</v>
      </c>
      <c r="G645" s="7">
        <v>0</v>
      </c>
      <c r="H645" s="7">
        <f t="shared" si="76"/>
        <v>0</v>
      </c>
      <c r="I645" s="7">
        <f t="shared" si="77"/>
        <v>0</v>
      </c>
      <c r="J645" s="7">
        <v>0</v>
      </c>
      <c r="K645" s="7">
        <f t="shared" si="78"/>
        <v>0</v>
      </c>
      <c r="L645" s="7">
        <f t="shared" si="79"/>
        <v>0</v>
      </c>
      <c r="M645" s="7">
        <v>0</v>
      </c>
      <c r="N645" s="7">
        <f t="shared" si="80"/>
        <v>0</v>
      </c>
      <c r="O645" s="7">
        <f t="shared" si="81"/>
        <v>0</v>
      </c>
    </row>
    <row r="646" spans="3:15" x14ac:dyDescent="0.2">
      <c r="C646">
        <v>627</v>
      </c>
      <c r="D646" s="7">
        <v>2545.7142857142858</v>
      </c>
      <c r="E646" s="7">
        <f t="shared" si="74"/>
        <v>76.127819548872182</v>
      </c>
      <c r="F646" s="7">
        <f t="shared" si="75"/>
        <v>205.57278815276158</v>
      </c>
      <c r="G646" s="7">
        <v>0</v>
      </c>
      <c r="H646" s="7">
        <f t="shared" si="76"/>
        <v>0</v>
      </c>
      <c r="I646" s="7">
        <f t="shared" si="77"/>
        <v>0</v>
      </c>
      <c r="J646" s="7">
        <v>0</v>
      </c>
      <c r="K646" s="7">
        <f t="shared" si="78"/>
        <v>0</v>
      </c>
      <c r="L646" s="7">
        <f t="shared" si="79"/>
        <v>0</v>
      </c>
      <c r="M646" s="7">
        <v>0</v>
      </c>
      <c r="N646" s="7">
        <f t="shared" si="80"/>
        <v>0</v>
      </c>
      <c r="O646" s="7">
        <f t="shared" si="81"/>
        <v>0</v>
      </c>
    </row>
    <row r="647" spans="3:15" x14ac:dyDescent="0.2">
      <c r="C647">
        <v>628</v>
      </c>
      <c r="D647" s="7">
        <v>2715.4285714285716</v>
      </c>
      <c r="E647" s="7">
        <f t="shared" si="74"/>
        <v>81.203007518797008</v>
      </c>
      <c r="F647" s="7">
        <f t="shared" si="75"/>
        <v>219.27764069627901</v>
      </c>
      <c r="G647" s="7">
        <v>0</v>
      </c>
      <c r="H647" s="7">
        <f t="shared" si="76"/>
        <v>0</v>
      </c>
      <c r="I647" s="7">
        <f t="shared" si="77"/>
        <v>0</v>
      </c>
      <c r="J647" s="7">
        <v>0</v>
      </c>
      <c r="K647" s="7">
        <f t="shared" si="78"/>
        <v>0</v>
      </c>
      <c r="L647" s="7">
        <f t="shared" si="79"/>
        <v>0</v>
      </c>
      <c r="M647" s="7">
        <v>0</v>
      </c>
      <c r="N647" s="7">
        <f t="shared" si="80"/>
        <v>0</v>
      </c>
      <c r="O647" s="7">
        <f t="shared" si="81"/>
        <v>0</v>
      </c>
    </row>
    <row r="648" spans="3:15" x14ac:dyDescent="0.2">
      <c r="C648">
        <v>629</v>
      </c>
      <c r="D648" s="7">
        <v>2885.1428571428573</v>
      </c>
      <c r="E648" s="7">
        <f t="shared" si="74"/>
        <v>86.278195488721821</v>
      </c>
      <c r="F648" s="7">
        <f t="shared" si="75"/>
        <v>232.98249323979647</v>
      </c>
      <c r="G648" s="7">
        <v>0</v>
      </c>
      <c r="H648" s="7">
        <f t="shared" si="76"/>
        <v>0</v>
      </c>
      <c r="I648" s="7">
        <f t="shared" si="77"/>
        <v>0</v>
      </c>
      <c r="J648" s="7">
        <v>0</v>
      </c>
      <c r="K648" s="7">
        <f t="shared" si="78"/>
        <v>0</v>
      </c>
      <c r="L648" s="7">
        <f t="shared" si="79"/>
        <v>0</v>
      </c>
      <c r="M648" s="7">
        <v>0</v>
      </c>
      <c r="N648" s="7">
        <f t="shared" si="80"/>
        <v>0</v>
      </c>
      <c r="O648" s="7">
        <f t="shared" si="81"/>
        <v>0</v>
      </c>
    </row>
    <row r="649" spans="3:15" x14ac:dyDescent="0.2">
      <c r="C649">
        <v>630</v>
      </c>
      <c r="D649" s="7">
        <v>3054.8571428571431</v>
      </c>
      <c r="E649" s="7">
        <f t="shared" si="74"/>
        <v>91.353383458646633</v>
      </c>
      <c r="F649" s="7">
        <f t="shared" si="75"/>
        <v>246.6873457833139</v>
      </c>
      <c r="G649" s="7">
        <v>0</v>
      </c>
      <c r="H649" s="7">
        <f t="shared" si="76"/>
        <v>0</v>
      </c>
      <c r="I649" s="7">
        <f t="shared" si="77"/>
        <v>0</v>
      </c>
      <c r="J649" s="7">
        <v>0</v>
      </c>
      <c r="K649" s="7">
        <f t="shared" si="78"/>
        <v>0</v>
      </c>
      <c r="L649" s="7">
        <f t="shared" si="79"/>
        <v>0</v>
      </c>
      <c r="M649" s="7">
        <v>0</v>
      </c>
      <c r="N649" s="7">
        <f t="shared" si="80"/>
        <v>0</v>
      </c>
      <c r="O649" s="7">
        <f t="shared" si="81"/>
        <v>0</v>
      </c>
    </row>
    <row r="650" spans="3:15" x14ac:dyDescent="0.2">
      <c r="C650">
        <v>631</v>
      </c>
      <c r="D650" s="7">
        <v>3224.5714285714284</v>
      </c>
      <c r="E650" s="7">
        <f t="shared" si="74"/>
        <v>96.428571428571431</v>
      </c>
      <c r="F650" s="7">
        <f t="shared" si="75"/>
        <v>260.39219832683131</v>
      </c>
      <c r="G650" s="7">
        <v>6169.781739316375</v>
      </c>
      <c r="H650" s="7">
        <f t="shared" si="76"/>
        <v>147.60243395493723</v>
      </c>
      <c r="I650" s="7">
        <f t="shared" si="77"/>
        <v>320.7551035269924</v>
      </c>
      <c r="J650" s="7">
        <v>0</v>
      </c>
      <c r="K650" s="7">
        <f t="shared" si="78"/>
        <v>0</v>
      </c>
      <c r="L650" s="7">
        <f t="shared" si="79"/>
        <v>0</v>
      </c>
      <c r="M650" s="7">
        <v>1152.680596469474</v>
      </c>
      <c r="N650" s="7">
        <f t="shared" si="80"/>
        <v>91.920302748761898</v>
      </c>
      <c r="O650" s="7">
        <f t="shared" si="81"/>
        <v>34.795050325990275</v>
      </c>
    </row>
    <row r="651" spans="3:15" x14ac:dyDescent="0.2">
      <c r="C651">
        <v>632</v>
      </c>
      <c r="D651" s="7">
        <v>3394.2857142857147</v>
      </c>
      <c r="E651" s="7">
        <f t="shared" si="74"/>
        <v>101.50375939849626</v>
      </c>
      <c r="F651" s="7">
        <f t="shared" si="75"/>
        <v>274.09705087034877</v>
      </c>
      <c r="G651" s="7">
        <v>6171.2545435852189</v>
      </c>
      <c r="H651" s="7">
        <f t="shared" si="76"/>
        <v>147.63766850682342</v>
      </c>
      <c r="I651" s="7">
        <f t="shared" si="77"/>
        <v>320.83167179240075</v>
      </c>
      <c r="J651" s="7">
        <v>0</v>
      </c>
      <c r="K651" s="7">
        <f t="shared" si="78"/>
        <v>0</v>
      </c>
      <c r="L651" s="7">
        <f t="shared" si="79"/>
        <v>0</v>
      </c>
      <c r="M651" s="7">
        <v>1151.2077922006297</v>
      </c>
      <c r="N651" s="7">
        <f t="shared" si="80"/>
        <v>91.802854242474467</v>
      </c>
      <c r="O651" s="7">
        <f t="shared" si="81"/>
        <v>34.750591957547414</v>
      </c>
    </row>
    <row r="652" spans="3:15" x14ac:dyDescent="0.2">
      <c r="C652">
        <v>633</v>
      </c>
      <c r="D652" s="7">
        <v>3564</v>
      </c>
      <c r="E652" s="7">
        <f t="shared" si="74"/>
        <v>106.57894736842105</v>
      </c>
      <c r="F652" s="7">
        <f t="shared" si="75"/>
        <v>287.80190341386617</v>
      </c>
      <c r="G652" s="7">
        <v>0</v>
      </c>
      <c r="H652" s="7">
        <f t="shared" si="76"/>
        <v>0</v>
      </c>
      <c r="I652" s="7">
        <f t="shared" si="77"/>
        <v>0</v>
      </c>
      <c r="J652" s="7">
        <v>0</v>
      </c>
      <c r="K652" s="7">
        <f t="shared" si="78"/>
        <v>0</v>
      </c>
      <c r="L652" s="7">
        <f t="shared" si="79"/>
        <v>0</v>
      </c>
      <c r="M652" s="7">
        <v>0</v>
      </c>
      <c r="N652" s="7">
        <f t="shared" si="80"/>
        <v>0</v>
      </c>
      <c r="O652" s="7">
        <f t="shared" si="81"/>
        <v>0</v>
      </c>
    </row>
    <row r="653" spans="3:15" x14ac:dyDescent="0.2">
      <c r="C653">
        <v>634</v>
      </c>
      <c r="D653" s="7">
        <v>3733.7142857142858</v>
      </c>
      <c r="E653" s="7">
        <f t="shared" si="74"/>
        <v>111.65413533834588</v>
      </c>
      <c r="F653" s="7">
        <f t="shared" si="75"/>
        <v>301.50675595738369</v>
      </c>
      <c r="G653" s="7">
        <v>0</v>
      </c>
      <c r="H653" s="7">
        <f t="shared" si="76"/>
        <v>0</v>
      </c>
      <c r="I653" s="7">
        <f t="shared" si="77"/>
        <v>0</v>
      </c>
      <c r="J653" s="7">
        <v>0</v>
      </c>
      <c r="K653" s="7">
        <f t="shared" si="78"/>
        <v>0</v>
      </c>
      <c r="L653" s="7">
        <f t="shared" si="79"/>
        <v>0</v>
      </c>
      <c r="M653" s="7">
        <v>0</v>
      </c>
      <c r="N653" s="7">
        <f t="shared" si="80"/>
        <v>0</v>
      </c>
      <c r="O653" s="7">
        <f t="shared" si="81"/>
        <v>0</v>
      </c>
    </row>
    <row r="654" spans="3:15" x14ac:dyDescent="0.2">
      <c r="C654">
        <v>635</v>
      </c>
      <c r="D654" s="7">
        <v>3795.3094435483558</v>
      </c>
      <c r="E654" s="7">
        <f t="shared" si="74"/>
        <v>113.49609579989104</v>
      </c>
      <c r="F654" s="7">
        <f t="shared" si="75"/>
        <v>306.48071882655393</v>
      </c>
      <c r="G654" s="7">
        <v>0</v>
      </c>
      <c r="H654" s="7">
        <f t="shared" si="76"/>
        <v>0</v>
      </c>
      <c r="I654" s="7">
        <f t="shared" si="77"/>
        <v>0</v>
      </c>
      <c r="J654" s="7">
        <v>108.11912788021618</v>
      </c>
      <c r="K654" s="7">
        <f t="shared" si="78"/>
        <v>1.7243880044691577</v>
      </c>
      <c r="L654" s="7">
        <f t="shared" si="79"/>
        <v>6.4906164272830509</v>
      </c>
      <c r="M654" s="7">
        <v>0</v>
      </c>
      <c r="N654" s="7">
        <f t="shared" si="80"/>
        <v>0</v>
      </c>
      <c r="O654" s="7">
        <f t="shared" si="81"/>
        <v>0</v>
      </c>
    </row>
    <row r="655" spans="3:15" x14ac:dyDescent="0.2">
      <c r="C655">
        <v>636</v>
      </c>
      <c r="D655" s="7">
        <v>3786.1391070190198</v>
      </c>
      <c r="E655" s="7">
        <f t="shared" si="74"/>
        <v>113.22186324817643</v>
      </c>
      <c r="F655" s="7">
        <f t="shared" si="75"/>
        <v>305.74019124291516</v>
      </c>
      <c r="G655" s="7">
        <v>0</v>
      </c>
      <c r="H655" s="7">
        <f t="shared" si="76"/>
        <v>0</v>
      </c>
      <c r="I655" s="7">
        <f t="shared" si="77"/>
        <v>0</v>
      </c>
      <c r="J655" s="7">
        <v>287.00375012383802</v>
      </c>
      <c r="K655" s="7">
        <f t="shared" si="78"/>
        <v>4.5774122826768426</v>
      </c>
      <c r="L655" s="7">
        <f t="shared" si="79"/>
        <v>17.229432865102559</v>
      </c>
      <c r="M655" s="7">
        <v>0</v>
      </c>
      <c r="N655" s="7">
        <f t="shared" si="80"/>
        <v>0</v>
      </c>
      <c r="O655" s="7">
        <f t="shared" si="81"/>
        <v>0</v>
      </c>
    </row>
    <row r="656" spans="3:15" x14ac:dyDescent="0.2">
      <c r="C656">
        <v>637</v>
      </c>
      <c r="D656" s="7">
        <v>3777.005907155798</v>
      </c>
      <c r="E656" s="7">
        <f t="shared" si="74"/>
        <v>112.94874124269732</v>
      </c>
      <c r="F656" s="7">
        <f t="shared" si="75"/>
        <v>305.00266253783815</v>
      </c>
      <c r="G656" s="7">
        <v>0</v>
      </c>
      <c r="H656" s="7">
        <f t="shared" si="76"/>
        <v>0</v>
      </c>
      <c r="I656" s="7">
        <f t="shared" si="77"/>
        <v>0</v>
      </c>
      <c r="J656" s="7">
        <v>380.99409284420199</v>
      </c>
      <c r="K656" s="7">
        <f t="shared" si="78"/>
        <v>6.0764608109123124</v>
      </c>
      <c r="L656" s="7">
        <f t="shared" si="79"/>
        <v>22.871868893097815</v>
      </c>
      <c r="M656" s="7">
        <v>0</v>
      </c>
      <c r="N656" s="7">
        <f t="shared" si="80"/>
        <v>0</v>
      </c>
      <c r="O656" s="7">
        <f t="shared" si="81"/>
        <v>0</v>
      </c>
    </row>
    <row r="657" spans="3:15" x14ac:dyDescent="0.2">
      <c r="C657">
        <v>638</v>
      </c>
      <c r="D657" s="7">
        <v>3767.9097314183687</v>
      </c>
      <c r="E657" s="7">
        <f t="shared" si="74"/>
        <v>112.67672641801343</v>
      </c>
      <c r="F657" s="7">
        <f t="shared" si="75"/>
        <v>304.26812362341076</v>
      </c>
      <c r="G657" s="7">
        <v>0</v>
      </c>
      <c r="H657" s="7">
        <f t="shared" si="76"/>
        <v>0</v>
      </c>
      <c r="I657" s="7">
        <f t="shared" si="77"/>
        <v>0</v>
      </c>
      <c r="J657" s="7">
        <v>390.09026858163134</v>
      </c>
      <c r="K657" s="7">
        <f t="shared" si="78"/>
        <v>6.2215353840770549</v>
      </c>
      <c r="L657" s="7">
        <f t="shared" si="79"/>
        <v>23.417931267298815</v>
      </c>
      <c r="M657" s="7">
        <v>0</v>
      </c>
      <c r="N657" s="7">
        <f t="shared" si="80"/>
        <v>0</v>
      </c>
      <c r="O657" s="7">
        <f t="shared" si="81"/>
        <v>0</v>
      </c>
    </row>
    <row r="658" spans="3:15" x14ac:dyDescent="0.2">
      <c r="C658">
        <v>639</v>
      </c>
      <c r="D658" s="7">
        <v>3758.850467548375</v>
      </c>
      <c r="E658" s="7">
        <f t="shared" si="74"/>
        <v>112.40581541711649</v>
      </c>
      <c r="F658" s="7">
        <f t="shared" si="75"/>
        <v>303.53656543449023</v>
      </c>
      <c r="G658" s="7">
        <v>0</v>
      </c>
      <c r="H658" s="7">
        <f t="shared" si="76"/>
        <v>0</v>
      </c>
      <c r="I658" s="7">
        <f t="shared" si="77"/>
        <v>0</v>
      </c>
      <c r="J658" s="7">
        <v>823.43524673733964</v>
      </c>
      <c r="K658" s="7">
        <f t="shared" si="78"/>
        <v>13.132938544455179</v>
      </c>
      <c r="L658" s="7">
        <f t="shared" si="79"/>
        <v>49.432532837283574</v>
      </c>
      <c r="M658" s="7">
        <v>0</v>
      </c>
      <c r="N658" s="7">
        <f t="shared" si="80"/>
        <v>0</v>
      </c>
      <c r="O658" s="7">
        <f t="shared" si="81"/>
        <v>0</v>
      </c>
    </row>
    <row r="659" spans="3:15" x14ac:dyDescent="0.2">
      <c r="C659">
        <v>640</v>
      </c>
      <c r="D659" s="7">
        <v>3755.6737594219244</v>
      </c>
      <c r="E659" s="7">
        <f t="shared" si="74"/>
        <v>112.31081816453124</v>
      </c>
      <c r="F659" s="7">
        <f t="shared" si="75"/>
        <v>303.28003831737948</v>
      </c>
      <c r="G659" s="7">
        <v>6171.6851314788291</v>
      </c>
      <c r="H659" s="7">
        <f t="shared" si="76"/>
        <v>147.64796965260356</v>
      </c>
      <c r="I659" s="7">
        <f t="shared" si="77"/>
        <v>320.85405723004311</v>
      </c>
      <c r="J659" s="7">
        <v>996.32624057807561</v>
      </c>
      <c r="K659" s="7">
        <f t="shared" si="78"/>
        <v>15.890370663127204</v>
      </c>
      <c r="L659" s="7">
        <f t="shared" si="79"/>
        <v>59.811539279096642</v>
      </c>
      <c r="M659" s="7">
        <v>1150.7772043070199</v>
      </c>
      <c r="N659" s="7">
        <f t="shared" si="80"/>
        <v>91.76851708987401</v>
      </c>
      <c r="O659" s="7">
        <f t="shared" si="81"/>
        <v>34.737594144038795</v>
      </c>
    </row>
    <row r="660" spans="3:15" x14ac:dyDescent="0.2">
      <c r="C660">
        <v>641</v>
      </c>
      <c r="D660" s="7">
        <v>3760.5162661102113</v>
      </c>
      <c r="E660" s="7">
        <f t="shared" si="74"/>
        <v>112.45562996741063</v>
      </c>
      <c r="F660" s="7">
        <f t="shared" si="75"/>
        <v>303.67108282977659</v>
      </c>
      <c r="G660" s="7">
        <v>6172.3647146331177</v>
      </c>
      <c r="H660" s="7">
        <f t="shared" si="76"/>
        <v>147.66422762280186</v>
      </c>
      <c r="I660" s="7">
        <f t="shared" si="77"/>
        <v>320.88938745309139</v>
      </c>
      <c r="J660" s="7">
        <v>753.88373388978835</v>
      </c>
      <c r="K660" s="7">
        <f t="shared" si="78"/>
        <v>12.023664017380995</v>
      </c>
      <c r="L660" s="7">
        <f t="shared" si="79"/>
        <v>45.257210665513561</v>
      </c>
      <c r="M660" s="7">
        <v>1150.0976211527313</v>
      </c>
      <c r="N660" s="7">
        <f t="shared" si="80"/>
        <v>91.714323855879698</v>
      </c>
      <c r="O660" s="7">
        <f t="shared" si="81"/>
        <v>34.717080109078381</v>
      </c>
    </row>
    <row r="661" spans="3:15" x14ac:dyDescent="0.2">
      <c r="C661">
        <v>642</v>
      </c>
      <c r="D661" s="7">
        <v>3765.3337649112482</v>
      </c>
      <c r="E661" s="7">
        <f t="shared" ref="E661:E691" si="82">D661/($C$3*($D$8-$D$6))</f>
        <v>112.59969392677178</v>
      </c>
      <c r="F661" s="7">
        <f t="shared" ref="F661:F691" si="83">E661*$C$3*((($D$8)-($D$6))-$C$2*LN(($D$8)/($D$6)))</f>
        <v>304.06010789280475</v>
      </c>
      <c r="G661" s="7">
        <v>6173.4136207816819</v>
      </c>
      <c r="H661" s="7">
        <f t="shared" ref="H661:H691" si="84">G661/($C$3*($D$6-$D$9))</f>
        <v>147.6893210713321</v>
      </c>
      <c r="I661" s="7">
        <f t="shared" ref="I661:I691" si="85">ABS(H661*$C$3*(($D$9-$D$6)-$C$2*(LN($D$9/$D$6))))</f>
        <v>320.94391806932509</v>
      </c>
      <c r="J661" s="7">
        <v>511.466235088752</v>
      </c>
      <c r="K661" s="7">
        <f t="shared" ref="K661:K691" si="86">J661/($C$3*($D$10-$D$7))</f>
        <v>8.157356221511197</v>
      </c>
      <c r="L661" s="7">
        <f t="shared" ref="L661:L691" si="87">K661*$C$3*(($D$10-$D$7)-$C$2*LN($D$10/$D$7))</f>
        <v>30.704383327486298</v>
      </c>
      <c r="M661" s="7">
        <v>1149.048715004167</v>
      </c>
      <c r="N661" s="7">
        <f t="shared" ref="N661:N691" si="88">M661/($C$3*($D$7-$D$11))</f>
        <v>91.630679027445538</v>
      </c>
      <c r="O661" s="7">
        <f t="shared" ref="O661:O691" si="89">ABS(N661*$C$3*(($D$11-$D$7)-$C$2*LN($D$11/$D$7)))</f>
        <v>34.685417615289275</v>
      </c>
    </row>
    <row r="662" spans="3:15" x14ac:dyDescent="0.2">
      <c r="C662">
        <v>643</v>
      </c>
      <c r="D662" s="7">
        <v>3770.1271082886001</v>
      </c>
      <c r="E662" s="7">
        <f t="shared" si="82"/>
        <v>112.74303553494619</v>
      </c>
      <c r="F662" s="7">
        <f t="shared" si="83"/>
        <v>304.44718234502648</v>
      </c>
      <c r="G662" s="7">
        <v>6174.7510148427109</v>
      </c>
      <c r="H662" s="7">
        <f t="shared" si="84"/>
        <v>147.72131614456248</v>
      </c>
      <c r="I662" s="7">
        <f t="shared" si="85"/>
        <v>321.01344661808537</v>
      </c>
      <c r="J662" s="7">
        <v>387.87289171139992</v>
      </c>
      <c r="K662" s="7">
        <f t="shared" si="86"/>
        <v>6.1861705217129179</v>
      </c>
      <c r="L662" s="7">
        <f t="shared" si="87"/>
        <v>23.284817515629026</v>
      </c>
      <c r="M662" s="7">
        <v>1147.7113209431382</v>
      </c>
      <c r="N662" s="7">
        <f t="shared" si="88"/>
        <v>91.524028783344363</v>
      </c>
      <c r="O662" s="7">
        <f t="shared" si="89"/>
        <v>34.645046766849816</v>
      </c>
    </row>
    <row r="663" spans="3:15" x14ac:dyDescent="0.2">
      <c r="C663">
        <v>644</v>
      </c>
      <c r="D663" s="7">
        <v>3774.8970237368681</v>
      </c>
      <c r="E663" s="7">
        <f t="shared" si="82"/>
        <v>112.88567654715516</v>
      </c>
      <c r="F663" s="7">
        <f t="shared" si="83"/>
        <v>304.8323649334481</v>
      </c>
      <c r="G663" s="7">
        <v>6176.4564966518583</v>
      </c>
      <c r="H663" s="7">
        <f t="shared" si="84"/>
        <v>147.76211714478131</v>
      </c>
      <c r="I663" s="7">
        <f t="shared" si="85"/>
        <v>321.10211134195561</v>
      </c>
      <c r="J663" s="7">
        <v>26.70297626313095</v>
      </c>
      <c r="K663" s="7">
        <f t="shared" si="86"/>
        <v>0.42588478888566111</v>
      </c>
      <c r="L663" s="7">
        <f t="shared" si="87"/>
        <v>1.6030352795931244</v>
      </c>
      <c r="M663" s="7">
        <v>1146.0058391339905</v>
      </c>
      <c r="N663" s="7">
        <f t="shared" si="88"/>
        <v>91.388025449281542</v>
      </c>
      <c r="O663" s="7">
        <f t="shared" si="89"/>
        <v>34.593564746972739</v>
      </c>
    </row>
    <row r="664" spans="3:15" x14ac:dyDescent="0.2">
      <c r="C664">
        <v>645</v>
      </c>
      <c r="D664" s="7">
        <v>3563.9999999999991</v>
      </c>
      <c r="E664" s="7">
        <f t="shared" si="82"/>
        <v>106.57894736842103</v>
      </c>
      <c r="F664" s="7">
        <f t="shared" si="83"/>
        <v>287.80190341386611</v>
      </c>
      <c r="G664" s="7">
        <v>6178.4799140028972</v>
      </c>
      <c r="H664" s="7">
        <f t="shared" si="84"/>
        <v>147.81052425844251</v>
      </c>
      <c r="I664" s="7">
        <f t="shared" si="85"/>
        <v>321.20730492405181</v>
      </c>
      <c r="J664" s="7">
        <v>0</v>
      </c>
      <c r="K664" s="7">
        <f t="shared" si="86"/>
        <v>0</v>
      </c>
      <c r="L664" s="7">
        <f t="shared" si="87"/>
        <v>0</v>
      </c>
      <c r="M664" s="7">
        <v>1143.9824217829523</v>
      </c>
      <c r="N664" s="7">
        <f t="shared" si="88"/>
        <v>91.226668403744213</v>
      </c>
      <c r="O664" s="7">
        <f t="shared" si="89"/>
        <v>34.532485460329504</v>
      </c>
    </row>
    <row r="665" spans="3:15" x14ac:dyDescent="0.2">
      <c r="C665">
        <v>646</v>
      </c>
      <c r="D665" s="7">
        <v>3326.3999999999996</v>
      </c>
      <c r="E665" s="7">
        <f t="shared" si="82"/>
        <v>99.473684210526315</v>
      </c>
      <c r="F665" s="7">
        <f t="shared" si="83"/>
        <v>268.61510985294177</v>
      </c>
      <c r="G665" s="7">
        <v>6180.5450335756705</v>
      </c>
      <c r="H665" s="7">
        <f t="shared" si="84"/>
        <v>147.8599290329108</v>
      </c>
      <c r="I665" s="7">
        <f t="shared" si="85"/>
        <v>321.3146665245668</v>
      </c>
      <c r="J665" s="7">
        <v>0</v>
      </c>
      <c r="K665" s="7">
        <f t="shared" si="86"/>
        <v>0</v>
      </c>
      <c r="L665" s="7">
        <f t="shared" si="87"/>
        <v>0</v>
      </c>
      <c r="M665" s="7">
        <v>1141.9173022101791</v>
      </c>
      <c r="N665" s="7">
        <f t="shared" si="88"/>
        <v>91.061985822183345</v>
      </c>
      <c r="O665" s="7">
        <f t="shared" si="89"/>
        <v>34.470147341960967</v>
      </c>
    </row>
    <row r="666" spans="3:15" x14ac:dyDescent="0.2">
      <c r="C666">
        <v>647</v>
      </c>
      <c r="D666" s="7">
        <v>2673</v>
      </c>
      <c r="E666" s="7">
        <f t="shared" si="82"/>
        <v>79.934210526315795</v>
      </c>
      <c r="F666" s="7">
        <f t="shared" si="83"/>
        <v>215.85142756039966</v>
      </c>
      <c r="G666" s="7">
        <v>0</v>
      </c>
      <c r="H666" s="7">
        <f t="shared" si="84"/>
        <v>0</v>
      </c>
      <c r="I666" s="7">
        <f t="shared" si="85"/>
        <v>0</v>
      </c>
      <c r="J666" s="7">
        <v>0</v>
      </c>
      <c r="K666" s="7">
        <f t="shared" si="86"/>
        <v>0</v>
      </c>
      <c r="L666" s="7">
        <f t="shared" si="87"/>
        <v>0</v>
      </c>
      <c r="M666" s="7">
        <v>0</v>
      </c>
      <c r="N666" s="7">
        <f t="shared" si="88"/>
        <v>0</v>
      </c>
      <c r="O666" s="7">
        <f t="shared" si="89"/>
        <v>0</v>
      </c>
    </row>
    <row r="667" spans="3:15" x14ac:dyDescent="0.2">
      <c r="C667">
        <v>648</v>
      </c>
      <c r="D667" s="7">
        <v>2524.5</v>
      </c>
      <c r="E667" s="7">
        <f t="shared" si="82"/>
        <v>75.493421052631589</v>
      </c>
      <c r="F667" s="7">
        <f t="shared" si="83"/>
        <v>203.85968158482189</v>
      </c>
      <c r="G667" s="7">
        <v>0</v>
      </c>
      <c r="H667" s="7">
        <f t="shared" si="84"/>
        <v>0</v>
      </c>
      <c r="I667" s="7">
        <f t="shared" si="85"/>
        <v>0</v>
      </c>
      <c r="J667" s="7">
        <v>0</v>
      </c>
      <c r="K667" s="7">
        <f t="shared" si="86"/>
        <v>0</v>
      </c>
      <c r="L667" s="7">
        <f t="shared" si="87"/>
        <v>0</v>
      </c>
      <c r="M667" s="7">
        <v>0</v>
      </c>
      <c r="N667" s="7">
        <f t="shared" si="88"/>
        <v>0</v>
      </c>
      <c r="O667" s="7">
        <f t="shared" si="89"/>
        <v>0</v>
      </c>
    </row>
    <row r="668" spans="3:15" x14ac:dyDescent="0.2">
      <c r="C668">
        <v>649</v>
      </c>
      <c r="D668" s="7">
        <v>2376</v>
      </c>
      <c r="E668" s="7">
        <f t="shared" si="82"/>
        <v>71.05263157894737</v>
      </c>
      <c r="F668" s="7">
        <f t="shared" si="83"/>
        <v>191.86793560924414</v>
      </c>
      <c r="G668" s="7">
        <v>0</v>
      </c>
      <c r="H668" s="7">
        <f t="shared" si="84"/>
        <v>0</v>
      </c>
      <c r="I668" s="7">
        <f t="shared" si="85"/>
        <v>0</v>
      </c>
      <c r="J668" s="7">
        <v>0</v>
      </c>
      <c r="K668" s="7">
        <f t="shared" si="86"/>
        <v>0</v>
      </c>
      <c r="L668" s="7">
        <f t="shared" si="87"/>
        <v>0</v>
      </c>
      <c r="M668" s="7">
        <v>0</v>
      </c>
      <c r="N668" s="7">
        <f t="shared" si="88"/>
        <v>0</v>
      </c>
      <c r="O668" s="7">
        <f t="shared" si="89"/>
        <v>0</v>
      </c>
    </row>
    <row r="669" spans="3:15" x14ac:dyDescent="0.2">
      <c r="C669">
        <v>650</v>
      </c>
      <c r="D669" s="7">
        <v>2376</v>
      </c>
      <c r="E669" s="7">
        <f t="shared" si="82"/>
        <v>71.05263157894737</v>
      </c>
      <c r="F669" s="7">
        <f t="shared" si="83"/>
        <v>191.86793560924414</v>
      </c>
      <c r="G669" s="7">
        <v>0</v>
      </c>
      <c r="H669" s="7">
        <f t="shared" si="84"/>
        <v>0</v>
      </c>
      <c r="I669" s="7">
        <f t="shared" si="85"/>
        <v>0</v>
      </c>
      <c r="J669" s="7">
        <v>0</v>
      </c>
      <c r="K669" s="7">
        <f t="shared" si="86"/>
        <v>0</v>
      </c>
      <c r="L669" s="7">
        <f t="shared" si="87"/>
        <v>0</v>
      </c>
      <c r="M669" s="7">
        <v>0</v>
      </c>
      <c r="N669" s="7">
        <f t="shared" si="88"/>
        <v>0</v>
      </c>
      <c r="O669" s="7">
        <f t="shared" si="89"/>
        <v>0</v>
      </c>
    </row>
    <row r="670" spans="3:15" x14ac:dyDescent="0.2">
      <c r="C670">
        <v>651</v>
      </c>
      <c r="D670" s="7">
        <v>2524.5000000000005</v>
      </c>
      <c r="E670" s="7">
        <f t="shared" si="82"/>
        <v>75.493421052631604</v>
      </c>
      <c r="F670" s="7">
        <f t="shared" si="83"/>
        <v>203.85968158482191</v>
      </c>
      <c r="G670" s="7">
        <v>0</v>
      </c>
      <c r="H670" s="7">
        <f t="shared" si="84"/>
        <v>0</v>
      </c>
      <c r="I670" s="7">
        <f t="shared" si="85"/>
        <v>0</v>
      </c>
      <c r="J670" s="7">
        <v>0</v>
      </c>
      <c r="K670" s="7">
        <f t="shared" si="86"/>
        <v>0</v>
      </c>
      <c r="L670" s="7">
        <f t="shared" si="87"/>
        <v>0</v>
      </c>
      <c r="M670" s="7">
        <v>0</v>
      </c>
      <c r="N670" s="7">
        <f t="shared" si="88"/>
        <v>0</v>
      </c>
      <c r="O670" s="7">
        <f t="shared" si="89"/>
        <v>0</v>
      </c>
    </row>
    <row r="671" spans="3:15" x14ac:dyDescent="0.2">
      <c r="C671">
        <v>652</v>
      </c>
      <c r="D671" s="7">
        <v>2673</v>
      </c>
      <c r="E671" s="7">
        <f t="shared" si="82"/>
        <v>79.934210526315795</v>
      </c>
      <c r="F671" s="7">
        <f t="shared" si="83"/>
        <v>215.85142756039966</v>
      </c>
      <c r="G671" s="7">
        <v>0</v>
      </c>
      <c r="H671" s="7">
        <f t="shared" si="84"/>
        <v>0</v>
      </c>
      <c r="I671" s="7">
        <f t="shared" si="85"/>
        <v>0</v>
      </c>
      <c r="J671" s="7">
        <v>0</v>
      </c>
      <c r="K671" s="7">
        <f t="shared" si="86"/>
        <v>0</v>
      </c>
      <c r="L671" s="7">
        <f t="shared" si="87"/>
        <v>0</v>
      </c>
      <c r="M671" s="7">
        <v>0</v>
      </c>
      <c r="N671" s="7">
        <f t="shared" si="88"/>
        <v>0</v>
      </c>
      <c r="O671" s="7">
        <f t="shared" si="89"/>
        <v>0</v>
      </c>
    </row>
    <row r="672" spans="3:15" x14ac:dyDescent="0.2">
      <c r="C672">
        <v>653</v>
      </c>
      <c r="D672" s="7">
        <v>2821.4999999999995</v>
      </c>
      <c r="E672" s="7">
        <f t="shared" si="82"/>
        <v>84.374999999999986</v>
      </c>
      <c r="F672" s="7">
        <f t="shared" si="83"/>
        <v>227.84317353597737</v>
      </c>
      <c r="G672" s="7">
        <v>0</v>
      </c>
      <c r="H672" s="7">
        <f t="shared" si="84"/>
        <v>0</v>
      </c>
      <c r="I672" s="7">
        <f t="shared" si="85"/>
        <v>0</v>
      </c>
      <c r="J672" s="7">
        <v>0</v>
      </c>
      <c r="K672" s="7">
        <f t="shared" si="86"/>
        <v>0</v>
      </c>
      <c r="L672" s="7">
        <f t="shared" si="87"/>
        <v>0</v>
      </c>
      <c r="M672" s="7">
        <v>0</v>
      </c>
      <c r="N672" s="7">
        <f t="shared" si="88"/>
        <v>0</v>
      </c>
      <c r="O672" s="7">
        <f t="shared" si="89"/>
        <v>0</v>
      </c>
    </row>
    <row r="673" spans="3:15" x14ac:dyDescent="0.2">
      <c r="C673">
        <v>654</v>
      </c>
      <c r="D673" s="7">
        <v>2969.9999999999995</v>
      </c>
      <c r="E673" s="7">
        <f t="shared" si="82"/>
        <v>88.815789473684205</v>
      </c>
      <c r="F673" s="7">
        <f t="shared" si="83"/>
        <v>239.83491951155514</v>
      </c>
      <c r="G673" s="7">
        <v>0</v>
      </c>
      <c r="H673" s="7">
        <f t="shared" si="84"/>
        <v>0</v>
      </c>
      <c r="I673" s="7">
        <f t="shared" si="85"/>
        <v>0</v>
      </c>
      <c r="J673" s="7">
        <v>0</v>
      </c>
      <c r="K673" s="7">
        <f t="shared" si="86"/>
        <v>0</v>
      </c>
      <c r="L673" s="7">
        <f t="shared" si="87"/>
        <v>0</v>
      </c>
      <c r="M673" s="7">
        <v>0</v>
      </c>
      <c r="N673" s="7">
        <f t="shared" si="88"/>
        <v>0</v>
      </c>
      <c r="O673" s="7">
        <f t="shared" si="89"/>
        <v>0</v>
      </c>
    </row>
    <row r="674" spans="3:15" x14ac:dyDescent="0.2">
      <c r="C674">
        <v>655</v>
      </c>
      <c r="D674" s="7">
        <v>3118.5</v>
      </c>
      <c r="E674" s="7">
        <f t="shared" si="82"/>
        <v>93.256578947368425</v>
      </c>
      <c r="F674" s="7">
        <f t="shared" si="83"/>
        <v>251.82666548713291</v>
      </c>
      <c r="G674" s="7">
        <v>6189.972247561429</v>
      </c>
      <c r="H674" s="7">
        <f t="shared" si="84"/>
        <v>148.08546046797679</v>
      </c>
      <c r="I674" s="7">
        <f t="shared" si="85"/>
        <v>321.80476927466958</v>
      </c>
      <c r="J674" s="7">
        <v>0</v>
      </c>
      <c r="K674" s="7">
        <f t="shared" si="86"/>
        <v>0</v>
      </c>
      <c r="L674" s="7">
        <f t="shared" si="87"/>
        <v>0</v>
      </c>
      <c r="M674" s="7">
        <v>1132.4900882244206</v>
      </c>
      <c r="N674" s="7">
        <f t="shared" si="88"/>
        <v>90.310214371963369</v>
      </c>
      <c r="O674" s="7">
        <f t="shared" si="89"/>
        <v>34.185575548115352</v>
      </c>
    </row>
    <row r="675" spans="3:15" x14ac:dyDescent="0.2">
      <c r="C675">
        <v>656</v>
      </c>
      <c r="D675" s="7">
        <v>3267</v>
      </c>
      <c r="E675" s="7">
        <f t="shared" si="82"/>
        <v>97.697368421052644</v>
      </c>
      <c r="F675" s="7">
        <f t="shared" si="83"/>
        <v>263.81841146271069</v>
      </c>
      <c r="G675" s="7">
        <v>6192.4416235683748</v>
      </c>
      <c r="H675" s="7">
        <f t="shared" si="84"/>
        <v>148.14453644900419</v>
      </c>
      <c r="I675" s="7">
        <f t="shared" si="85"/>
        <v>321.93314739082035</v>
      </c>
      <c r="J675" s="7">
        <v>0</v>
      </c>
      <c r="K675" s="7">
        <f t="shared" si="86"/>
        <v>0</v>
      </c>
      <c r="L675" s="7">
        <f t="shared" si="87"/>
        <v>0</v>
      </c>
      <c r="M675" s="7">
        <v>1130.0207122174747</v>
      </c>
      <c r="N675" s="7">
        <f t="shared" si="88"/>
        <v>90.113294435205333</v>
      </c>
      <c r="O675" s="7">
        <f t="shared" si="89"/>
        <v>34.111034463014555</v>
      </c>
    </row>
    <row r="676" spans="3:15" x14ac:dyDescent="0.2">
      <c r="C676">
        <v>657</v>
      </c>
      <c r="D676" s="7">
        <v>3415.5</v>
      </c>
      <c r="E676" s="7">
        <f t="shared" si="82"/>
        <v>102.13815789473685</v>
      </c>
      <c r="F676" s="7">
        <f t="shared" si="83"/>
        <v>275.81015743828846</v>
      </c>
      <c r="G676" s="7">
        <v>0</v>
      </c>
      <c r="H676" s="7">
        <f t="shared" si="84"/>
        <v>0</v>
      </c>
      <c r="I676" s="7">
        <f t="shared" si="85"/>
        <v>0</v>
      </c>
      <c r="J676" s="7">
        <v>0</v>
      </c>
      <c r="K676" s="7">
        <f t="shared" si="86"/>
        <v>0</v>
      </c>
      <c r="L676" s="7">
        <f t="shared" si="87"/>
        <v>0</v>
      </c>
      <c r="M676" s="7">
        <v>0</v>
      </c>
      <c r="N676" s="7">
        <f t="shared" si="88"/>
        <v>0</v>
      </c>
      <c r="O676" s="7">
        <f t="shared" si="89"/>
        <v>0</v>
      </c>
    </row>
    <row r="677" spans="3:15" x14ac:dyDescent="0.2">
      <c r="C677">
        <v>658</v>
      </c>
      <c r="D677" s="7">
        <v>3564</v>
      </c>
      <c r="E677" s="7">
        <f t="shared" si="82"/>
        <v>106.57894736842105</v>
      </c>
      <c r="F677" s="7">
        <f t="shared" si="83"/>
        <v>287.80190341386617</v>
      </c>
      <c r="G677" s="7">
        <v>0</v>
      </c>
      <c r="H677" s="7">
        <f t="shared" si="84"/>
        <v>0</v>
      </c>
      <c r="I677" s="7">
        <f t="shared" si="85"/>
        <v>0</v>
      </c>
      <c r="J677" s="7">
        <v>0</v>
      </c>
      <c r="K677" s="7">
        <f t="shared" si="86"/>
        <v>0</v>
      </c>
      <c r="L677" s="7">
        <f t="shared" si="87"/>
        <v>0</v>
      </c>
      <c r="M677" s="7">
        <v>0</v>
      </c>
      <c r="N677" s="7">
        <f t="shared" si="88"/>
        <v>0</v>
      </c>
      <c r="O677" s="7">
        <f t="shared" si="89"/>
        <v>0</v>
      </c>
    </row>
    <row r="678" spans="3:15" x14ac:dyDescent="0.2">
      <c r="C678">
        <v>659</v>
      </c>
      <c r="D678" s="7">
        <v>3712.5000000000005</v>
      </c>
      <c r="E678" s="7">
        <f t="shared" si="82"/>
        <v>111.01973684210529</v>
      </c>
      <c r="F678" s="7">
        <f t="shared" si="83"/>
        <v>299.793649389444</v>
      </c>
      <c r="G678" s="7">
        <v>0</v>
      </c>
      <c r="H678" s="7">
        <f t="shared" si="84"/>
        <v>0</v>
      </c>
      <c r="I678" s="7">
        <f t="shared" si="85"/>
        <v>0</v>
      </c>
      <c r="J678" s="7">
        <v>0</v>
      </c>
      <c r="K678" s="7">
        <f t="shared" si="86"/>
        <v>0</v>
      </c>
      <c r="L678" s="7">
        <f t="shared" si="87"/>
        <v>0</v>
      </c>
      <c r="M678" s="7">
        <v>0</v>
      </c>
      <c r="N678" s="7">
        <f t="shared" si="88"/>
        <v>0</v>
      </c>
      <c r="O678" s="7">
        <f t="shared" si="89"/>
        <v>0</v>
      </c>
    </row>
    <row r="679" spans="3:15" x14ac:dyDescent="0.2">
      <c r="C679">
        <v>660</v>
      </c>
      <c r="D679" s="7">
        <v>3717.5011424170707</v>
      </c>
      <c r="E679" s="7">
        <f t="shared" si="82"/>
        <v>111.16929253639566</v>
      </c>
      <c r="F679" s="7">
        <f t="shared" si="83"/>
        <v>300.19750413323652</v>
      </c>
      <c r="G679" s="7">
        <v>0</v>
      </c>
      <c r="H679" s="7">
        <f t="shared" si="84"/>
        <v>0</v>
      </c>
      <c r="I679" s="7">
        <f t="shared" si="85"/>
        <v>0</v>
      </c>
      <c r="J679" s="7">
        <v>143.49885758293021</v>
      </c>
      <c r="K679" s="7">
        <f t="shared" si="86"/>
        <v>2.288658015676718</v>
      </c>
      <c r="L679" s="7">
        <f t="shared" si="87"/>
        <v>8.6145352870030507</v>
      </c>
      <c r="M679" s="7">
        <v>0</v>
      </c>
      <c r="N679" s="7">
        <f t="shared" si="88"/>
        <v>0</v>
      </c>
      <c r="O679" s="7">
        <f t="shared" si="89"/>
        <v>0</v>
      </c>
    </row>
    <row r="680" spans="3:15" x14ac:dyDescent="0.2">
      <c r="C680">
        <v>661</v>
      </c>
      <c r="D680" s="7">
        <v>3711.2215429146258</v>
      </c>
      <c r="E680" s="7">
        <f t="shared" si="82"/>
        <v>110.98150546993499</v>
      </c>
      <c r="F680" s="7">
        <f t="shared" si="83"/>
        <v>299.69041078601981</v>
      </c>
      <c r="G680" s="7">
        <v>0</v>
      </c>
      <c r="H680" s="7">
        <f t="shared" si="84"/>
        <v>0</v>
      </c>
      <c r="I680" s="7">
        <f t="shared" si="85"/>
        <v>0</v>
      </c>
      <c r="J680" s="7">
        <v>298.27845708537461</v>
      </c>
      <c r="K680" s="7">
        <f t="shared" si="86"/>
        <v>4.7572321704206484</v>
      </c>
      <c r="L680" s="7">
        <f t="shared" si="87"/>
        <v>17.906277005932356</v>
      </c>
      <c r="M680" s="7">
        <v>0</v>
      </c>
      <c r="N680" s="7">
        <f t="shared" si="88"/>
        <v>0</v>
      </c>
      <c r="O680" s="7">
        <f t="shared" si="89"/>
        <v>0</v>
      </c>
    </row>
    <row r="681" spans="3:15" x14ac:dyDescent="0.2">
      <c r="C681">
        <v>662</v>
      </c>
      <c r="D681" s="7">
        <v>3704.9734332625867</v>
      </c>
      <c r="E681" s="7">
        <f t="shared" si="82"/>
        <v>110.79466008560368</v>
      </c>
      <c r="F681" s="7">
        <f t="shared" si="83"/>
        <v>299.18586032288977</v>
      </c>
      <c r="G681" s="7">
        <v>0</v>
      </c>
      <c r="H681" s="7">
        <f t="shared" si="84"/>
        <v>0</v>
      </c>
      <c r="I681" s="7">
        <f t="shared" si="85"/>
        <v>0</v>
      </c>
      <c r="J681" s="7">
        <v>453.02656673741421</v>
      </c>
      <c r="K681" s="7">
        <f t="shared" si="86"/>
        <v>7.225304094695602</v>
      </c>
      <c r="L681" s="7">
        <f t="shared" si="87"/>
        <v>27.19612832355768</v>
      </c>
      <c r="M681" s="7">
        <v>0</v>
      </c>
      <c r="N681" s="7">
        <f t="shared" si="88"/>
        <v>0</v>
      </c>
      <c r="O681" s="7">
        <f t="shared" si="89"/>
        <v>0</v>
      </c>
    </row>
    <row r="682" spans="3:15" x14ac:dyDescent="0.2">
      <c r="C682">
        <v>663</v>
      </c>
      <c r="D682" s="7">
        <v>3698.7567085753203</v>
      </c>
      <c r="E682" s="7">
        <f t="shared" si="82"/>
        <v>110.60875324686964</v>
      </c>
      <c r="F682" s="7">
        <f t="shared" si="83"/>
        <v>298.6838442740696</v>
      </c>
      <c r="G682" s="7">
        <v>0</v>
      </c>
      <c r="H682" s="7">
        <f t="shared" si="84"/>
        <v>0</v>
      </c>
      <c r="I682" s="7">
        <f t="shared" si="85"/>
        <v>0</v>
      </c>
      <c r="J682" s="7">
        <v>310.74329142467968</v>
      </c>
      <c r="K682" s="7">
        <f t="shared" si="86"/>
        <v>4.9560333560554977</v>
      </c>
      <c r="L682" s="7">
        <f t="shared" si="87"/>
        <v>18.654566971938081</v>
      </c>
      <c r="M682" s="7">
        <v>0</v>
      </c>
      <c r="N682" s="7">
        <f t="shared" si="88"/>
        <v>0</v>
      </c>
      <c r="O682" s="7">
        <f t="shared" si="89"/>
        <v>0</v>
      </c>
    </row>
    <row r="683" spans="3:15" x14ac:dyDescent="0.2">
      <c r="C683">
        <v>664</v>
      </c>
      <c r="D683" s="7">
        <v>3698.469687126898</v>
      </c>
      <c r="E683" s="7">
        <f t="shared" si="82"/>
        <v>110.60017006958428</v>
      </c>
      <c r="F683" s="7">
        <f t="shared" si="83"/>
        <v>298.66066657508628</v>
      </c>
      <c r="G683" s="7">
        <v>6199.8903538197328</v>
      </c>
      <c r="H683" s="7">
        <f t="shared" si="84"/>
        <v>148.32273573731419</v>
      </c>
      <c r="I683" s="7">
        <f t="shared" si="85"/>
        <v>322.3203925712607</v>
      </c>
      <c r="J683" s="7">
        <v>459.53031287310205</v>
      </c>
      <c r="K683" s="7">
        <f t="shared" si="86"/>
        <v>7.3290321032392676</v>
      </c>
      <c r="L683" s="7">
        <f t="shared" si="87"/>
        <v>27.586561749490802</v>
      </c>
      <c r="M683" s="7">
        <v>1122.571981966116</v>
      </c>
      <c r="N683" s="7">
        <f t="shared" si="88"/>
        <v>89.51929680750527</v>
      </c>
      <c r="O683" s="7">
        <f t="shared" si="89"/>
        <v>33.886185580544783</v>
      </c>
    </row>
    <row r="684" spans="3:15" x14ac:dyDescent="0.2">
      <c r="C684">
        <v>665</v>
      </c>
      <c r="D684" s="7">
        <v>3706.2076014766203</v>
      </c>
      <c r="E684" s="7">
        <f t="shared" si="82"/>
        <v>110.83156702980325</v>
      </c>
      <c r="F684" s="7">
        <f t="shared" si="83"/>
        <v>299.28552248931283</v>
      </c>
      <c r="G684" s="7">
        <v>6201.1079261245222</v>
      </c>
      <c r="H684" s="7">
        <f t="shared" si="84"/>
        <v>148.3518642613522</v>
      </c>
      <c r="I684" s="7">
        <f t="shared" si="85"/>
        <v>322.38369181703229</v>
      </c>
      <c r="J684" s="7">
        <v>1045.7923985233797</v>
      </c>
      <c r="K684" s="7">
        <f t="shared" si="86"/>
        <v>16.679304601648798</v>
      </c>
      <c r="L684" s="7">
        <f t="shared" si="87"/>
        <v>62.781095764144062</v>
      </c>
      <c r="M684" s="7">
        <v>1121.3544096613268</v>
      </c>
      <c r="N684" s="7">
        <f t="shared" si="88"/>
        <v>89.422201727378535</v>
      </c>
      <c r="O684" s="7">
        <f t="shared" si="89"/>
        <v>33.849431695947061</v>
      </c>
    </row>
    <row r="685" spans="3:15" x14ac:dyDescent="0.2">
      <c r="C685">
        <v>666</v>
      </c>
      <c r="D685" s="7">
        <v>3713.9149628798691</v>
      </c>
      <c r="E685" s="7">
        <f t="shared" si="82"/>
        <v>111.06205032535495</v>
      </c>
      <c r="F685" s="7">
        <f t="shared" si="83"/>
        <v>299.90791117678577</v>
      </c>
      <c r="G685" s="7">
        <v>6202.0123855908214</v>
      </c>
      <c r="H685" s="7">
        <f t="shared" si="84"/>
        <v>148.37350204762731</v>
      </c>
      <c r="I685" s="7">
        <f t="shared" si="85"/>
        <v>322.43071292766575</v>
      </c>
      <c r="J685" s="7">
        <v>889.58503712013089</v>
      </c>
      <c r="K685" s="7">
        <f t="shared" si="86"/>
        <v>14.187959124722981</v>
      </c>
      <c r="L685" s="7">
        <f t="shared" si="87"/>
        <v>53.403642524697538</v>
      </c>
      <c r="M685" s="7">
        <v>1120.4499501950279</v>
      </c>
      <c r="N685" s="7">
        <f t="shared" si="88"/>
        <v>89.350075773128225</v>
      </c>
      <c r="O685" s="7">
        <f t="shared" si="89"/>
        <v>33.822129499012291</v>
      </c>
    </row>
    <row r="686" spans="3:15" x14ac:dyDescent="0.2">
      <c r="C686">
        <v>667</v>
      </c>
      <c r="D686" s="7">
        <v>3721.5916850762183</v>
      </c>
      <c r="E686" s="7">
        <f t="shared" si="82"/>
        <v>111.29161737668117</v>
      </c>
      <c r="F686" s="7">
        <f t="shared" si="83"/>
        <v>300.52782567176018</v>
      </c>
      <c r="G686" s="7">
        <v>6202.8042009297515</v>
      </c>
      <c r="H686" s="7">
        <f t="shared" si="84"/>
        <v>148.39244499831943</v>
      </c>
      <c r="I686" s="7">
        <f t="shared" si="85"/>
        <v>322.47187788645107</v>
      </c>
      <c r="J686" s="7">
        <v>1178.9083149237808</v>
      </c>
      <c r="K686" s="7">
        <f t="shared" si="86"/>
        <v>18.802365469278804</v>
      </c>
      <c r="L686" s="7">
        <f t="shared" si="87"/>
        <v>70.772321467319387</v>
      </c>
      <c r="M686" s="7">
        <v>1119.6581348560974</v>
      </c>
      <c r="N686" s="7">
        <f t="shared" si="88"/>
        <v>89.286932604154501</v>
      </c>
      <c r="O686" s="7">
        <f t="shared" si="89"/>
        <v>33.798227600558064</v>
      </c>
    </row>
    <row r="687" spans="3:15" x14ac:dyDescent="0.2">
      <c r="C687">
        <v>668</v>
      </c>
      <c r="D687" s="7">
        <v>3729.237472441635</v>
      </c>
      <c r="E687" s="7">
        <f t="shared" si="82"/>
        <v>111.52025934335033</v>
      </c>
      <c r="F687" s="7">
        <f t="shared" si="83"/>
        <v>301.14524210185687</v>
      </c>
      <c r="G687" s="7">
        <v>6203.6038026125043</v>
      </c>
      <c r="H687" s="7">
        <f t="shared" si="84"/>
        <v>148.41157422517955</v>
      </c>
      <c r="I687" s="7">
        <f t="shared" si="85"/>
        <v>322.51344764229788</v>
      </c>
      <c r="J687" s="7">
        <v>844.56252755836522</v>
      </c>
      <c r="K687" s="7">
        <f t="shared" si="86"/>
        <v>13.469896771265795</v>
      </c>
      <c r="L687" s="7">
        <f t="shared" si="87"/>
        <v>50.700847506938466</v>
      </c>
      <c r="M687" s="7">
        <v>1118.8585331733448</v>
      </c>
      <c r="N687" s="7">
        <f t="shared" si="88"/>
        <v>89.223168514620795</v>
      </c>
      <c r="O687" s="7">
        <f t="shared" si="89"/>
        <v>33.774090661949622</v>
      </c>
    </row>
    <row r="688" spans="3:15" x14ac:dyDescent="0.2">
      <c r="C688">
        <v>669</v>
      </c>
      <c r="D688" s="7">
        <v>3736.8530658738027</v>
      </c>
      <c r="E688" s="7">
        <f t="shared" si="82"/>
        <v>111.74799838139363</v>
      </c>
      <c r="F688" s="7">
        <f t="shared" si="83"/>
        <v>301.76022029641467</v>
      </c>
      <c r="G688" s="7">
        <v>6204.8316353989248</v>
      </c>
      <c r="H688" s="7">
        <f t="shared" si="84"/>
        <v>148.44094821528529</v>
      </c>
      <c r="I688" s="7">
        <f t="shared" si="85"/>
        <v>322.57728031080416</v>
      </c>
      <c r="J688" s="7">
        <v>510.24693412619763</v>
      </c>
      <c r="K688" s="7">
        <f t="shared" si="86"/>
        <v>8.1379096351865652</v>
      </c>
      <c r="L688" s="7">
        <f t="shared" si="87"/>
        <v>30.631186151255594</v>
      </c>
      <c r="M688" s="7">
        <v>1117.6307003869247</v>
      </c>
      <c r="N688" s="7">
        <f t="shared" si="88"/>
        <v>89.125255214268321</v>
      </c>
      <c r="O688" s="7">
        <f t="shared" si="89"/>
        <v>33.737027052371879</v>
      </c>
    </row>
    <row r="689" spans="3:15" x14ac:dyDescent="0.2">
      <c r="C689">
        <v>670</v>
      </c>
      <c r="D689" s="7">
        <v>3744.4395160929125</v>
      </c>
      <c r="E689" s="7">
        <f t="shared" si="82"/>
        <v>111.9748659118694</v>
      </c>
      <c r="F689" s="7">
        <f t="shared" si="83"/>
        <v>302.37284510371387</v>
      </c>
      <c r="G689" s="7">
        <v>6206.4869011998126</v>
      </c>
      <c r="H689" s="7">
        <f t="shared" si="84"/>
        <v>148.4805478755936</v>
      </c>
      <c r="I689" s="7">
        <f t="shared" si="85"/>
        <v>322.66333440084514</v>
      </c>
      <c r="J689" s="7">
        <v>175.96048390708711</v>
      </c>
      <c r="K689" s="7">
        <f t="shared" si="86"/>
        <v>2.8063873031433353</v>
      </c>
      <c r="L689" s="7">
        <f t="shared" si="87"/>
        <v>10.563274323349368</v>
      </c>
      <c r="M689" s="7">
        <v>1115.975434586037</v>
      </c>
      <c r="N689" s="7">
        <f t="shared" si="88"/>
        <v>88.993256346573929</v>
      </c>
      <c r="O689" s="7">
        <f t="shared" si="89"/>
        <v>33.68706086310732</v>
      </c>
    </row>
    <row r="690" spans="3:15" x14ac:dyDescent="0.2">
      <c r="C690">
        <v>671</v>
      </c>
      <c r="D690" s="7">
        <v>3593.7</v>
      </c>
      <c r="E690" s="7">
        <f t="shared" si="82"/>
        <v>107.46710526315789</v>
      </c>
      <c r="F690" s="7">
        <f t="shared" si="83"/>
        <v>290.20025260898171</v>
      </c>
      <c r="G690" s="7">
        <v>0</v>
      </c>
      <c r="H690" s="7">
        <f t="shared" si="84"/>
        <v>0</v>
      </c>
      <c r="I690" s="7">
        <f t="shared" si="85"/>
        <v>0</v>
      </c>
      <c r="J690" s="7">
        <v>0</v>
      </c>
      <c r="K690" s="7">
        <f t="shared" si="86"/>
        <v>0</v>
      </c>
      <c r="L690" s="7">
        <f t="shared" si="87"/>
        <v>0</v>
      </c>
      <c r="M690" s="7">
        <v>0</v>
      </c>
      <c r="N690" s="7">
        <f t="shared" si="88"/>
        <v>0</v>
      </c>
      <c r="O690" s="7">
        <f t="shared" si="89"/>
        <v>0</v>
      </c>
    </row>
    <row r="691" spans="3:15" x14ac:dyDescent="0.2">
      <c r="C691">
        <v>672</v>
      </c>
      <c r="D691" s="7">
        <v>3267</v>
      </c>
      <c r="E691" s="7">
        <f t="shared" si="82"/>
        <v>97.697368421052644</v>
      </c>
      <c r="F691" s="7">
        <f t="shared" si="83"/>
        <v>263.81841146271069</v>
      </c>
      <c r="G691" s="7">
        <v>0</v>
      </c>
      <c r="H691" s="7">
        <f t="shared" si="84"/>
        <v>0</v>
      </c>
      <c r="I691" s="7">
        <f t="shared" si="85"/>
        <v>0</v>
      </c>
      <c r="J691" s="7">
        <v>0</v>
      </c>
      <c r="K691" s="7">
        <f t="shared" si="86"/>
        <v>0</v>
      </c>
      <c r="L691" s="7">
        <f t="shared" si="87"/>
        <v>0</v>
      </c>
      <c r="M691" s="7">
        <v>0</v>
      </c>
      <c r="N691" s="7">
        <f t="shared" si="88"/>
        <v>0</v>
      </c>
      <c r="O691" s="7">
        <f t="shared" si="89"/>
        <v>0</v>
      </c>
    </row>
    <row r="692" spans="3:15" x14ac:dyDescent="0.2">
      <c r="C692" s="3" t="s">
        <v>35</v>
      </c>
      <c r="D692" s="9">
        <f>SUM(D20:D691)</f>
        <v>2286226.9585540341</v>
      </c>
      <c r="E692" s="9"/>
      <c r="F692" s="9">
        <f t="shared" ref="F692:O692" si="90">SUM(F20:F691)</f>
        <v>184618.53824577612</v>
      </c>
      <c r="G692" s="9">
        <f t="shared" si="90"/>
        <v>1909080.9577221489</v>
      </c>
      <c r="H692" s="9"/>
      <c r="I692" s="9">
        <f t="shared" si="90"/>
        <v>99249.452591401845</v>
      </c>
      <c r="J692" s="9">
        <f t="shared" si="90"/>
        <v>339293.69968772272</v>
      </c>
      <c r="K692" s="9"/>
      <c r="L692" s="9">
        <f t="shared" si="90"/>
        <v>20368.507442148373</v>
      </c>
      <c r="M692" s="9">
        <f t="shared" si="90"/>
        <v>346237.44169989304</v>
      </c>
      <c r="N692" s="9"/>
      <c r="O692" s="9">
        <f t="shared" si="90"/>
        <v>10451.593655336545</v>
      </c>
    </row>
  </sheetData>
  <mergeCells count="11">
    <mergeCell ref="V14:W14"/>
    <mergeCell ref="D14:I14"/>
    <mergeCell ref="D13:O13"/>
    <mergeCell ref="J14:O14"/>
    <mergeCell ref="P14:Q14"/>
    <mergeCell ref="R14:S14"/>
    <mergeCell ref="D15:F15"/>
    <mergeCell ref="G15:I15"/>
    <mergeCell ref="J15:L15"/>
    <mergeCell ref="M15:O15"/>
    <mergeCell ref="T14:U1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F41F-7102-F648-A624-34D763DA31AB}">
  <dimension ref="A2:W692"/>
  <sheetViews>
    <sheetView topLeftCell="C7" zoomScale="170" zoomScaleNormal="170" workbookViewId="0">
      <selection activeCell="P18" sqref="P18"/>
    </sheetView>
  </sheetViews>
  <sheetFormatPr baseColWidth="10" defaultRowHeight="16" x14ac:dyDescent="0.2"/>
  <cols>
    <col min="4" max="4" width="13" bestFit="1" customWidth="1"/>
  </cols>
  <sheetData>
    <row r="2" spans="1:23" ht="18" x14ac:dyDescent="0.25">
      <c r="A2" s="4" t="s">
        <v>8</v>
      </c>
      <c r="B2" s="1" t="s">
        <v>7</v>
      </c>
      <c r="C2">
        <f>Winter!C2</f>
        <v>273</v>
      </c>
    </row>
    <row r="3" spans="1:23" ht="18" x14ac:dyDescent="0.25">
      <c r="A3" s="5" t="s">
        <v>9</v>
      </c>
      <c r="B3" s="1" t="s">
        <v>6</v>
      </c>
      <c r="C3">
        <f>Winter!C3</f>
        <v>4.18</v>
      </c>
    </row>
    <row r="4" spans="1:23" ht="18" x14ac:dyDescent="0.25">
      <c r="A4" s="5" t="s">
        <v>30</v>
      </c>
      <c r="B4" s="6" t="s">
        <v>11</v>
      </c>
      <c r="C4">
        <f>Winter!C4</f>
        <v>30</v>
      </c>
    </row>
    <row r="5" spans="1:23" ht="18" x14ac:dyDescent="0.25">
      <c r="A5" s="5" t="s">
        <v>31</v>
      </c>
      <c r="B5" s="6" t="s">
        <v>11</v>
      </c>
      <c r="C5">
        <f>Winter!C5</f>
        <v>5</v>
      </c>
    </row>
    <row r="6" spans="1:23" ht="18" x14ac:dyDescent="0.25">
      <c r="A6" s="5" t="s">
        <v>24</v>
      </c>
      <c r="B6" s="6" t="s">
        <v>11</v>
      </c>
      <c r="C6">
        <f>Winter!C6</f>
        <v>20</v>
      </c>
      <c r="D6" s="5">
        <f>C6+$C$2</f>
        <v>293</v>
      </c>
      <c r="E6" t="s">
        <v>7</v>
      </c>
      <c r="F6" s="8"/>
      <c r="H6" s="3"/>
      <c r="I6" s="3"/>
      <c r="J6" s="3"/>
    </row>
    <row r="7" spans="1:23" ht="18" x14ac:dyDescent="0.25">
      <c r="A7" s="5" t="s">
        <v>25</v>
      </c>
      <c r="B7" s="1" t="s">
        <v>11</v>
      </c>
      <c r="C7">
        <f>Winter!C7</f>
        <v>10</v>
      </c>
      <c r="D7" s="5">
        <f t="shared" ref="D7:D9" si="0">C7+$C$2</f>
        <v>283</v>
      </c>
      <c r="E7" s="8" t="s">
        <v>7</v>
      </c>
      <c r="F7" s="8" t="s">
        <v>34</v>
      </c>
      <c r="G7" s="5"/>
      <c r="H7" s="3"/>
      <c r="I7" s="3"/>
      <c r="J7" s="3"/>
    </row>
    <row r="8" spans="1:23" ht="18" x14ac:dyDescent="0.25">
      <c r="A8" s="5" t="s">
        <v>26</v>
      </c>
      <c r="B8" s="1" t="s">
        <v>11</v>
      </c>
      <c r="C8">
        <f>Winter!C8</f>
        <v>28</v>
      </c>
      <c r="D8" s="5">
        <f t="shared" si="0"/>
        <v>301</v>
      </c>
      <c r="E8" s="8" t="s">
        <v>7</v>
      </c>
      <c r="F8" s="5">
        <f>Winter!F8</f>
        <v>2</v>
      </c>
      <c r="G8" s="8" t="s">
        <v>7</v>
      </c>
      <c r="H8" s="3"/>
      <c r="I8" s="3"/>
      <c r="J8" s="3"/>
    </row>
    <row r="9" spans="1:23" ht="18" x14ac:dyDescent="0.25">
      <c r="A9" s="5" t="s">
        <v>27</v>
      </c>
      <c r="B9" s="1" t="s">
        <v>11</v>
      </c>
      <c r="C9">
        <f>Winter!C9</f>
        <v>10</v>
      </c>
      <c r="D9" s="5">
        <f t="shared" si="0"/>
        <v>283</v>
      </c>
      <c r="E9" s="8" t="s">
        <v>7</v>
      </c>
      <c r="F9" s="5">
        <v>5</v>
      </c>
      <c r="G9" s="8" t="s">
        <v>7</v>
      </c>
      <c r="H9" s="3"/>
      <c r="I9" s="3"/>
      <c r="J9" s="3"/>
    </row>
    <row r="10" spans="1:23" ht="18" x14ac:dyDescent="0.25">
      <c r="A10" s="5" t="s">
        <v>28</v>
      </c>
      <c r="B10" s="1" t="s">
        <v>11</v>
      </c>
      <c r="C10">
        <f>Winter!C10</f>
        <v>25</v>
      </c>
      <c r="D10" s="5">
        <f>C10+273</f>
        <v>298</v>
      </c>
      <c r="E10" s="8" t="s">
        <v>7</v>
      </c>
      <c r="F10" s="5">
        <v>5</v>
      </c>
      <c r="G10" s="8" t="s">
        <v>7</v>
      </c>
      <c r="H10" s="3"/>
      <c r="I10" s="3"/>
      <c r="J10" s="3"/>
    </row>
    <row r="11" spans="1:23" ht="18" x14ac:dyDescent="0.25">
      <c r="A11" s="5" t="s">
        <v>29</v>
      </c>
      <c r="B11" s="1" t="s">
        <v>11</v>
      </c>
      <c r="C11">
        <f>Winter!C11</f>
        <v>7</v>
      </c>
      <c r="D11" s="5">
        <f>C11+273</f>
        <v>280</v>
      </c>
      <c r="E11" s="8" t="s">
        <v>7</v>
      </c>
      <c r="F11" s="5">
        <v>2</v>
      </c>
      <c r="G11" s="8" t="s">
        <v>7</v>
      </c>
      <c r="H11" s="3"/>
      <c r="I11" s="3"/>
      <c r="J11" s="3"/>
    </row>
    <row r="12" spans="1:23" x14ac:dyDescent="0.2">
      <c r="A12" s="5"/>
      <c r="B12" s="1"/>
      <c r="E12" s="5"/>
      <c r="F12" s="5"/>
      <c r="G12" s="5"/>
    </row>
    <row r="13" spans="1:23" x14ac:dyDescent="0.2">
      <c r="D13" s="12" t="s">
        <v>3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23" s="1" customFormat="1" x14ac:dyDescent="0.2">
      <c r="D14" s="14" t="s">
        <v>0</v>
      </c>
      <c r="E14" s="14"/>
      <c r="F14" s="14"/>
      <c r="G14" s="14"/>
      <c r="H14" s="14"/>
      <c r="I14" s="14"/>
      <c r="J14" s="12" t="s">
        <v>1</v>
      </c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</row>
    <row r="15" spans="1:23" s="1" customFormat="1" x14ac:dyDescent="0.2">
      <c r="D15" s="12" t="s">
        <v>32</v>
      </c>
      <c r="E15" s="12"/>
      <c r="F15" s="12"/>
      <c r="G15" s="12" t="s">
        <v>33</v>
      </c>
      <c r="H15" s="12"/>
      <c r="I15" s="12"/>
      <c r="J15" s="12" t="s">
        <v>32</v>
      </c>
      <c r="K15" s="12"/>
      <c r="L15" s="12"/>
      <c r="M15" s="12" t="s">
        <v>33</v>
      </c>
      <c r="N15" s="12"/>
      <c r="O15" s="12"/>
    </row>
    <row r="16" spans="1:23" s="1" customFormat="1" ht="18" x14ac:dyDescent="0.25">
      <c r="D16" s="1" t="s">
        <v>18</v>
      </c>
      <c r="E16" s="2" t="s">
        <v>13</v>
      </c>
      <c r="F16" s="2" t="s">
        <v>17</v>
      </c>
      <c r="G16" s="1" t="s">
        <v>19</v>
      </c>
      <c r="H16" s="2" t="s">
        <v>14</v>
      </c>
      <c r="I16" s="2" t="s">
        <v>20</v>
      </c>
      <c r="J16" s="2" t="s">
        <v>21</v>
      </c>
      <c r="K16" s="2" t="s">
        <v>15</v>
      </c>
      <c r="L16" s="2" t="s">
        <v>22</v>
      </c>
      <c r="M16" s="2" t="s">
        <v>23</v>
      </c>
      <c r="N16" s="2" t="s">
        <v>16</v>
      </c>
      <c r="O16" s="2" t="s">
        <v>36</v>
      </c>
      <c r="P16" s="2"/>
      <c r="Q16" s="2"/>
      <c r="R16" s="2"/>
      <c r="S16" s="2"/>
      <c r="T16" s="2"/>
      <c r="U16" s="2"/>
      <c r="V16" s="2"/>
      <c r="W16" s="2"/>
    </row>
    <row r="17" spans="3:23" x14ac:dyDescent="0.2">
      <c r="D17" s="1" t="s">
        <v>12</v>
      </c>
      <c r="E17" s="6" t="s">
        <v>5</v>
      </c>
      <c r="F17" s="6" t="s">
        <v>12</v>
      </c>
      <c r="G17" s="1" t="s">
        <v>12</v>
      </c>
      <c r="H17" s="6" t="s">
        <v>5</v>
      </c>
      <c r="I17" s="6" t="s">
        <v>12</v>
      </c>
      <c r="J17" s="1" t="s">
        <v>12</v>
      </c>
      <c r="K17" s="6" t="s">
        <v>5</v>
      </c>
      <c r="L17" s="6" t="s">
        <v>12</v>
      </c>
      <c r="M17" s="1" t="s">
        <v>12</v>
      </c>
      <c r="N17" s="6" t="s">
        <v>5</v>
      </c>
      <c r="O17" s="6" t="s">
        <v>12</v>
      </c>
      <c r="P17" s="6"/>
      <c r="Q17" s="6"/>
      <c r="R17" s="6"/>
      <c r="S17" s="6"/>
      <c r="T17" s="6"/>
      <c r="U17" s="6"/>
      <c r="V17" s="6"/>
      <c r="W17" s="6"/>
    </row>
    <row r="18" spans="3:23" x14ac:dyDescent="0.2">
      <c r="C18" s="3" t="s">
        <v>35</v>
      </c>
      <c r="D18" s="10">
        <f>D692</f>
        <v>2182261.1702704765</v>
      </c>
      <c r="E18" s="10"/>
      <c r="F18" s="10">
        <f t="shared" ref="F18:O18" si="1">F692</f>
        <v>176223.04111953219</v>
      </c>
      <c r="G18" s="10">
        <f t="shared" si="1"/>
        <v>879763.27907483291</v>
      </c>
      <c r="H18" s="10"/>
      <c r="I18" s="10">
        <f t="shared" si="1"/>
        <v>45737.203288841309</v>
      </c>
      <c r="J18" s="10">
        <f t="shared" si="1"/>
        <v>640290.51631481654</v>
      </c>
      <c r="K18" s="10"/>
      <c r="L18" s="10">
        <f t="shared" si="1"/>
        <v>38437.973232920856</v>
      </c>
      <c r="M18" s="10">
        <f t="shared" si="1"/>
        <v>341510.38199628983</v>
      </c>
      <c r="N18" s="10"/>
      <c r="O18" s="10">
        <f t="shared" si="1"/>
        <v>10308.90167215871</v>
      </c>
      <c r="P18" s="11">
        <f>O18+L18+I18+F18</f>
        <v>270707.11931345309</v>
      </c>
      <c r="Q18" s="6"/>
      <c r="R18" s="6"/>
      <c r="S18" s="6"/>
      <c r="T18" s="6"/>
      <c r="U18" s="6"/>
      <c r="V18" s="6"/>
      <c r="W18" s="6"/>
    </row>
    <row r="19" spans="3:23" x14ac:dyDescent="0.2">
      <c r="C19" s="1" t="s">
        <v>10</v>
      </c>
      <c r="D19" s="1"/>
      <c r="E19" s="6"/>
      <c r="F19" s="6"/>
      <c r="G19" s="1"/>
      <c r="H19" s="6"/>
      <c r="I19" s="6"/>
      <c r="J19" s="1"/>
      <c r="K19" s="6"/>
      <c r="L19" s="6"/>
      <c r="M19" s="1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3:23" x14ac:dyDescent="0.2">
      <c r="C20">
        <v>1</v>
      </c>
      <c r="D20" s="7">
        <v>2713.9499780422011</v>
      </c>
      <c r="E20" s="7">
        <f>D20/($C$3*($D$8-$D$6))</f>
        <v>81.158791209395972</v>
      </c>
      <c r="F20" s="7">
        <f>E20*$C$3*((($D$8)-($D$6))-$C$2*LN(($D$8)/($D$6)))</f>
        <v>219.15824058657853</v>
      </c>
      <c r="G20" s="7">
        <v>0</v>
      </c>
      <c r="H20" s="7">
        <f>G20/($C$3*($D$6-$D$9))</f>
        <v>0</v>
      </c>
      <c r="I20" s="7">
        <f>ABS(H20*$C$3*(($D$9-$D$6)-$C$2*(LN($D$9/$D$6))))</f>
        <v>0</v>
      </c>
      <c r="J20" s="7">
        <v>0</v>
      </c>
      <c r="K20" s="7">
        <f>J20/($C$3*($D$10-$D$7))</f>
        <v>0</v>
      </c>
      <c r="L20" s="7">
        <f>K20*$C$3*(($D$10-$D$7)-$C$2*LN($D$10/$D$7))</f>
        <v>0</v>
      </c>
      <c r="M20" s="7">
        <v>0</v>
      </c>
      <c r="N20" s="7">
        <f>M20/($C$3*($D$7-$D$11))</f>
        <v>0</v>
      </c>
      <c r="O20" s="7">
        <f>ABS(N20*$C$3*(($D$11-$D$7)-$C$2*LN($D$11/$D$7)))</f>
        <v>0</v>
      </c>
    </row>
    <row r="21" spans="3:23" x14ac:dyDescent="0.2">
      <c r="C21">
        <v>2</v>
      </c>
      <c r="D21" s="7">
        <v>2554.3058616867775</v>
      </c>
      <c r="E21" s="7">
        <f t="shared" ref="E21:E84" si="2">D21/($C$3*($D$8-$D$6))</f>
        <v>76.384744667666794</v>
      </c>
      <c r="F21" s="7">
        <f t="shared" ref="F21:F84" si="3">E21*$C$3*((($D$8)-($D$6))-$C$2*LN(($D$8)/($D$6)))</f>
        <v>206.2665793756033</v>
      </c>
      <c r="G21" s="7">
        <v>0</v>
      </c>
      <c r="H21" s="7">
        <f t="shared" ref="H21:H84" si="4">G21/($C$3*($D$6-$D$9))</f>
        <v>0</v>
      </c>
      <c r="I21" s="7">
        <f t="shared" ref="I21:I84" si="5">ABS(H21*$C$3*(($D$9-$D$6)-$C$2*(LN($D$9/$D$6))))</f>
        <v>0</v>
      </c>
      <c r="J21" s="7">
        <v>0</v>
      </c>
      <c r="K21" s="7">
        <f t="shared" ref="K21:K84" si="6">J21/($C$3*($D$10-$D$7))</f>
        <v>0</v>
      </c>
      <c r="L21" s="7">
        <f t="shared" ref="L21:L84" si="7">K21*$C$3*(($D$10-$D$7)-$C$2*LN($D$10/$D$7))</f>
        <v>0</v>
      </c>
      <c r="M21" s="7">
        <v>0</v>
      </c>
      <c r="N21" s="7">
        <f t="shared" ref="N21:N84" si="8">M21/($C$3*($D$7-$D$11))</f>
        <v>0</v>
      </c>
      <c r="O21" s="7">
        <f t="shared" ref="O21:O84" si="9">ABS(N21*$C$3*(($D$11-$D$7)-$C$2*LN($D$11/$D$7)))</f>
        <v>0</v>
      </c>
    </row>
    <row r="22" spans="3:23" x14ac:dyDescent="0.2">
      <c r="C22">
        <v>3</v>
      </c>
      <c r="D22" s="7">
        <v>2713.9499780422011</v>
      </c>
      <c r="E22" s="7">
        <f t="shared" si="2"/>
        <v>81.158791209395972</v>
      </c>
      <c r="F22" s="7">
        <f t="shared" si="3"/>
        <v>219.15824058657853</v>
      </c>
      <c r="G22" s="7">
        <v>0</v>
      </c>
      <c r="H22" s="7">
        <f t="shared" si="4"/>
        <v>0</v>
      </c>
      <c r="I22" s="7">
        <f t="shared" si="5"/>
        <v>0</v>
      </c>
      <c r="J22" s="7">
        <v>0</v>
      </c>
      <c r="K22" s="7">
        <f t="shared" si="6"/>
        <v>0</v>
      </c>
      <c r="L22" s="7">
        <f t="shared" si="7"/>
        <v>0</v>
      </c>
      <c r="M22" s="7">
        <v>0</v>
      </c>
      <c r="N22" s="7">
        <f t="shared" si="8"/>
        <v>0</v>
      </c>
      <c r="O22" s="7">
        <f t="shared" si="9"/>
        <v>0</v>
      </c>
    </row>
    <row r="23" spans="3:23" x14ac:dyDescent="0.2">
      <c r="C23">
        <v>4</v>
      </c>
      <c r="D23" s="7">
        <v>2873.5940943976243</v>
      </c>
      <c r="E23" s="7">
        <f t="shared" si="2"/>
        <v>85.932837751125135</v>
      </c>
      <c r="F23" s="7">
        <f t="shared" si="3"/>
        <v>232.0499017975537</v>
      </c>
      <c r="G23" s="7">
        <v>0</v>
      </c>
      <c r="H23" s="7">
        <f t="shared" si="4"/>
        <v>0</v>
      </c>
      <c r="I23" s="7">
        <f t="shared" si="5"/>
        <v>0</v>
      </c>
      <c r="J23" s="7">
        <v>0</v>
      </c>
      <c r="K23" s="7">
        <f t="shared" si="6"/>
        <v>0</v>
      </c>
      <c r="L23" s="7">
        <f t="shared" si="7"/>
        <v>0</v>
      </c>
      <c r="M23" s="7">
        <v>0</v>
      </c>
      <c r="N23" s="7">
        <f t="shared" si="8"/>
        <v>0</v>
      </c>
      <c r="O23" s="7">
        <f t="shared" si="9"/>
        <v>0</v>
      </c>
    </row>
    <row r="24" spans="3:23" x14ac:dyDescent="0.2">
      <c r="C24">
        <v>5</v>
      </c>
      <c r="D24" s="7">
        <v>3272.704385286183</v>
      </c>
      <c r="E24" s="7">
        <f t="shared" si="2"/>
        <v>97.867954105448064</v>
      </c>
      <c r="F24" s="7">
        <f t="shared" si="3"/>
        <v>264.2790548249917</v>
      </c>
      <c r="G24" s="7">
        <v>0</v>
      </c>
      <c r="H24" s="7">
        <f t="shared" si="4"/>
        <v>0</v>
      </c>
      <c r="I24" s="7">
        <f t="shared" si="5"/>
        <v>0</v>
      </c>
      <c r="J24" s="7">
        <v>0</v>
      </c>
      <c r="K24" s="7">
        <f t="shared" si="6"/>
        <v>0</v>
      </c>
      <c r="L24" s="7">
        <f t="shared" si="7"/>
        <v>0</v>
      </c>
      <c r="M24" s="7">
        <v>0</v>
      </c>
      <c r="N24" s="7">
        <f t="shared" si="8"/>
        <v>0</v>
      </c>
      <c r="O24" s="7">
        <f t="shared" si="9"/>
        <v>0</v>
      </c>
    </row>
    <row r="25" spans="3:23" x14ac:dyDescent="0.2">
      <c r="C25">
        <v>6</v>
      </c>
      <c r="D25" s="7">
        <v>3512.1705598193184</v>
      </c>
      <c r="E25" s="7">
        <f t="shared" si="2"/>
        <v>105.02902391804183</v>
      </c>
      <c r="F25" s="7">
        <f t="shared" si="3"/>
        <v>283.61654664145453</v>
      </c>
      <c r="G25" s="7">
        <v>0</v>
      </c>
      <c r="H25" s="7">
        <f t="shared" si="4"/>
        <v>0</v>
      </c>
      <c r="I25" s="7">
        <f t="shared" si="5"/>
        <v>0</v>
      </c>
      <c r="J25" s="7">
        <v>0</v>
      </c>
      <c r="K25" s="7">
        <f t="shared" si="6"/>
        <v>0</v>
      </c>
      <c r="L25" s="7">
        <f t="shared" si="7"/>
        <v>0</v>
      </c>
      <c r="M25" s="7">
        <v>0</v>
      </c>
      <c r="N25" s="7">
        <f t="shared" si="8"/>
        <v>0</v>
      </c>
      <c r="O25" s="7">
        <f t="shared" si="9"/>
        <v>0</v>
      </c>
    </row>
    <row r="26" spans="3:23" x14ac:dyDescent="0.2">
      <c r="C26">
        <v>7</v>
      </c>
      <c r="D26" s="7">
        <v>3718.4927183644731</v>
      </c>
      <c r="E26" s="7">
        <f t="shared" si="2"/>
        <v>111.19894492716726</v>
      </c>
      <c r="F26" s="7">
        <f t="shared" si="3"/>
        <v>300.27757636809679</v>
      </c>
      <c r="G26" s="7">
        <v>2837.8676581779455</v>
      </c>
      <c r="H26" s="7">
        <f t="shared" si="4"/>
        <v>67.891570769807316</v>
      </c>
      <c r="I26" s="7">
        <f t="shared" si="5"/>
        <v>147.53528940808675</v>
      </c>
      <c r="J26" s="7">
        <v>33.14401598798031</v>
      </c>
      <c r="K26" s="7">
        <f t="shared" si="6"/>
        <v>0.52861269518309906</v>
      </c>
      <c r="L26" s="7">
        <f t="shared" si="7"/>
        <v>1.9897043090844335</v>
      </c>
      <c r="M26" s="7">
        <v>1127.3065660789428</v>
      </c>
      <c r="N26" s="7">
        <f t="shared" si="8"/>
        <v>89.896855349197992</v>
      </c>
      <c r="O26" s="7">
        <f t="shared" si="9"/>
        <v>34.02910469706589</v>
      </c>
    </row>
    <row r="27" spans="3:23" x14ac:dyDescent="0.2">
      <c r="C27">
        <v>8</v>
      </c>
      <c r="D27" s="7">
        <v>3717.5066749282855</v>
      </c>
      <c r="E27" s="7">
        <f t="shared" si="2"/>
        <v>111.16945798230519</v>
      </c>
      <c r="F27" s="7">
        <f t="shared" si="3"/>
        <v>300.19795089733816</v>
      </c>
      <c r="G27" s="7">
        <v>2839.1797556366105</v>
      </c>
      <c r="H27" s="7">
        <f t="shared" si="4"/>
        <v>67.922960661162932</v>
      </c>
      <c r="I27" s="7">
        <f t="shared" si="5"/>
        <v>147.60350283507231</v>
      </c>
      <c r="J27" s="7">
        <v>273.5962339573025</v>
      </c>
      <c r="K27" s="7">
        <f t="shared" si="6"/>
        <v>4.3635762991595302</v>
      </c>
      <c r="L27" s="7">
        <f t="shared" si="7"/>
        <v>16.424551745676677</v>
      </c>
      <c r="M27" s="7">
        <v>1125.994468620278</v>
      </c>
      <c r="N27" s="7">
        <f t="shared" si="8"/>
        <v>89.79222237801261</v>
      </c>
      <c r="O27" s="7">
        <f t="shared" si="9"/>
        <v>33.989497456997235</v>
      </c>
    </row>
    <row r="28" spans="3:23" x14ac:dyDescent="0.2">
      <c r="C28">
        <v>9</v>
      </c>
      <c r="D28" s="7">
        <v>3712.4355518947714</v>
      </c>
      <c r="E28" s="7">
        <f t="shared" si="2"/>
        <v>111.01780956623121</v>
      </c>
      <c r="F28" s="7">
        <f t="shared" si="3"/>
        <v>299.78844504394556</v>
      </c>
      <c r="G28" s="7">
        <v>0</v>
      </c>
      <c r="H28" s="7">
        <f t="shared" si="4"/>
        <v>0</v>
      </c>
      <c r="I28" s="7">
        <f t="shared" si="5"/>
        <v>0</v>
      </c>
      <c r="J28" s="7">
        <v>518.13353152395212</v>
      </c>
      <c r="K28" s="7">
        <f t="shared" si="6"/>
        <v>8.2636926877823313</v>
      </c>
      <c r="L28" s="7">
        <f t="shared" si="7"/>
        <v>31.10463501852675</v>
      </c>
      <c r="M28" s="7">
        <v>0</v>
      </c>
      <c r="N28" s="7">
        <f t="shared" si="8"/>
        <v>0</v>
      </c>
      <c r="O28" s="7">
        <f t="shared" si="9"/>
        <v>0</v>
      </c>
    </row>
    <row r="29" spans="3:23" x14ac:dyDescent="0.2">
      <c r="C29">
        <v>10</v>
      </c>
      <c r="D29" s="7">
        <v>3705.1105444070254</v>
      </c>
      <c r="E29" s="7">
        <f t="shared" si="2"/>
        <v>110.79876029925316</v>
      </c>
      <c r="F29" s="7">
        <f t="shared" si="3"/>
        <v>299.19693239032767</v>
      </c>
      <c r="G29" s="7">
        <v>0</v>
      </c>
      <c r="H29" s="7">
        <f t="shared" si="4"/>
        <v>0</v>
      </c>
      <c r="I29" s="7">
        <f t="shared" si="5"/>
        <v>0</v>
      </c>
      <c r="J29" s="7">
        <v>764.92471354483405</v>
      </c>
      <c r="K29" s="7">
        <f t="shared" si="6"/>
        <v>12.199756196887305</v>
      </c>
      <c r="L29" s="7">
        <f t="shared" si="7"/>
        <v>45.920023669348843</v>
      </c>
      <c r="M29" s="7">
        <v>0</v>
      </c>
      <c r="N29" s="7">
        <f t="shared" si="8"/>
        <v>0</v>
      </c>
      <c r="O29" s="7">
        <f t="shared" si="9"/>
        <v>0</v>
      </c>
    </row>
    <row r="30" spans="3:23" x14ac:dyDescent="0.2">
      <c r="C30">
        <v>11</v>
      </c>
      <c r="D30" s="7">
        <v>3697.8218584516553</v>
      </c>
      <c r="E30" s="7">
        <f t="shared" si="2"/>
        <v>110.58079720250166</v>
      </c>
      <c r="F30" s="7">
        <f t="shared" si="3"/>
        <v>298.60835279118589</v>
      </c>
      <c r="G30" s="7">
        <v>0</v>
      </c>
      <c r="H30" s="7">
        <f t="shared" si="4"/>
        <v>0</v>
      </c>
      <c r="I30" s="7">
        <f t="shared" si="5"/>
        <v>0</v>
      </c>
      <c r="J30" s="7">
        <v>1011.6795740333391</v>
      </c>
      <c r="K30" s="7">
        <f t="shared" si="6"/>
        <v>16.135240415204773</v>
      </c>
      <c r="L30" s="7">
        <f t="shared" si="7"/>
        <v>60.733231862935206</v>
      </c>
      <c r="M30" s="7">
        <v>0</v>
      </c>
      <c r="N30" s="7">
        <f t="shared" si="8"/>
        <v>0</v>
      </c>
      <c r="O30" s="7">
        <f t="shared" si="9"/>
        <v>0</v>
      </c>
    </row>
    <row r="31" spans="3:23" x14ac:dyDescent="0.2">
      <c r="C31">
        <v>12</v>
      </c>
      <c r="D31" s="7">
        <v>3690.5693735673658</v>
      </c>
      <c r="E31" s="7">
        <f t="shared" si="2"/>
        <v>110.36391667366526</v>
      </c>
      <c r="F31" s="7">
        <f t="shared" si="3"/>
        <v>298.02269651896961</v>
      </c>
      <c r="G31" s="7">
        <v>0</v>
      </c>
      <c r="H31" s="7">
        <f t="shared" si="4"/>
        <v>0</v>
      </c>
      <c r="I31" s="7">
        <f t="shared" si="5"/>
        <v>0</v>
      </c>
      <c r="J31" s="7">
        <v>1258.3982334507637</v>
      </c>
      <c r="K31" s="7">
        <f t="shared" si="6"/>
        <v>20.070147263967524</v>
      </c>
      <c r="L31" s="7">
        <f t="shared" si="7"/>
        <v>75.544266830828292</v>
      </c>
      <c r="M31" s="7">
        <v>0</v>
      </c>
      <c r="N31" s="7">
        <f t="shared" si="8"/>
        <v>0</v>
      </c>
      <c r="O31" s="7">
        <f t="shared" si="9"/>
        <v>0</v>
      </c>
    </row>
    <row r="32" spans="3:23" x14ac:dyDescent="0.2">
      <c r="C32">
        <v>13</v>
      </c>
      <c r="D32" s="7">
        <v>3683.3529696163546</v>
      </c>
      <c r="E32" s="7">
        <f t="shared" si="2"/>
        <v>110.14811512010631</v>
      </c>
      <c r="F32" s="7">
        <f t="shared" si="3"/>
        <v>297.43995387225124</v>
      </c>
      <c r="G32" s="7">
        <v>0</v>
      </c>
      <c r="H32" s="7">
        <f t="shared" si="4"/>
        <v>0</v>
      </c>
      <c r="I32" s="7">
        <f t="shared" si="5"/>
        <v>0</v>
      </c>
      <c r="J32" s="7">
        <v>1505.0808119349117</v>
      </c>
      <c r="K32" s="7">
        <f t="shared" si="6"/>
        <v>24.004478659248992</v>
      </c>
      <c r="L32" s="7">
        <f t="shared" si="7"/>
        <v>90.353135785150741</v>
      </c>
      <c r="M32" s="7">
        <v>0</v>
      </c>
      <c r="N32" s="7">
        <f t="shared" si="8"/>
        <v>0</v>
      </c>
      <c r="O32" s="7">
        <f t="shared" si="9"/>
        <v>0</v>
      </c>
    </row>
    <row r="33" spans="3:15" x14ac:dyDescent="0.2">
      <c r="C33">
        <v>14</v>
      </c>
      <c r="D33" s="7">
        <v>3676.1725267835836</v>
      </c>
      <c r="E33" s="7">
        <f t="shared" si="2"/>
        <v>109.93338895883923</v>
      </c>
      <c r="F33" s="7">
        <f t="shared" si="3"/>
        <v>296.86011517566703</v>
      </c>
      <c r="G33" s="7">
        <v>0</v>
      </c>
      <c r="H33" s="7">
        <f t="shared" si="4"/>
        <v>0</v>
      </c>
      <c r="I33" s="7">
        <f t="shared" si="5"/>
        <v>0</v>
      </c>
      <c r="J33" s="7">
        <v>1751.7274293008186</v>
      </c>
      <c r="K33" s="7">
        <f t="shared" si="6"/>
        <v>27.938236511974779</v>
      </c>
      <c r="L33" s="7">
        <f t="shared" si="7"/>
        <v>105.15984591864864</v>
      </c>
      <c r="M33" s="7">
        <v>0</v>
      </c>
      <c r="N33" s="7">
        <f t="shared" si="8"/>
        <v>0</v>
      </c>
      <c r="O33" s="7">
        <f t="shared" si="9"/>
        <v>0</v>
      </c>
    </row>
    <row r="34" spans="3:15" x14ac:dyDescent="0.2">
      <c r="C34">
        <v>15</v>
      </c>
      <c r="D34" s="7">
        <v>3669.0279255760647</v>
      </c>
      <c r="E34" s="7">
        <f t="shared" si="2"/>
        <v>109.71973461650911</v>
      </c>
      <c r="F34" s="7">
        <f t="shared" si="3"/>
        <v>296.28317077985986</v>
      </c>
      <c r="G34" s="7">
        <v>0</v>
      </c>
      <c r="H34" s="7">
        <f t="shared" si="4"/>
        <v>0</v>
      </c>
      <c r="I34" s="7">
        <f t="shared" si="5"/>
        <v>0</v>
      </c>
      <c r="J34" s="7">
        <v>1599.227914152912</v>
      </c>
      <c r="K34" s="7">
        <f t="shared" si="6"/>
        <v>25.506027338961918</v>
      </c>
      <c r="L34" s="7">
        <f t="shared" si="7"/>
        <v>96.004982412273463</v>
      </c>
      <c r="M34" s="7">
        <v>0</v>
      </c>
      <c r="N34" s="7">
        <f t="shared" si="8"/>
        <v>0</v>
      </c>
      <c r="O34" s="7">
        <f t="shared" si="9"/>
        <v>0</v>
      </c>
    </row>
    <row r="35" spans="3:15" x14ac:dyDescent="0.2">
      <c r="C35">
        <v>16</v>
      </c>
      <c r="D35" s="7">
        <v>3664.1878087712425</v>
      </c>
      <c r="E35" s="7">
        <f t="shared" si="2"/>
        <v>109.57499428143669</v>
      </c>
      <c r="F35" s="7">
        <f t="shared" si="3"/>
        <v>295.8923192565228</v>
      </c>
      <c r="G35" s="7">
        <v>2829.0194558644162</v>
      </c>
      <c r="H35" s="7">
        <f t="shared" si="4"/>
        <v>67.6798912886224</v>
      </c>
      <c r="I35" s="7">
        <f t="shared" si="5"/>
        <v>147.07528836282802</v>
      </c>
      <c r="J35" s="7">
        <v>1816.926852764967</v>
      </c>
      <c r="K35" s="7">
        <f t="shared" si="6"/>
        <v>28.97809972511909</v>
      </c>
      <c r="L35" s="7">
        <f t="shared" si="7"/>
        <v>109.07390310059914</v>
      </c>
      <c r="M35" s="7">
        <v>1136.1547683924725</v>
      </c>
      <c r="N35" s="7">
        <f t="shared" si="8"/>
        <v>90.602453619814398</v>
      </c>
      <c r="O35" s="7">
        <f t="shared" si="9"/>
        <v>34.296198327111185</v>
      </c>
    </row>
    <row r="36" spans="3:15" x14ac:dyDescent="0.2">
      <c r="C36">
        <v>17</v>
      </c>
      <c r="D36" s="7">
        <v>3663.4533968692922</v>
      </c>
      <c r="E36" s="7">
        <f t="shared" si="2"/>
        <v>109.55303220302908</v>
      </c>
      <c r="F36" s="7">
        <f t="shared" si="3"/>
        <v>295.83301366076768</v>
      </c>
      <c r="G36" s="7">
        <v>2827.5987294830479</v>
      </c>
      <c r="H36" s="7">
        <f t="shared" si="4"/>
        <v>67.645902619211682</v>
      </c>
      <c r="I36" s="7">
        <f t="shared" si="5"/>
        <v>147.00142752677357</v>
      </c>
      <c r="J36" s="7">
        <v>2562.6671409922274</v>
      </c>
      <c r="K36" s="7">
        <f t="shared" si="6"/>
        <v>40.87188422635132</v>
      </c>
      <c r="L36" s="7">
        <f t="shared" si="7"/>
        <v>153.84224576256713</v>
      </c>
      <c r="M36" s="7">
        <v>1137.5754947738405</v>
      </c>
      <c r="N36" s="7">
        <f t="shared" si="8"/>
        <v>90.715749184516795</v>
      </c>
      <c r="O36" s="7">
        <f t="shared" si="9"/>
        <v>34.339084661877791</v>
      </c>
    </row>
    <row r="37" spans="3:15" x14ac:dyDescent="0.2">
      <c r="C37">
        <v>18</v>
      </c>
      <c r="D37" s="7">
        <v>3662.721493780281</v>
      </c>
      <c r="E37" s="7">
        <f t="shared" si="2"/>
        <v>109.53114514893186</v>
      </c>
      <c r="F37" s="7">
        <f t="shared" si="3"/>
        <v>295.77391065792483</v>
      </c>
      <c r="G37" s="7">
        <v>2825.7853133611907</v>
      </c>
      <c r="H37" s="7">
        <f t="shared" si="4"/>
        <v>67.602519458401702</v>
      </c>
      <c r="I37" s="7">
        <f t="shared" si="5"/>
        <v>146.90715150527396</v>
      </c>
      <c r="J37" s="7">
        <v>2403.7549277258149</v>
      </c>
      <c r="K37" s="7">
        <f t="shared" si="6"/>
        <v>38.337399166280946</v>
      </c>
      <c r="L37" s="7">
        <f t="shared" si="7"/>
        <v>144.30241463235674</v>
      </c>
      <c r="M37" s="7">
        <v>1139.3889108956978</v>
      </c>
      <c r="N37" s="7">
        <f t="shared" si="8"/>
        <v>90.860359720550065</v>
      </c>
      <c r="O37" s="7">
        <f t="shared" si="9"/>
        <v>34.393824808814635</v>
      </c>
    </row>
    <row r="38" spans="3:15" x14ac:dyDescent="0.2">
      <c r="C38">
        <v>19</v>
      </c>
      <c r="D38" s="7">
        <v>3661.9918837289119</v>
      </c>
      <c r="E38" s="7">
        <f t="shared" si="2"/>
        <v>109.50932666653445</v>
      </c>
      <c r="F38" s="7">
        <f t="shared" si="3"/>
        <v>295.71499282359991</v>
      </c>
      <c r="G38" s="7">
        <v>2823.8668746656813</v>
      </c>
      <c r="H38" s="7">
        <f t="shared" si="4"/>
        <v>67.556623795829694</v>
      </c>
      <c r="I38" s="7">
        <f t="shared" si="5"/>
        <v>146.80741556186655</v>
      </c>
      <c r="J38" s="7">
        <v>2723.7727704880313</v>
      </c>
      <c r="K38" s="7">
        <f t="shared" si="6"/>
        <v>43.441352001404013</v>
      </c>
      <c r="L38" s="7">
        <f t="shared" si="7"/>
        <v>163.51375223727464</v>
      </c>
      <c r="M38" s="7">
        <v>1141.3073495912072</v>
      </c>
      <c r="N38" s="7">
        <f t="shared" si="8"/>
        <v>91.013345262456724</v>
      </c>
      <c r="O38" s="7">
        <f t="shared" si="9"/>
        <v>34.451735188465371</v>
      </c>
    </row>
    <row r="39" spans="3:15" x14ac:dyDescent="0.2">
      <c r="C39">
        <v>20</v>
      </c>
      <c r="D39" s="7">
        <v>3661.2641644052792</v>
      </c>
      <c r="E39" s="7">
        <f t="shared" si="2"/>
        <v>109.48756472503825</v>
      </c>
      <c r="F39" s="7">
        <f t="shared" si="3"/>
        <v>295.65622767026309</v>
      </c>
      <c r="G39" s="7">
        <v>2821.9516174772302</v>
      </c>
      <c r="H39" s="7">
        <f t="shared" si="4"/>
        <v>67.510804245866751</v>
      </c>
      <c r="I39" s="7">
        <f t="shared" si="5"/>
        <v>146.70784501890103</v>
      </c>
      <c r="J39" s="7">
        <v>2405.2122571008167</v>
      </c>
      <c r="K39" s="7">
        <f t="shared" si="6"/>
        <v>38.360642059024194</v>
      </c>
      <c r="L39" s="7">
        <f t="shared" si="7"/>
        <v>144.38990114993047</v>
      </c>
      <c r="M39" s="7">
        <v>1143.2226067796582</v>
      </c>
      <c r="N39" s="7">
        <f t="shared" si="8"/>
        <v>91.166077095666537</v>
      </c>
      <c r="O39" s="7">
        <f t="shared" si="9"/>
        <v>34.50954953049861</v>
      </c>
    </row>
    <row r="40" spans="3:15" x14ac:dyDescent="0.2">
      <c r="C40">
        <v>21</v>
      </c>
      <c r="D40" s="7">
        <v>3660.5385806774743</v>
      </c>
      <c r="E40" s="7">
        <f t="shared" si="2"/>
        <v>109.46586664705366</v>
      </c>
      <c r="F40" s="7">
        <f t="shared" si="3"/>
        <v>295.59763497162436</v>
      </c>
      <c r="G40" s="7">
        <v>2819.9317937656442</v>
      </c>
      <c r="H40" s="7">
        <f t="shared" si="4"/>
        <v>67.462483104441247</v>
      </c>
      <c r="I40" s="7">
        <f t="shared" si="5"/>
        <v>146.60283826321833</v>
      </c>
      <c r="J40" s="7">
        <v>2884.8701898948916</v>
      </c>
      <c r="K40" s="7">
        <f t="shared" si="6"/>
        <v>46.010688834049311</v>
      </c>
      <c r="L40" s="7">
        <f t="shared" si="7"/>
        <v>173.18476584324367</v>
      </c>
      <c r="M40" s="7">
        <v>1145.2424304912442</v>
      </c>
      <c r="N40" s="7">
        <f t="shared" si="8"/>
        <v>91.327147567084879</v>
      </c>
      <c r="O40" s="7">
        <f t="shared" si="9"/>
        <v>34.570520338812315</v>
      </c>
    </row>
    <row r="41" spans="3:15" x14ac:dyDescent="0.2">
      <c r="C41">
        <v>22</v>
      </c>
      <c r="D41" s="7">
        <v>3659.8147322092004</v>
      </c>
      <c r="E41" s="7">
        <f t="shared" si="2"/>
        <v>109.44422046080146</v>
      </c>
      <c r="F41" s="7">
        <f t="shared" si="3"/>
        <v>295.53918239952776</v>
      </c>
      <c r="G41" s="7">
        <v>2818.1311338148562</v>
      </c>
      <c r="H41" s="7">
        <f t="shared" si="4"/>
        <v>67.419405115187956</v>
      </c>
      <c r="I41" s="7">
        <f t="shared" si="5"/>
        <v>146.50922541055431</v>
      </c>
      <c r="J41" s="7">
        <v>2087.3734565860482</v>
      </c>
      <c r="K41" s="7">
        <f t="shared" si="6"/>
        <v>33.291442688772698</v>
      </c>
      <c r="L41" s="7">
        <f t="shared" si="7"/>
        <v>125.30937598943677</v>
      </c>
      <c r="M41" s="7">
        <v>1147.0430904420325</v>
      </c>
      <c r="N41" s="7">
        <f t="shared" si="8"/>
        <v>91.470740864595896</v>
      </c>
      <c r="O41" s="7">
        <f t="shared" si="9"/>
        <v>34.624875425381454</v>
      </c>
    </row>
    <row r="42" spans="3:15" x14ac:dyDescent="0.2">
      <c r="C42">
        <v>23</v>
      </c>
      <c r="D42" s="7">
        <v>3655.0143341163057</v>
      </c>
      <c r="E42" s="7">
        <f t="shared" si="2"/>
        <v>109.30066788625317</v>
      </c>
      <c r="F42" s="7">
        <f t="shared" si="3"/>
        <v>295.15153826140221</v>
      </c>
      <c r="G42" s="7">
        <v>0</v>
      </c>
      <c r="H42" s="7">
        <f t="shared" si="4"/>
        <v>0</v>
      </c>
      <c r="I42" s="7">
        <f t="shared" si="5"/>
        <v>0</v>
      </c>
      <c r="J42" s="7">
        <v>1293.9532729018238</v>
      </c>
      <c r="K42" s="7">
        <f t="shared" si="6"/>
        <v>20.637213283920637</v>
      </c>
      <c r="L42" s="7">
        <f t="shared" si="7"/>
        <v>77.678709899860635</v>
      </c>
      <c r="M42" s="7">
        <v>0</v>
      </c>
      <c r="N42" s="7">
        <f t="shared" si="8"/>
        <v>0</v>
      </c>
      <c r="O42" s="7">
        <f t="shared" si="9"/>
        <v>0</v>
      </c>
    </row>
    <row r="43" spans="3:15" x14ac:dyDescent="0.2">
      <c r="C43">
        <v>24</v>
      </c>
      <c r="D43" s="7">
        <v>3647.9938287331552</v>
      </c>
      <c r="E43" s="7">
        <f t="shared" si="2"/>
        <v>109.09072454345561</v>
      </c>
      <c r="F43" s="7">
        <f t="shared" si="3"/>
        <v>294.58461491342297</v>
      </c>
      <c r="G43" s="7">
        <v>0</v>
      </c>
      <c r="H43" s="7">
        <f t="shared" si="4"/>
        <v>0</v>
      </c>
      <c r="I43" s="7">
        <f t="shared" si="5"/>
        <v>0</v>
      </c>
      <c r="J43" s="7">
        <v>502.75319650785696</v>
      </c>
      <c r="K43" s="7">
        <f t="shared" si="6"/>
        <v>8.0183922888015466</v>
      </c>
      <c r="L43" s="7">
        <f t="shared" si="7"/>
        <v>30.181321474755084</v>
      </c>
      <c r="M43" s="7">
        <v>0</v>
      </c>
      <c r="N43" s="7">
        <f t="shared" si="8"/>
        <v>0</v>
      </c>
      <c r="O43" s="7">
        <f t="shared" si="9"/>
        <v>0</v>
      </c>
    </row>
    <row r="44" spans="3:15" x14ac:dyDescent="0.2">
      <c r="C44">
        <v>25</v>
      </c>
      <c r="D44" s="7">
        <v>2713.9499780422011</v>
      </c>
      <c r="E44" s="7">
        <f t="shared" si="2"/>
        <v>81.158791209395972</v>
      </c>
      <c r="F44" s="7">
        <f t="shared" si="3"/>
        <v>219.15824058657853</v>
      </c>
      <c r="G44" s="7">
        <v>0</v>
      </c>
      <c r="H44" s="7">
        <f t="shared" si="4"/>
        <v>0</v>
      </c>
      <c r="I44" s="7">
        <f t="shared" si="5"/>
        <v>0</v>
      </c>
      <c r="J44" s="7">
        <v>0</v>
      </c>
      <c r="K44" s="7">
        <f t="shared" si="6"/>
        <v>0</v>
      </c>
      <c r="L44" s="7">
        <f t="shared" si="7"/>
        <v>0</v>
      </c>
      <c r="M44" s="7">
        <v>0</v>
      </c>
      <c r="N44" s="7">
        <f t="shared" si="8"/>
        <v>0</v>
      </c>
      <c r="O44" s="7">
        <f t="shared" si="9"/>
        <v>0</v>
      </c>
    </row>
    <row r="45" spans="3:15" x14ac:dyDescent="0.2">
      <c r="C45">
        <v>26</v>
      </c>
      <c r="D45" s="7">
        <v>2554.3058616867775</v>
      </c>
      <c r="E45" s="7">
        <f t="shared" si="2"/>
        <v>76.384744667666794</v>
      </c>
      <c r="F45" s="7">
        <f t="shared" si="3"/>
        <v>206.2665793756033</v>
      </c>
      <c r="G45" s="7">
        <v>0</v>
      </c>
      <c r="H45" s="7">
        <f t="shared" si="4"/>
        <v>0</v>
      </c>
      <c r="I45" s="7">
        <f t="shared" si="5"/>
        <v>0</v>
      </c>
      <c r="J45" s="7">
        <v>0</v>
      </c>
      <c r="K45" s="7">
        <f t="shared" si="6"/>
        <v>0</v>
      </c>
      <c r="L45" s="7">
        <f t="shared" si="7"/>
        <v>0</v>
      </c>
      <c r="M45" s="7">
        <v>0</v>
      </c>
      <c r="N45" s="7">
        <f t="shared" si="8"/>
        <v>0</v>
      </c>
      <c r="O45" s="7">
        <f t="shared" si="9"/>
        <v>0</v>
      </c>
    </row>
    <row r="46" spans="3:15" x14ac:dyDescent="0.2">
      <c r="C46">
        <v>27</v>
      </c>
      <c r="D46" s="7">
        <v>2745.8788013132853</v>
      </c>
      <c r="E46" s="7">
        <f t="shared" si="2"/>
        <v>82.113600517741787</v>
      </c>
      <c r="F46" s="7">
        <f t="shared" si="3"/>
        <v>221.73657282877352</v>
      </c>
      <c r="G46" s="7">
        <v>0</v>
      </c>
      <c r="H46" s="7">
        <f t="shared" si="4"/>
        <v>0</v>
      </c>
      <c r="I46" s="7">
        <f t="shared" si="5"/>
        <v>0</v>
      </c>
      <c r="J46" s="7">
        <v>0</v>
      </c>
      <c r="K46" s="7">
        <f t="shared" si="6"/>
        <v>0</v>
      </c>
      <c r="L46" s="7">
        <f t="shared" si="7"/>
        <v>0</v>
      </c>
      <c r="M46" s="7">
        <v>0</v>
      </c>
      <c r="N46" s="7">
        <f t="shared" si="8"/>
        <v>0</v>
      </c>
      <c r="O46" s="7">
        <f t="shared" si="9"/>
        <v>0</v>
      </c>
    </row>
    <row r="47" spans="3:15" x14ac:dyDescent="0.2">
      <c r="C47">
        <v>28</v>
      </c>
      <c r="D47" s="7">
        <v>2873.5940943976243</v>
      </c>
      <c r="E47" s="7">
        <f t="shared" si="2"/>
        <v>85.932837751125135</v>
      </c>
      <c r="F47" s="7">
        <f t="shared" si="3"/>
        <v>232.0499017975537</v>
      </c>
      <c r="G47" s="7">
        <v>0</v>
      </c>
      <c r="H47" s="7">
        <f t="shared" si="4"/>
        <v>0</v>
      </c>
      <c r="I47" s="7">
        <f t="shared" si="5"/>
        <v>0</v>
      </c>
      <c r="J47" s="7">
        <v>0</v>
      </c>
      <c r="K47" s="7">
        <f t="shared" si="6"/>
        <v>0</v>
      </c>
      <c r="L47" s="7">
        <f t="shared" si="7"/>
        <v>0</v>
      </c>
      <c r="M47" s="7">
        <v>0</v>
      </c>
      <c r="N47" s="7">
        <f t="shared" si="8"/>
        <v>0</v>
      </c>
      <c r="O47" s="7">
        <f t="shared" si="9"/>
        <v>0</v>
      </c>
    </row>
    <row r="48" spans="3:15" x14ac:dyDescent="0.2">
      <c r="C48">
        <v>29</v>
      </c>
      <c r="D48" s="7">
        <v>3170.0760247719822</v>
      </c>
      <c r="E48" s="7">
        <f t="shared" si="2"/>
        <v>94.798924185765031</v>
      </c>
      <c r="F48" s="7">
        <f t="shared" si="3"/>
        <v>255.99155833222193</v>
      </c>
      <c r="G48" s="7">
        <v>0</v>
      </c>
      <c r="H48" s="7">
        <f t="shared" si="4"/>
        <v>0</v>
      </c>
      <c r="I48" s="7">
        <f t="shared" si="5"/>
        <v>0</v>
      </c>
      <c r="J48" s="7">
        <v>0</v>
      </c>
      <c r="K48" s="7">
        <f t="shared" si="6"/>
        <v>0</v>
      </c>
      <c r="L48" s="7">
        <f t="shared" si="7"/>
        <v>0</v>
      </c>
      <c r="M48" s="7">
        <v>0</v>
      </c>
      <c r="N48" s="7">
        <f t="shared" si="8"/>
        <v>0</v>
      </c>
      <c r="O48" s="7">
        <f t="shared" si="9"/>
        <v>0</v>
      </c>
    </row>
    <row r="49" spans="3:15" x14ac:dyDescent="0.2">
      <c r="C49">
        <v>30</v>
      </c>
      <c r="D49" s="7">
        <v>3375.3327458003841</v>
      </c>
      <c r="E49" s="7">
        <f t="shared" si="2"/>
        <v>100.93698402513111</v>
      </c>
      <c r="F49" s="7">
        <f t="shared" si="3"/>
        <v>272.56655131776148</v>
      </c>
      <c r="G49" s="7">
        <v>0</v>
      </c>
      <c r="H49" s="7">
        <f t="shared" si="4"/>
        <v>0</v>
      </c>
      <c r="I49" s="7">
        <f t="shared" si="5"/>
        <v>0</v>
      </c>
      <c r="J49" s="7">
        <v>0</v>
      </c>
      <c r="K49" s="7">
        <f t="shared" si="6"/>
        <v>0</v>
      </c>
      <c r="L49" s="7">
        <f t="shared" si="7"/>
        <v>0</v>
      </c>
      <c r="M49" s="7">
        <v>0</v>
      </c>
      <c r="N49" s="7">
        <f t="shared" si="8"/>
        <v>0</v>
      </c>
      <c r="O49" s="7">
        <f t="shared" si="9"/>
        <v>0</v>
      </c>
    </row>
    <row r="50" spans="3:15" x14ac:dyDescent="0.2">
      <c r="C50">
        <v>31</v>
      </c>
      <c r="D50" s="7">
        <v>3580.589466828786</v>
      </c>
      <c r="E50" s="7">
        <f t="shared" si="2"/>
        <v>107.0750438644972</v>
      </c>
      <c r="F50" s="7">
        <f t="shared" si="3"/>
        <v>289.14154430330103</v>
      </c>
      <c r="G50" s="7">
        <v>2817.3271631888283</v>
      </c>
      <c r="H50" s="7">
        <f t="shared" si="4"/>
        <v>67.400171368153792</v>
      </c>
      <c r="I50" s="7">
        <f t="shared" si="5"/>
        <v>146.46742852173713</v>
      </c>
      <c r="J50" s="7">
        <v>0</v>
      </c>
      <c r="K50" s="7">
        <f t="shared" si="6"/>
        <v>0</v>
      </c>
      <c r="L50" s="7">
        <f t="shared" si="7"/>
        <v>0</v>
      </c>
      <c r="M50" s="7">
        <v>1147.8470610680604</v>
      </c>
      <c r="N50" s="7">
        <f t="shared" si="8"/>
        <v>91.534853354709767</v>
      </c>
      <c r="O50" s="7">
        <f t="shared" si="9"/>
        <v>34.64914424579792</v>
      </c>
    </row>
    <row r="51" spans="3:15" x14ac:dyDescent="0.2">
      <c r="C51">
        <v>32</v>
      </c>
      <c r="D51" s="7">
        <v>3610.8817727679248</v>
      </c>
      <c r="E51" s="7">
        <f t="shared" si="2"/>
        <v>107.98091425741403</v>
      </c>
      <c r="F51" s="7">
        <f t="shared" si="3"/>
        <v>291.58772368267233</v>
      </c>
      <c r="G51" s="7">
        <v>2818.8020363478399</v>
      </c>
      <c r="H51" s="7">
        <f t="shared" si="4"/>
        <v>67.435455415020101</v>
      </c>
      <c r="I51" s="7">
        <f t="shared" si="5"/>
        <v>146.54410434477208</v>
      </c>
      <c r="J51" s="7">
        <v>174.96441508926318</v>
      </c>
      <c r="K51" s="7">
        <f t="shared" si="6"/>
        <v>2.7905010381062709</v>
      </c>
      <c r="L51" s="7">
        <f t="shared" si="7"/>
        <v>10.50347823769434</v>
      </c>
      <c r="M51" s="7">
        <v>1146.3721879090485</v>
      </c>
      <c r="N51" s="7">
        <f t="shared" si="8"/>
        <v>91.417239865155395</v>
      </c>
      <c r="O51" s="7">
        <f t="shared" si="9"/>
        <v>34.604623425416762</v>
      </c>
    </row>
    <row r="52" spans="3:15" x14ac:dyDescent="0.2">
      <c r="C52">
        <v>33</v>
      </c>
      <c r="D52" s="7">
        <v>3606.9574262193887</v>
      </c>
      <c r="E52" s="7">
        <f t="shared" si="2"/>
        <v>107.86355939651283</v>
      </c>
      <c r="F52" s="7">
        <f t="shared" si="3"/>
        <v>291.27082289526373</v>
      </c>
      <c r="G52" s="7">
        <v>0</v>
      </c>
      <c r="H52" s="7">
        <f t="shared" si="4"/>
        <v>0</v>
      </c>
      <c r="I52" s="7">
        <f t="shared" si="5"/>
        <v>0</v>
      </c>
      <c r="J52" s="7">
        <v>384.14548266620022</v>
      </c>
      <c r="K52" s="7">
        <f t="shared" si="6"/>
        <v>6.1267222115821411</v>
      </c>
      <c r="L52" s="7">
        <f t="shared" si="7"/>
        <v>23.061053387538944</v>
      </c>
      <c r="M52" s="7">
        <v>0</v>
      </c>
      <c r="N52" s="7">
        <f t="shared" si="8"/>
        <v>0</v>
      </c>
      <c r="O52" s="7">
        <f t="shared" si="9"/>
        <v>0</v>
      </c>
    </row>
    <row r="53" spans="3:15" x14ac:dyDescent="0.2">
      <c r="C53">
        <v>34</v>
      </c>
      <c r="D53" s="7">
        <v>3601.072848853843</v>
      </c>
      <c r="E53" s="7">
        <f t="shared" si="2"/>
        <v>107.6875851929977</v>
      </c>
      <c r="F53" s="7">
        <f t="shared" si="3"/>
        <v>290.79562857242695</v>
      </c>
      <c r="G53" s="7">
        <v>0</v>
      </c>
      <c r="H53" s="7">
        <f t="shared" si="4"/>
        <v>0</v>
      </c>
      <c r="I53" s="7">
        <f t="shared" si="5"/>
        <v>0</v>
      </c>
      <c r="J53" s="7">
        <v>595.28678106014786</v>
      </c>
      <c r="K53" s="7">
        <f t="shared" si="6"/>
        <v>9.4942070344521188</v>
      </c>
      <c r="L53" s="7">
        <f t="shared" si="7"/>
        <v>35.736305275918205</v>
      </c>
      <c r="M53" s="7">
        <v>0</v>
      </c>
      <c r="N53" s="7">
        <f t="shared" si="8"/>
        <v>0</v>
      </c>
      <c r="O53" s="7">
        <f t="shared" si="9"/>
        <v>0</v>
      </c>
    </row>
    <row r="54" spans="3:15" x14ac:dyDescent="0.2">
      <c r="C54">
        <v>35</v>
      </c>
      <c r="D54" s="7">
        <v>3595.2210241807966</v>
      </c>
      <c r="E54" s="7">
        <f t="shared" si="2"/>
        <v>107.51259043602862</v>
      </c>
      <c r="F54" s="7">
        <f t="shared" si="3"/>
        <v>290.32307911133074</v>
      </c>
      <c r="G54" s="7">
        <v>0</v>
      </c>
      <c r="H54" s="7">
        <f t="shared" si="4"/>
        <v>0</v>
      </c>
      <c r="I54" s="7">
        <f t="shared" si="5"/>
        <v>0</v>
      </c>
      <c r="J54" s="7">
        <v>806.39532676159661</v>
      </c>
      <c r="K54" s="7">
        <f t="shared" si="6"/>
        <v>12.861169485830887</v>
      </c>
      <c r="L54" s="7">
        <f t="shared" si="7"/>
        <v>48.409590951952438</v>
      </c>
      <c r="M54" s="7">
        <v>0</v>
      </c>
      <c r="N54" s="7">
        <f t="shared" si="8"/>
        <v>0</v>
      </c>
      <c r="O54" s="7">
        <f t="shared" si="9"/>
        <v>0</v>
      </c>
    </row>
    <row r="55" spans="3:15" x14ac:dyDescent="0.2">
      <c r="C55">
        <v>36</v>
      </c>
      <c r="D55" s="7">
        <v>3589.4018390199362</v>
      </c>
      <c r="E55" s="7">
        <f t="shared" si="2"/>
        <v>107.33857174102681</v>
      </c>
      <c r="F55" s="7">
        <f t="shared" si="3"/>
        <v>289.85316537238197</v>
      </c>
      <c r="G55" s="7">
        <v>0</v>
      </c>
      <c r="H55" s="7">
        <f t="shared" si="4"/>
        <v>0</v>
      </c>
      <c r="I55" s="7">
        <f t="shared" si="5"/>
        <v>0</v>
      </c>
      <c r="J55" s="7">
        <v>1017.4712329508584</v>
      </c>
      <c r="K55" s="7">
        <f t="shared" si="6"/>
        <v>16.227611370827088</v>
      </c>
      <c r="L55" s="7">
        <f t="shared" si="7"/>
        <v>61.080917210091506</v>
      </c>
      <c r="M55" s="7">
        <v>0</v>
      </c>
      <c r="N55" s="7">
        <f t="shared" si="8"/>
        <v>0</v>
      </c>
      <c r="O55" s="7">
        <f t="shared" si="9"/>
        <v>0</v>
      </c>
    </row>
    <row r="56" spans="3:15" x14ac:dyDescent="0.2">
      <c r="C56">
        <v>37</v>
      </c>
      <c r="D56" s="7">
        <v>3583.6151805035674</v>
      </c>
      <c r="E56" s="7">
        <f t="shared" si="2"/>
        <v>107.16552573276219</v>
      </c>
      <c r="F56" s="7">
        <f t="shared" si="3"/>
        <v>289.38587824123243</v>
      </c>
      <c r="G56" s="7">
        <v>0</v>
      </c>
      <c r="H56" s="7">
        <f t="shared" si="4"/>
        <v>0</v>
      </c>
      <c r="I56" s="7">
        <f t="shared" si="5"/>
        <v>0</v>
      </c>
      <c r="J56" s="7">
        <v>1228.5146124956286</v>
      </c>
      <c r="K56" s="7">
        <f t="shared" si="6"/>
        <v>19.593534489563456</v>
      </c>
      <c r="L56" s="7">
        <f t="shared" si="7"/>
        <v>73.750290826018229</v>
      </c>
      <c r="M56" s="7">
        <v>0</v>
      </c>
      <c r="N56" s="7">
        <f t="shared" si="8"/>
        <v>0</v>
      </c>
      <c r="O56" s="7">
        <f t="shared" si="9"/>
        <v>0</v>
      </c>
    </row>
    <row r="57" spans="3:15" x14ac:dyDescent="0.2">
      <c r="C57">
        <v>38</v>
      </c>
      <c r="D57" s="7">
        <v>3577.8609360758956</v>
      </c>
      <c r="E57" s="7">
        <f t="shared" si="2"/>
        <v>106.99344904533181</v>
      </c>
      <c r="F57" s="7">
        <f t="shared" si="3"/>
        <v>288.92120862872048</v>
      </c>
      <c r="G57" s="7">
        <v>0</v>
      </c>
      <c r="H57" s="7">
        <f t="shared" si="4"/>
        <v>0</v>
      </c>
      <c r="I57" s="7">
        <f t="shared" si="5"/>
        <v>0</v>
      </c>
      <c r="J57" s="7">
        <v>1439.525577951702</v>
      </c>
      <c r="K57" s="7">
        <f t="shared" si="6"/>
        <v>22.958940637188231</v>
      </c>
      <c r="L57" s="7">
        <f t="shared" si="7"/>
        <v>86.417718556691369</v>
      </c>
      <c r="M57" s="7">
        <v>0</v>
      </c>
      <c r="N57" s="7">
        <f t="shared" si="8"/>
        <v>0</v>
      </c>
      <c r="O57" s="7">
        <f t="shared" si="9"/>
        <v>0</v>
      </c>
    </row>
    <row r="58" spans="3:15" x14ac:dyDescent="0.2">
      <c r="C58">
        <v>39</v>
      </c>
      <c r="D58" s="7">
        <v>3572.0507675047829</v>
      </c>
      <c r="E58" s="7">
        <f t="shared" si="2"/>
        <v>106.81969998519088</v>
      </c>
      <c r="F58" s="7">
        <f t="shared" si="3"/>
        <v>288.45202300191869</v>
      </c>
      <c r="G58" s="7">
        <v>0</v>
      </c>
      <c r="H58" s="7">
        <f t="shared" si="4"/>
        <v>0</v>
      </c>
      <c r="I58" s="7">
        <f t="shared" si="5"/>
        <v>0</v>
      </c>
      <c r="J58" s="7">
        <v>1650.5924675512169</v>
      </c>
      <c r="K58" s="7">
        <f t="shared" si="6"/>
        <v>26.325238716925313</v>
      </c>
      <c r="L58" s="7">
        <f t="shared" si="7"/>
        <v>99.088503530169007</v>
      </c>
      <c r="M58" s="7">
        <v>0</v>
      </c>
      <c r="N58" s="7">
        <f t="shared" si="8"/>
        <v>0</v>
      </c>
      <c r="O58" s="7">
        <f t="shared" si="9"/>
        <v>0</v>
      </c>
    </row>
    <row r="59" spans="3:15" x14ac:dyDescent="0.2">
      <c r="C59">
        <v>40</v>
      </c>
      <c r="D59" s="7">
        <v>3567.7201796985296</v>
      </c>
      <c r="E59" s="7">
        <f t="shared" si="2"/>
        <v>106.69019676131967</v>
      </c>
      <c r="F59" s="7">
        <f t="shared" si="3"/>
        <v>288.10231721809697</v>
      </c>
      <c r="G59" s="7">
        <v>2810.98715408307</v>
      </c>
      <c r="H59" s="7">
        <f t="shared" si="4"/>
        <v>67.248496509164355</v>
      </c>
      <c r="I59" s="7">
        <f t="shared" si="5"/>
        <v>146.13782362435143</v>
      </c>
      <c r="J59" s="7">
        <v>1860.1797763858726</v>
      </c>
      <c r="K59" s="7">
        <f t="shared" si="6"/>
        <v>29.667939017318545</v>
      </c>
      <c r="L59" s="7">
        <f t="shared" si="7"/>
        <v>111.6704661887966</v>
      </c>
      <c r="M59" s="7">
        <v>1154.1870701738185</v>
      </c>
      <c r="N59" s="7">
        <f t="shared" si="8"/>
        <v>92.040436218007855</v>
      </c>
      <c r="O59" s="7">
        <f t="shared" si="9"/>
        <v>34.840525046843553</v>
      </c>
    </row>
    <row r="60" spans="3:15" x14ac:dyDescent="0.2">
      <c r="C60">
        <v>41</v>
      </c>
      <c r="D60" s="7">
        <v>3567.482008841273</v>
      </c>
      <c r="E60" s="7">
        <f t="shared" si="2"/>
        <v>106.68307442707157</v>
      </c>
      <c r="F60" s="7">
        <f t="shared" si="3"/>
        <v>288.08308432638648</v>
      </c>
      <c r="G60" s="7">
        <v>2810.3662035444509</v>
      </c>
      <c r="H60" s="7">
        <f t="shared" si="4"/>
        <v>67.233641233120835</v>
      </c>
      <c r="I60" s="7">
        <f t="shared" si="5"/>
        <v>146.10554159838759</v>
      </c>
      <c r="J60" s="7">
        <v>1700.7738308877038</v>
      </c>
      <c r="K60" s="7">
        <f t="shared" si="6"/>
        <v>27.125579439995278</v>
      </c>
      <c r="L60" s="7">
        <f t="shared" si="7"/>
        <v>102.10099528441353</v>
      </c>
      <c r="M60" s="7">
        <v>1154.8080207124376</v>
      </c>
      <c r="N60" s="7">
        <f t="shared" si="8"/>
        <v>92.089953804819586</v>
      </c>
      <c r="O60" s="7">
        <f t="shared" si="9"/>
        <v>34.859269185772746</v>
      </c>
    </row>
    <row r="61" spans="3:15" x14ac:dyDescent="0.2">
      <c r="C61">
        <v>42</v>
      </c>
      <c r="D61" s="7">
        <v>3567.247192969257</v>
      </c>
      <c r="E61" s="7">
        <f t="shared" si="2"/>
        <v>106.67605242132946</v>
      </c>
      <c r="F61" s="7">
        <f t="shared" si="3"/>
        <v>288.06412235811541</v>
      </c>
      <c r="G61" s="7">
        <v>2809.6818590706966</v>
      </c>
      <c r="H61" s="7">
        <f t="shared" si="4"/>
        <v>67.217269355758305</v>
      </c>
      <c r="I61" s="7">
        <f t="shared" si="5"/>
        <v>146.06996384348449</v>
      </c>
      <c r="J61" s="7">
        <v>2020.296879470568</v>
      </c>
      <c r="K61" s="7">
        <f t="shared" si="6"/>
        <v>32.221640820902202</v>
      </c>
      <c r="L61" s="7">
        <f t="shared" si="7"/>
        <v>121.28262936423286</v>
      </c>
      <c r="M61" s="7">
        <v>1155.4923651861918</v>
      </c>
      <c r="N61" s="7">
        <f t="shared" si="8"/>
        <v>92.144526729361402</v>
      </c>
      <c r="O61" s="7">
        <f t="shared" si="9"/>
        <v>34.879926946888467</v>
      </c>
    </row>
    <row r="62" spans="3:15" x14ac:dyDescent="0.2">
      <c r="C62">
        <v>43</v>
      </c>
      <c r="D62" s="7">
        <v>3567.0150922457419</v>
      </c>
      <c r="E62" s="7">
        <f t="shared" si="2"/>
        <v>106.66911161021956</v>
      </c>
      <c r="F62" s="7">
        <f t="shared" si="3"/>
        <v>288.04537964486872</v>
      </c>
      <c r="G62" s="7">
        <v>2808.6113312052803</v>
      </c>
      <c r="H62" s="7">
        <f t="shared" si="4"/>
        <v>67.191658641274657</v>
      </c>
      <c r="I62" s="7">
        <f t="shared" si="5"/>
        <v>146.01430915571618</v>
      </c>
      <c r="J62" s="7">
        <v>2339.8172129049303</v>
      </c>
      <c r="K62" s="7">
        <f t="shared" si="6"/>
        <v>37.31765889800527</v>
      </c>
      <c r="L62" s="7">
        <f t="shared" si="7"/>
        <v>140.46410044803275</v>
      </c>
      <c r="M62" s="7">
        <v>1156.5628930516082</v>
      </c>
      <c r="N62" s="7">
        <f t="shared" si="8"/>
        <v>92.229895777640209</v>
      </c>
      <c r="O62" s="7">
        <f t="shared" si="9"/>
        <v>34.912242118208802</v>
      </c>
    </row>
    <row r="63" spans="3:15" x14ac:dyDescent="0.2">
      <c r="C63">
        <v>44</v>
      </c>
      <c r="D63" s="7">
        <v>3566.784910228017</v>
      </c>
      <c r="E63" s="7">
        <f t="shared" si="2"/>
        <v>106.66222817667516</v>
      </c>
      <c r="F63" s="7">
        <f t="shared" si="3"/>
        <v>288.02679187190773</v>
      </c>
      <c r="G63" s="7">
        <v>2807.263008095937</v>
      </c>
      <c r="H63" s="7">
        <f t="shared" si="4"/>
        <v>67.159402107558307</v>
      </c>
      <c r="I63" s="7">
        <f t="shared" si="5"/>
        <v>145.94421242672342</v>
      </c>
      <c r="J63" s="7">
        <v>2499.6915112780789</v>
      </c>
      <c r="K63" s="7">
        <f t="shared" si="6"/>
        <v>39.86748821815118</v>
      </c>
      <c r="L63" s="7">
        <f t="shared" si="7"/>
        <v>150.06168755094339</v>
      </c>
      <c r="M63" s="7">
        <v>1157.9112161609517</v>
      </c>
      <c r="N63" s="7">
        <f t="shared" si="8"/>
        <v>92.337417556694717</v>
      </c>
      <c r="O63" s="7">
        <f t="shared" si="9"/>
        <v>34.952942873117827</v>
      </c>
    </row>
    <row r="64" spans="3:15" x14ac:dyDescent="0.2">
      <c r="C64">
        <v>45</v>
      </c>
      <c r="D64" s="7">
        <v>3566.5560164540602</v>
      </c>
      <c r="E64" s="7">
        <f t="shared" si="2"/>
        <v>106.65538326716688</v>
      </c>
      <c r="F64" s="7">
        <f t="shared" si="3"/>
        <v>288.00830812784926</v>
      </c>
      <c r="G64" s="7">
        <v>2805.5296753004936</v>
      </c>
      <c r="H64" s="7">
        <f t="shared" si="4"/>
        <v>67.117934815801291</v>
      </c>
      <c r="I64" s="7">
        <f t="shared" si="5"/>
        <v>145.85409978356358</v>
      </c>
      <c r="J64" s="7">
        <v>2978.8527541183057</v>
      </c>
      <c r="K64" s="7">
        <f t="shared" si="6"/>
        <v>47.509613303322261</v>
      </c>
      <c r="L64" s="7">
        <f t="shared" si="7"/>
        <v>178.82673491186668</v>
      </c>
      <c r="M64" s="7">
        <v>1159.6445489563948</v>
      </c>
      <c r="N64" s="7">
        <f t="shared" si="8"/>
        <v>92.475641862551427</v>
      </c>
      <c r="O64" s="7">
        <f t="shared" si="9"/>
        <v>35.005265608517263</v>
      </c>
    </row>
    <row r="65" spans="3:15" x14ac:dyDescent="0.2">
      <c r="C65">
        <v>46</v>
      </c>
      <c r="D65" s="7">
        <v>3566.3278660346477</v>
      </c>
      <c r="E65" s="7">
        <f t="shared" si="2"/>
        <v>106.64856058716053</v>
      </c>
      <c r="F65" s="7">
        <f t="shared" si="3"/>
        <v>287.98988441152727</v>
      </c>
      <c r="G65" s="7">
        <v>2804.0584102282592</v>
      </c>
      <c r="H65" s="7">
        <f t="shared" si="4"/>
        <v>67.082737086800464</v>
      </c>
      <c r="I65" s="7">
        <f t="shared" si="5"/>
        <v>145.77761153803087</v>
      </c>
      <c r="J65" s="7">
        <v>2180.8603227606009</v>
      </c>
      <c r="K65" s="7">
        <f t="shared" si="6"/>
        <v>34.782461288047863</v>
      </c>
      <c r="L65" s="7">
        <f t="shared" si="7"/>
        <v>130.92158727179208</v>
      </c>
      <c r="M65" s="7">
        <v>1161.1158140286291</v>
      </c>
      <c r="N65" s="7">
        <f t="shared" si="8"/>
        <v>92.592967625887496</v>
      </c>
      <c r="O65" s="7">
        <f t="shared" si="9"/>
        <v>35.049677514458999</v>
      </c>
    </row>
    <row r="66" spans="3:15" x14ac:dyDescent="0.2">
      <c r="C66">
        <v>47</v>
      </c>
      <c r="D66" s="7">
        <v>3562.0312696058381</v>
      </c>
      <c r="E66" s="7">
        <f t="shared" si="2"/>
        <v>106.52007385184923</v>
      </c>
      <c r="F66" s="7">
        <f t="shared" si="3"/>
        <v>287.64292351634975</v>
      </c>
      <c r="G66" s="7">
        <v>0</v>
      </c>
      <c r="H66" s="7">
        <f t="shared" si="4"/>
        <v>0</v>
      </c>
      <c r="I66" s="7">
        <f t="shared" si="5"/>
        <v>0</v>
      </c>
      <c r="J66" s="7">
        <v>1386.9363374122913</v>
      </c>
      <c r="K66" s="7">
        <f t="shared" si="6"/>
        <v>22.120196768936069</v>
      </c>
      <c r="L66" s="7">
        <f t="shared" si="7"/>
        <v>83.260676919048848</v>
      </c>
      <c r="M66" s="7">
        <v>0</v>
      </c>
      <c r="N66" s="7">
        <f t="shared" si="8"/>
        <v>0</v>
      </c>
      <c r="O66" s="7">
        <f t="shared" si="9"/>
        <v>0</v>
      </c>
    </row>
    <row r="67" spans="3:15" x14ac:dyDescent="0.2">
      <c r="C67">
        <v>48</v>
      </c>
      <c r="D67" s="7">
        <v>3555.5350267063295</v>
      </c>
      <c r="E67" s="7">
        <f t="shared" si="2"/>
        <v>106.32580821490221</v>
      </c>
      <c r="F67" s="7">
        <f t="shared" si="3"/>
        <v>287.11833567361202</v>
      </c>
      <c r="G67" s="7">
        <v>0</v>
      </c>
      <c r="H67" s="7">
        <f t="shared" si="4"/>
        <v>0</v>
      </c>
      <c r="I67" s="7">
        <f t="shared" si="5"/>
        <v>0</v>
      </c>
      <c r="J67" s="7">
        <v>595.21199853468261</v>
      </c>
      <c r="K67" s="7">
        <f t="shared" si="6"/>
        <v>9.4930143306966936</v>
      </c>
      <c r="L67" s="7">
        <f t="shared" si="7"/>
        <v>35.731815925164319</v>
      </c>
      <c r="M67" s="7">
        <v>0</v>
      </c>
      <c r="N67" s="7">
        <f t="shared" si="8"/>
        <v>0</v>
      </c>
      <c r="O67" s="7">
        <f t="shared" si="9"/>
        <v>0</v>
      </c>
    </row>
    <row r="68" spans="3:15" x14ac:dyDescent="0.2">
      <c r="C68">
        <v>49</v>
      </c>
      <c r="D68" s="7">
        <v>2713.9499780422011</v>
      </c>
      <c r="E68" s="7">
        <f t="shared" si="2"/>
        <v>81.158791209395972</v>
      </c>
      <c r="F68" s="7">
        <f t="shared" si="3"/>
        <v>219.15824058657853</v>
      </c>
      <c r="G68" s="7">
        <v>0</v>
      </c>
      <c r="H68" s="7">
        <f t="shared" si="4"/>
        <v>0</v>
      </c>
      <c r="I68" s="7">
        <f t="shared" si="5"/>
        <v>0</v>
      </c>
      <c r="J68" s="7">
        <v>0</v>
      </c>
      <c r="K68" s="7">
        <f t="shared" si="6"/>
        <v>0</v>
      </c>
      <c r="L68" s="7">
        <f t="shared" si="7"/>
        <v>0</v>
      </c>
      <c r="M68" s="7">
        <v>0</v>
      </c>
      <c r="N68" s="7">
        <f t="shared" si="8"/>
        <v>0</v>
      </c>
      <c r="O68" s="7">
        <f t="shared" si="9"/>
        <v>0</v>
      </c>
    </row>
    <row r="69" spans="3:15" x14ac:dyDescent="0.2">
      <c r="C69">
        <v>50</v>
      </c>
      <c r="D69" s="7">
        <v>2554.3058616867775</v>
      </c>
      <c r="E69" s="7">
        <f t="shared" si="2"/>
        <v>76.384744667666794</v>
      </c>
      <c r="F69" s="7">
        <f t="shared" si="3"/>
        <v>206.2665793756033</v>
      </c>
      <c r="G69" s="7">
        <v>0</v>
      </c>
      <c r="H69" s="7">
        <f t="shared" si="4"/>
        <v>0</v>
      </c>
      <c r="I69" s="7">
        <f t="shared" si="5"/>
        <v>0</v>
      </c>
      <c r="J69" s="7">
        <v>0</v>
      </c>
      <c r="K69" s="7">
        <f t="shared" si="6"/>
        <v>0</v>
      </c>
      <c r="L69" s="7">
        <f t="shared" si="7"/>
        <v>0</v>
      </c>
      <c r="M69" s="7">
        <v>0</v>
      </c>
      <c r="N69" s="7">
        <f t="shared" si="8"/>
        <v>0</v>
      </c>
      <c r="O69" s="7">
        <f t="shared" si="9"/>
        <v>0</v>
      </c>
    </row>
    <row r="70" spans="3:15" x14ac:dyDescent="0.2">
      <c r="C70">
        <v>51</v>
      </c>
      <c r="D70" s="7">
        <v>2713.9499780422011</v>
      </c>
      <c r="E70" s="7">
        <f t="shared" si="2"/>
        <v>81.158791209395972</v>
      </c>
      <c r="F70" s="7">
        <f t="shared" si="3"/>
        <v>219.15824058657853</v>
      </c>
      <c r="G70" s="7">
        <v>0</v>
      </c>
      <c r="H70" s="7">
        <f t="shared" si="4"/>
        <v>0</v>
      </c>
      <c r="I70" s="7">
        <f t="shared" si="5"/>
        <v>0</v>
      </c>
      <c r="J70" s="7">
        <v>0</v>
      </c>
      <c r="K70" s="7">
        <f t="shared" si="6"/>
        <v>0</v>
      </c>
      <c r="L70" s="7">
        <f t="shared" si="7"/>
        <v>0</v>
      </c>
      <c r="M70" s="7">
        <v>0</v>
      </c>
      <c r="N70" s="7">
        <f t="shared" si="8"/>
        <v>0</v>
      </c>
      <c r="O70" s="7">
        <f t="shared" si="9"/>
        <v>0</v>
      </c>
    </row>
    <row r="71" spans="3:15" x14ac:dyDescent="0.2">
      <c r="C71">
        <v>52</v>
      </c>
      <c r="D71" s="7">
        <v>2873.5940943976243</v>
      </c>
      <c r="E71" s="7">
        <f t="shared" si="2"/>
        <v>85.932837751125135</v>
      </c>
      <c r="F71" s="7">
        <f t="shared" si="3"/>
        <v>232.0499017975537</v>
      </c>
      <c r="G71" s="7">
        <v>0</v>
      </c>
      <c r="H71" s="7">
        <f t="shared" si="4"/>
        <v>0</v>
      </c>
      <c r="I71" s="7">
        <f t="shared" si="5"/>
        <v>0</v>
      </c>
      <c r="J71" s="7">
        <v>0</v>
      </c>
      <c r="K71" s="7">
        <f t="shared" si="6"/>
        <v>0</v>
      </c>
      <c r="L71" s="7">
        <f t="shared" si="7"/>
        <v>0</v>
      </c>
      <c r="M71" s="7">
        <v>0</v>
      </c>
      <c r="N71" s="7">
        <f t="shared" si="8"/>
        <v>0</v>
      </c>
      <c r="O71" s="7">
        <f t="shared" si="9"/>
        <v>0</v>
      </c>
    </row>
    <row r="72" spans="3:15" x14ac:dyDescent="0.2">
      <c r="C72">
        <v>53</v>
      </c>
      <c r="D72" s="7">
        <v>3217.4429603939211</v>
      </c>
      <c r="E72" s="7">
        <f t="shared" si="2"/>
        <v>96.215399533311043</v>
      </c>
      <c r="F72" s="7">
        <f t="shared" si="3"/>
        <v>259.81655671350029</v>
      </c>
      <c r="G72" s="7">
        <v>0</v>
      </c>
      <c r="H72" s="7">
        <f t="shared" si="4"/>
        <v>0</v>
      </c>
      <c r="I72" s="7">
        <f t="shared" si="5"/>
        <v>0</v>
      </c>
      <c r="J72" s="7">
        <v>0</v>
      </c>
      <c r="K72" s="7">
        <f t="shared" si="6"/>
        <v>0</v>
      </c>
      <c r="L72" s="7">
        <f t="shared" si="7"/>
        <v>0</v>
      </c>
      <c r="M72" s="7">
        <v>0</v>
      </c>
      <c r="N72" s="7">
        <f t="shared" si="8"/>
        <v>0</v>
      </c>
      <c r="O72" s="7">
        <f t="shared" si="9"/>
        <v>0</v>
      </c>
    </row>
    <row r="73" spans="3:15" x14ac:dyDescent="0.2">
      <c r="C73">
        <v>54</v>
      </c>
      <c r="D73" s="7">
        <v>3438.4886599629695</v>
      </c>
      <c r="E73" s="7">
        <f t="shared" si="2"/>
        <v>102.82561782185914</v>
      </c>
      <c r="F73" s="7">
        <f t="shared" si="3"/>
        <v>277.666549159466</v>
      </c>
      <c r="G73" s="7">
        <v>0</v>
      </c>
      <c r="H73" s="7">
        <f t="shared" si="4"/>
        <v>0</v>
      </c>
      <c r="I73" s="7">
        <f t="shared" si="5"/>
        <v>0</v>
      </c>
      <c r="J73" s="7">
        <v>0</v>
      </c>
      <c r="K73" s="7">
        <f t="shared" si="6"/>
        <v>0</v>
      </c>
      <c r="L73" s="7">
        <f t="shared" si="7"/>
        <v>0</v>
      </c>
      <c r="M73" s="7">
        <v>0</v>
      </c>
      <c r="N73" s="7">
        <f t="shared" si="8"/>
        <v>0</v>
      </c>
      <c r="O73" s="7">
        <f t="shared" si="9"/>
        <v>0</v>
      </c>
    </row>
    <row r="74" spans="3:15" x14ac:dyDescent="0.2">
      <c r="C74">
        <v>55</v>
      </c>
      <c r="D74" s="7">
        <v>3520.9849512628034</v>
      </c>
      <c r="E74" s="7">
        <f t="shared" si="2"/>
        <v>105.2926121789116</v>
      </c>
      <c r="F74" s="7">
        <f t="shared" si="3"/>
        <v>284.32833077020587</v>
      </c>
      <c r="G74" s="7">
        <v>2808.7609995707671</v>
      </c>
      <c r="H74" s="7">
        <f t="shared" si="4"/>
        <v>67.195239224181037</v>
      </c>
      <c r="I74" s="7">
        <f t="shared" si="5"/>
        <v>146.0220901265989</v>
      </c>
      <c r="J74" s="7">
        <v>138.54940826921393</v>
      </c>
      <c r="K74" s="7">
        <f t="shared" si="6"/>
        <v>2.2097194301310039</v>
      </c>
      <c r="L74" s="7">
        <f t="shared" si="7"/>
        <v>8.3174095364401879</v>
      </c>
      <c r="M74" s="7">
        <v>1156.4132246861216</v>
      </c>
      <c r="N74" s="7">
        <f t="shared" si="8"/>
        <v>92.217960501285617</v>
      </c>
      <c r="O74" s="7">
        <f t="shared" si="9"/>
        <v>34.907724198565433</v>
      </c>
    </row>
    <row r="75" spans="3:15" x14ac:dyDescent="0.2">
      <c r="C75">
        <v>56</v>
      </c>
      <c r="D75" s="7">
        <v>3521.0148764608657</v>
      </c>
      <c r="E75" s="7">
        <f t="shared" si="2"/>
        <v>105.29350707119815</v>
      </c>
      <c r="F75" s="7">
        <f t="shared" si="3"/>
        <v>284.33074730470707</v>
      </c>
      <c r="G75" s="7">
        <v>2810.8714738516387</v>
      </c>
      <c r="H75" s="7">
        <f t="shared" si="4"/>
        <v>67.245729039512895</v>
      </c>
      <c r="I75" s="7">
        <f t="shared" si="5"/>
        <v>146.13180963128386</v>
      </c>
      <c r="J75" s="7">
        <v>359.56518264019905</v>
      </c>
      <c r="K75" s="7">
        <f t="shared" si="6"/>
        <v>5.7346919081371466</v>
      </c>
      <c r="L75" s="7">
        <f t="shared" si="7"/>
        <v>21.5854467833767</v>
      </c>
      <c r="M75" s="7">
        <v>1154.3027504052498</v>
      </c>
      <c r="N75" s="7">
        <f t="shared" si="8"/>
        <v>92.049661116846082</v>
      </c>
      <c r="O75" s="7">
        <f t="shared" si="9"/>
        <v>34.844016993777252</v>
      </c>
    </row>
    <row r="76" spans="3:15" x14ac:dyDescent="0.2">
      <c r="C76">
        <v>57</v>
      </c>
      <c r="D76" s="7">
        <v>3516.9762085658695</v>
      </c>
      <c r="E76" s="7">
        <f t="shared" si="2"/>
        <v>105.1727335097449</v>
      </c>
      <c r="F76" s="7">
        <f t="shared" si="3"/>
        <v>284.00461478297973</v>
      </c>
      <c r="G76" s="7">
        <v>0</v>
      </c>
      <c r="H76" s="7">
        <f t="shared" si="4"/>
        <v>0</v>
      </c>
      <c r="I76" s="7">
        <f t="shared" si="5"/>
        <v>0</v>
      </c>
      <c r="J76" s="7">
        <v>584.64955010424364</v>
      </c>
      <c r="K76" s="7">
        <f t="shared" si="6"/>
        <v>9.3245542281378579</v>
      </c>
      <c r="L76" s="7">
        <f t="shared" si="7"/>
        <v>35.097730147383253</v>
      </c>
      <c r="M76" s="7">
        <v>0</v>
      </c>
      <c r="N76" s="7">
        <f t="shared" si="8"/>
        <v>0</v>
      </c>
      <c r="O76" s="7">
        <f t="shared" si="9"/>
        <v>0</v>
      </c>
    </row>
    <row r="77" spans="3:15" x14ac:dyDescent="0.2">
      <c r="C77">
        <v>58</v>
      </c>
      <c r="D77" s="7">
        <v>3510.7247111128968</v>
      </c>
      <c r="E77" s="7">
        <f t="shared" si="2"/>
        <v>104.98578681557706</v>
      </c>
      <c r="F77" s="7">
        <f t="shared" si="3"/>
        <v>283.49979074646109</v>
      </c>
      <c r="G77" s="7">
        <v>0</v>
      </c>
      <c r="H77" s="7">
        <f t="shared" si="4"/>
        <v>0</v>
      </c>
      <c r="I77" s="7">
        <f t="shared" si="5"/>
        <v>0</v>
      </c>
      <c r="J77" s="7">
        <v>811.94674712626374</v>
      </c>
      <c r="K77" s="7">
        <f t="shared" si="6"/>
        <v>12.949708885586345</v>
      </c>
      <c r="L77" s="7">
        <f t="shared" si="7"/>
        <v>48.742854278434159</v>
      </c>
      <c r="M77" s="7">
        <v>0</v>
      </c>
      <c r="N77" s="7">
        <f t="shared" si="8"/>
        <v>0</v>
      </c>
      <c r="O77" s="7">
        <f t="shared" si="9"/>
        <v>0</v>
      </c>
    </row>
    <row r="78" spans="3:15" x14ac:dyDescent="0.2">
      <c r="C78">
        <v>59</v>
      </c>
      <c r="D78" s="7">
        <v>3504.505841906147</v>
      </c>
      <c r="E78" s="7">
        <f t="shared" si="2"/>
        <v>104.7998158464757</v>
      </c>
      <c r="F78" s="7">
        <f t="shared" si="3"/>
        <v>282.99760152233523</v>
      </c>
      <c r="G78" s="7">
        <v>0</v>
      </c>
      <c r="H78" s="7">
        <f t="shared" si="4"/>
        <v>0</v>
      </c>
      <c r="I78" s="7">
        <f t="shared" si="5"/>
        <v>0</v>
      </c>
      <c r="J78" s="7">
        <v>1039.2113159020619</v>
      </c>
      <c r="K78" s="7">
        <f t="shared" si="6"/>
        <v>16.574343156332727</v>
      </c>
      <c r="L78" s="7">
        <f t="shared" si="7"/>
        <v>62.386019667909224</v>
      </c>
      <c r="M78" s="7">
        <v>0</v>
      </c>
      <c r="N78" s="7">
        <f t="shared" si="8"/>
        <v>0</v>
      </c>
      <c r="O78" s="7">
        <f t="shared" si="9"/>
        <v>0</v>
      </c>
    </row>
    <row r="79" spans="3:15" x14ac:dyDescent="0.2">
      <c r="C79">
        <v>60</v>
      </c>
      <c r="D79" s="7">
        <v>3498.3194906557792</v>
      </c>
      <c r="E79" s="7">
        <f t="shared" si="2"/>
        <v>104.61481730429962</v>
      </c>
      <c r="F79" s="7">
        <f t="shared" si="3"/>
        <v>282.49803820442202</v>
      </c>
      <c r="G79" s="7">
        <v>0</v>
      </c>
      <c r="H79" s="7">
        <f t="shared" si="4"/>
        <v>0</v>
      </c>
      <c r="I79" s="7">
        <f t="shared" si="5"/>
        <v>0</v>
      </c>
      <c r="J79" s="7">
        <v>1266.443366721478</v>
      </c>
      <c r="K79" s="7">
        <f t="shared" si="6"/>
        <v>20.198458799385616</v>
      </c>
      <c r="L79" s="7">
        <f t="shared" si="7"/>
        <v>76.027232936737249</v>
      </c>
      <c r="M79" s="7">
        <v>0</v>
      </c>
      <c r="N79" s="7">
        <f t="shared" si="8"/>
        <v>0</v>
      </c>
      <c r="O79" s="7">
        <f t="shared" si="9"/>
        <v>0</v>
      </c>
    </row>
    <row r="80" spans="3:15" x14ac:dyDescent="0.2">
      <c r="C80">
        <v>61</v>
      </c>
      <c r="D80" s="7">
        <v>3492.1655473720871</v>
      </c>
      <c r="E80" s="7">
        <f t="shared" si="2"/>
        <v>104.430787899883</v>
      </c>
      <c r="F80" s="7">
        <f t="shared" si="3"/>
        <v>282.00109191077792</v>
      </c>
      <c r="G80" s="7">
        <v>0</v>
      </c>
      <c r="H80" s="7">
        <f t="shared" si="4"/>
        <v>0</v>
      </c>
      <c r="I80" s="7">
        <f t="shared" si="5"/>
        <v>0</v>
      </c>
      <c r="J80" s="7">
        <v>1493.6430095742176</v>
      </c>
      <c r="K80" s="7">
        <f t="shared" si="6"/>
        <v>23.822057568966787</v>
      </c>
      <c r="L80" s="7">
        <f t="shared" si="7"/>
        <v>89.666500687829327</v>
      </c>
      <c r="M80" s="7">
        <v>0</v>
      </c>
      <c r="N80" s="7">
        <f t="shared" si="8"/>
        <v>0</v>
      </c>
      <c r="O80" s="7">
        <f t="shared" si="9"/>
        <v>0</v>
      </c>
    </row>
    <row r="81" spans="3:15" x14ac:dyDescent="0.2">
      <c r="C81">
        <v>62</v>
      </c>
      <c r="D81" s="7">
        <v>3486.0439023648223</v>
      </c>
      <c r="E81" s="7">
        <f t="shared" si="2"/>
        <v>104.24772435301503</v>
      </c>
      <c r="F81" s="7">
        <f t="shared" si="3"/>
        <v>281.50675378364139</v>
      </c>
      <c r="G81" s="7">
        <v>0</v>
      </c>
      <c r="H81" s="7">
        <f t="shared" si="4"/>
        <v>0</v>
      </c>
      <c r="I81" s="7">
        <f t="shared" si="5"/>
        <v>0</v>
      </c>
      <c r="J81" s="7">
        <v>1720.8103541505316</v>
      </c>
      <c r="K81" s="7">
        <f t="shared" si="6"/>
        <v>27.445141214522035</v>
      </c>
      <c r="L81" s="7">
        <f t="shared" si="7"/>
        <v>103.30382950611968</v>
      </c>
      <c r="M81" s="7">
        <v>0</v>
      </c>
      <c r="N81" s="7">
        <f t="shared" si="8"/>
        <v>0</v>
      </c>
      <c r="O81" s="7">
        <f t="shared" si="9"/>
        <v>0</v>
      </c>
    </row>
    <row r="82" spans="3:15" x14ac:dyDescent="0.2">
      <c r="C82">
        <v>63</v>
      </c>
      <c r="D82" s="7">
        <v>3479.9544462425065</v>
      </c>
      <c r="E82" s="7">
        <f t="shared" si="2"/>
        <v>104.06562339241945</v>
      </c>
      <c r="F82" s="7">
        <f t="shared" si="3"/>
        <v>281.01501498937711</v>
      </c>
      <c r="G82" s="7">
        <v>0</v>
      </c>
      <c r="H82" s="7">
        <f t="shared" si="4"/>
        <v>0</v>
      </c>
      <c r="I82" s="7">
        <f t="shared" si="5"/>
        <v>0</v>
      </c>
      <c r="J82" s="7">
        <v>1947.9455098418957</v>
      </c>
      <c r="K82" s="7">
        <f t="shared" si="6"/>
        <v>31.06771148073199</v>
      </c>
      <c r="L82" s="7">
        <f t="shared" si="7"/>
        <v>116.93922595860646</v>
      </c>
      <c r="M82" s="7">
        <v>0</v>
      </c>
      <c r="N82" s="7">
        <f t="shared" si="8"/>
        <v>0</v>
      </c>
      <c r="O82" s="7">
        <f t="shared" si="9"/>
        <v>0</v>
      </c>
    </row>
    <row r="83" spans="3:15" x14ac:dyDescent="0.2">
      <c r="C83">
        <v>64</v>
      </c>
      <c r="D83" s="7">
        <v>3476.1334530203139</v>
      </c>
      <c r="E83" s="7">
        <f t="shared" si="2"/>
        <v>103.95135924103811</v>
      </c>
      <c r="F83" s="7">
        <f t="shared" si="3"/>
        <v>280.70646024126307</v>
      </c>
      <c r="G83" s="7">
        <v>2808.7819499266516</v>
      </c>
      <c r="H83" s="7">
        <f t="shared" si="4"/>
        <v>67.195740428867268</v>
      </c>
      <c r="I83" s="7">
        <f t="shared" si="5"/>
        <v>146.02317929536608</v>
      </c>
      <c r="J83" s="7">
        <v>1792.1223867086628</v>
      </c>
      <c r="K83" s="7">
        <f t="shared" si="6"/>
        <v>28.58249420587979</v>
      </c>
      <c r="L83" s="7">
        <f t="shared" si="7"/>
        <v>107.58483934276531</v>
      </c>
      <c r="M83" s="7">
        <v>1156.3922743302367</v>
      </c>
      <c r="N83" s="7">
        <f t="shared" si="8"/>
        <v>92.216289818998149</v>
      </c>
      <c r="O83" s="7">
        <f t="shared" si="9"/>
        <v>34.907091786872556</v>
      </c>
    </row>
    <row r="84" spans="3:15" x14ac:dyDescent="0.2">
      <c r="C84">
        <v>65</v>
      </c>
      <c r="D84" s="7">
        <v>3476.4033587759036</v>
      </c>
      <c r="E84" s="7">
        <f t="shared" si="2"/>
        <v>103.95943058540382</v>
      </c>
      <c r="F84" s="7">
        <f t="shared" si="3"/>
        <v>280.72825580529258</v>
      </c>
      <c r="G84" s="7">
        <v>2809.0104402770794</v>
      </c>
      <c r="H84" s="7">
        <f t="shared" si="4"/>
        <v>67.201206705193286</v>
      </c>
      <c r="I84" s="7">
        <f t="shared" si="5"/>
        <v>146.03505806986783</v>
      </c>
      <c r="J84" s="7">
        <v>2079.2118903928372</v>
      </c>
      <c r="K84" s="7">
        <f t="shared" si="6"/>
        <v>33.161274168944772</v>
      </c>
      <c r="L84" s="7">
        <f t="shared" si="7"/>
        <v>124.81942017269451</v>
      </c>
      <c r="M84" s="7">
        <v>1156.1637839798093</v>
      </c>
      <c r="N84" s="7">
        <f t="shared" si="8"/>
        <v>92.19806889791144</v>
      </c>
      <c r="O84" s="7">
        <f t="shared" si="9"/>
        <v>34.900194530801379</v>
      </c>
    </row>
    <row r="85" spans="3:15" x14ac:dyDescent="0.2">
      <c r="C85">
        <v>66</v>
      </c>
      <c r="D85" s="7">
        <v>3476.6763366386608</v>
      </c>
      <c r="E85" s="7">
        <f t="shared" ref="E85:E148" si="10">D85/($C$3*($D$8-$D$6))</f>
        <v>103.96759379900303</v>
      </c>
      <c r="F85" s="7">
        <f t="shared" ref="F85:F148" si="11">E85*$C$3*((($D$8)-($D$6))-$C$2*LN(($D$8)/($D$6)))</f>
        <v>280.75029944965041</v>
      </c>
      <c r="G85" s="7">
        <v>2808.8951846891732</v>
      </c>
      <c r="H85" s="7">
        <f t="shared" ref="H85:H148" si="12">G85/($C$3*($D$6-$D$9))</f>
        <v>67.198449394477834</v>
      </c>
      <c r="I85" s="7">
        <f t="shared" ref="I85:I148" si="13">ABS(H85*$C$3*(($D$9-$D$6)-$C$2*(LN($D$9/$D$6))))</f>
        <v>146.0290661532016</v>
      </c>
      <c r="J85" s="7">
        <v>2366.2983219698422</v>
      </c>
      <c r="K85" s="7">
        <f t="shared" ref="K85:K148" si="14">J85/($C$3*($D$10-$D$7))</f>
        <v>37.740005135085205</v>
      </c>
      <c r="L85" s="7">
        <f t="shared" ref="L85:L148" si="15">K85*$C$3*(($D$10-$D$7)-$C$2*LN($D$10/$D$7))</f>
        <v>142.05381657763206</v>
      </c>
      <c r="M85" s="7">
        <v>1156.2790395677155</v>
      </c>
      <c r="N85" s="7">
        <f t="shared" ref="N85:N148" si="16">M85/($C$3*($D$7-$D$11))</f>
        <v>92.207259933629629</v>
      </c>
      <c r="O85" s="7">
        <f t="shared" ref="O85:O148" si="17">ABS(N85*$C$3*(($D$11-$D$7)-$C$2*LN($D$11/$D$7)))</f>
        <v>34.903673659359477</v>
      </c>
    </row>
    <row r="86" spans="3:15" x14ac:dyDescent="0.2">
      <c r="C86">
        <v>67</v>
      </c>
      <c r="D86" s="7">
        <v>3476.9514706229834</v>
      </c>
      <c r="E86" s="7">
        <f t="shared" si="10"/>
        <v>103.97582148992176</v>
      </c>
      <c r="F86" s="7">
        <f t="shared" si="11"/>
        <v>280.77251720621098</v>
      </c>
      <c r="G86" s="7">
        <v>2808.264387876442</v>
      </c>
      <c r="H86" s="7">
        <f t="shared" si="12"/>
        <v>67.183358561637377</v>
      </c>
      <c r="I86" s="7">
        <f t="shared" si="13"/>
        <v>145.99627223835648</v>
      </c>
      <c r="J86" s="7">
        <v>2908.8131835939598</v>
      </c>
      <c r="K86" s="7">
        <f t="shared" si="14"/>
        <v>46.392554762264112</v>
      </c>
      <c r="L86" s="7">
        <f t="shared" si="15"/>
        <v>174.62211362127675</v>
      </c>
      <c r="M86" s="7">
        <v>1156.9098363804464</v>
      </c>
      <c r="N86" s="7">
        <f t="shared" si="16"/>
        <v>92.257562709764471</v>
      </c>
      <c r="O86" s="7">
        <f t="shared" si="17"/>
        <v>34.922715019916495</v>
      </c>
    </row>
    <row r="87" spans="3:15" x14ac:dyDescent="0.2">
      <c r="C87">
        <v>68</v>
      </c>
      <c r="D87" s="7">
        <v>3477.2276090648893</v>
      </c>
      <c r="E87" s="7">
        <f t="shared" si="10"/>
        <v>103.98407921844765</v>
      </c>
      <c r="F87" s="7">
        <f t="shared" si="11"/>
        <v>280.7948160752307</v>
      </c>
      <c r="G87" s="7">
        <v>2807.3128421894335</v>
      </c>
      <c r="H87" s="7">
        <f t="shared" si="12"/>
        <v>67.160594310752003</v>
      </c>
      <c r="I87" s="7">
        <f t="shared" si="13"/>
        <v>145.94680320553766</v>
      </c>
      <c r="J87" s="7">
        <v>2908.5370451520539</v>
      </c>
      <c r="K87" s="7">
        <f t="shared" si="14"/>
        <v>46.388150640383635</v>
      </c>
      <c r="L87" s="7">
        <f t="shared" si="15"/>
        <v>174.60553645549325</v>
      </c>
      <c r="M87" s="7">
        <v>1157.8613820674552</v>
      </c>
      <c r="N87" s="7">
        <f t="shared" si="16"/>
        <v>92.333443546049068</v>
      </c>
      <c r="O87" s="7">
        <f t="shared" si="17"/>
        <v>34.95143857106185</v>
      </c>
    </row>
    <row r="88" spans="3:15" x14ac:dyDescent="0.2">
      <c r="C88">
        <v>69</v>
      </c>
      <c r="D88" s="7">
        <v>3477.5044131488553</v>
      </c>
      <c r="E88" s="7">
        <f t="shared" si="10"/>
        <v>103.99235685253754</v>
      </c>
      <c r="F88" s="7">
        <f t="shared" si="11"/>
        <v>280.81716869650961</v>
      </c>
      <c r="G88" s="7">
        <v>2806.1917220093828</v>
      </c>
      <c r="H88" s="7">
        <f t="shared" si="12"/>
        <v>67.13377325381299</v>
      </c>
      <c r="I88" s="7">
        <f t="shared" si="13"/>
        <v>145.88851832049437</v>
      </c>
      <c r="J88" s="7">
        <v>3227.5484737789352</v>
      </c>
      <c r="K88" s="7">
        <f t="shared" si="14"/>
        <v>51.47605221338015</v>
      </c>
      <c r="L88" s="7">
        <f t="shared" si="15"/>
        <v>193.7564569237997</v>
      </c>
      <c r="M88" s="7">
        <v>1158.9825022475059</v>
      </c>
      <c r="N88" s="7">
        <f t="shared" si="16"/>
        <v>92.422847069179099</v>
      </c>
      <c r="O88" s="7">
        <f t="shared" si="17"/>
        <v>34.98528093225525</v>
      </c>
    </row>
    <row r="89" spans="3:15" x14ac:dyDescent="0.2">
      <c r="C89">
        <v>70</v>
      </c>
      <c r="D89" s="7">
        <v>3477.7817562788841</v>
      </c>
      <c r="E89" s="7">
        <f t="shared" si="10"/>
        <v>104.00065060642596</v>
      </c>
      <c r="F89" s="7">
        <f t="shared" si="11"/>
        <v>280.83956484710478</v>
      </c>
      <c r="G89" s="7">
        <v>2805.4615595170853</v>
      </c>
      <c r="H89" s="7">
        <f t="shared" si="12"/>
        <v>67.116305251604913</v>
      </c>
      <c r="I89" s="7">
        <f t="shared" si="13"/>
        <v>145.85055857480091</v>
      </c>
      <c r="J89" s="7">
        <v>2397.1217256007039</v>
      </c>
      <c r="K89" s="7">
        <f t="shared" si="14"/>
        <v>38.231606468910748</v>
      </c>
      <c r="L89" s="7">
        <f t="shared" si="15"/>
        <v>143.90420969375944</v>
      </c>
      <c r="M89" s="7">
        <v>1159.7126647398031</v>
      </c>
      <c r="N89" s="7">
        <f t="shared" si="16"/>
        <v>92.481073743205997</v>
      </c>
      <c r="O89" s="7">
        <f t="shared" si="17"/>
        <v>35.007321765373682</v>
      </c>
    </row>
    <row r="90" spans="3:15" x14ac:dyDescent="0.2">
      <c r="C90">
        <v>71</v>
      </c>
      <c r="D90" s="7">
        <v>3473.9892526781564</v>
      </c>
      <c r="E90" s="7">
        <f t="shared" si="10"/>
        <v>103.88723841740899</v>
      </c>
      <c r="F90" s="7">
        <f t="shared" si="11"/>
        <v>280.53331070709538</v>
      </c>
      <c r="G90" s="7">
        <v>0</v>
      </c>
      <c r="H90" s="7">
        <f t="shared" si="12"/>
        <v>0</v>
      </c>
      <c r="I90" s="7">
        <f t="shared" si="13"/>
        <v>0</v>
      </c>
      <c r="J90" s="7">
        <v>1570.7648241532293</v>
      </c>
      <c r="K90" s="7">
        <f t="shared" si="14"/>
        <v>25.052070560657565</v>
      </c>
      <c r="L90" s="7">
        <f t="shared" si="15"/>
        <v>94.296283839271169</v>
      </c>
      <c r="M90" s="7">
        <v>0</v>
      </c>
      <c r="N90" s="7">
        <f t="shared" si="16"/>
        <v>0</v>
      </c>
      <c r="O90" s="7">
        <f t="shared" si="17"/>
        <v>0</v>
      </c>
    </row>
    <row r="91" spans="3:15" x14ac:dyDescent="0.2">
      <c r="C91">
        <v>72</v>
      </c>
      <c r="D91" s="7">
        <v>3467.9926799457076</v>
      </c>
      <c r="E91" s="7">
        <f t="shared" si="10"/>
        <v>103.70791507014677</v>
      </c>
      <c r="F91" s="7">
        <f t="shared" si="11"/>
        <v>280.04907247859973</v>
      </c>
      <c r="G91" s="7">
        <v>0</v>
      </c>
      <c r="H91" s="7">
        <f t="shared" si="12"/>
        <v>0</v>
      </c>
      <c r="I91" s="7">
        <f t="shared" si="13"/>
        <v>0</v>
      </c>
      <c r="J91" s="7">
        <v>746.61199183747476</v>
      </c>
      <c r="K91" s="7">
        <f t="shared" si="14"/>
        <v>11.907687270135165</v>
      </c>
      <c r="L91" s="7">
        <f t="shared" si="15"/>
        <v>44.82067284519372</v>
      </c>
      <c r="M91" s="7">
        <v>0</v>
      </c>
      <c r="N91" s="7">
        <f t="shared" si="16"/>
        <v>0</v>
      </c>
      <c r="O91" s="7">
        <f t="shared" si="17"/>
        <v>0</v>
      </c>
    </row>
    <row r="92" spans="3:15" x14ac:dyDescent="0.2">
      <c r="C92">
        <v>73</v>
      </c>
      <c r="D92" s="7">
        <v>2713.9499780422011</v>
      </c>
      <c r="E92" s="7">
        <f t="shared" si="10"/>
        <v>81.158791209395972</v>
      </c>
      <c r="F92" s="7">
        <f t="shared" si="11"/>
        <v>219.15824058657853</v>
      </c>
      <c r="G92" s="7">
        <v>0</v>
      </c>
      <c r="H92" s="7">
        <f t="shared" si="12"/>
        <v>0</v>
      </c>
      <c r="I92" s="7">
        <f t="shared" si="13"/>
        <v>0</v>
      </c>
      <c r="J92" s="7">
        <v>0</v>
      </c>
      <c r="K92" s="7">
        <f t="shared" si="14"/>
        <v>0</v>
      </c>
      <c r="L92" s="7">
        <f t="shared" si="15"/>
        <v>0</v>
      </c>
      <c r="M92" s="7">
        <v>0</v>
      </c>
      <c r="N92" s="7">
        <f t="shared" si="16"/>
        <v>0</v>
      </c>
      <c r="O92" s="7">
        <f t="shared" si="17"/>
        <v>0</v>
      </c>
    </row>
    <row r="93" spans="3:15" x14ac:dyDescent="0.2">
      <c r="C93">
        <v>74</v>
      </c>
      <c r="D93" s="7">
        <v>2554.3058616867775</v>
      </c>
      <c r="E93" s="7">
        <f t="shared" si="10"/>
        <v>76.384744667666794</v>
      </c>
      <c r="F93" s="7">
        <f t="shared" si="11"/>
        <v>206.2665793756033</v>
      </c>
      <c r="G93" s="7">
        <v>0</v>
      </c>
      <c r="H93" s="7">
        <f t="shared" si="12"/>
        <v>0</v>
      </c>
      <c r="I93" s="7">
        <f t="shared" si="13"/>
        <v>0</v>
      </c>
      <c r="J93" s="7">
        <v>0</v>
      </c>
      <c r="K93" s="7">
        <f t="shared" si="14"/>
        <v>0</v>
      </c>
      <c r="L93" s="7">
        <f t="shared" si="15"/>
        <v>0</v>
      </c>
      <c r="M93" s="7">
        <v>0</v>
      </c>
      <c r="N93" s="7">
        <f t="shared" si="16"/>
        <v>0</v>
      </c>
      <c r="O93" s="7">
        <f t="shared" si="17"/>
        <v>0</v>
      </c>
    </row>
    <row r="94" spans="3:15" x14ac:dyDescent="0.2">
      <c r="C94">
        <v>75</v>
      </c>
      <c r="D94" s="7">
        <v>2713.9499780422011</v>
      </c>
      <c r="E94" s="7">
        <f t="shared" si="10"/>
        <v>81.158791209395972</v>
      </c>
      <c r="F94" s="7">
        <f t="shared" si="11"/>
        <v>219.15824058657853</v>
      </c>
      <c r="G94" s="7">
        <v>0</v>
      </c>
      <c r="H94" s="7">
        <f t="shared" si="12"/>
        <v>0</v>
      </c>
      <c r="I94" s="7">
        <f t="shared" si="13"/>
        <v>0</v>
      </c>
      <c r="J94" s="7">
        <v>0</v>
      </c>
      <c r="K94" s="7">
        <f t="shared" si="14"/>
        <v>0</v>
      </c>
      <c r="L94" s="7">
        <f t="shared" si="15"/>
        <v>0</v>
      </c>
      <c r="M94" s="7">
        <v>0</v>
      </c>
      <c r="N94" s="7">
        <f t="shared" si="16"/>
        <v>0</v>
      </c>
      <c r="O94" s="7">
        <f t="shared" si="17"/>
        <v>0</v>
      </c>
    </row>
    <row r="95" spans="3:15" x14ac:dyDescent="0.2">
      <c r="C95">
        <v>76</v>
      </c>
      <c r="D95" s="7">
        <v>2873.5940943976243</v>
      </c>
      <c r="E95" s="7">
        <f t="shared" si="10"/>
        <v>85.932837751125135</v>
      </c>
      <c r="F95" s="7">
        <f t="shared" si="11"/>
        <v>232.0499017975537</v>
      </c>
      <c r="G95" s="7">
        <v>0</v>
      </c>
      <c r="H95" s="7">
        <f t="shared" si="12"/>
        <v>0</v>
      </c>
      <c r="I95" s="7">
        <f t="shared" si="13"/>
        <v>0</v>
      </c>
      <c r="J95" s="7">
        <v>0</v>
      </c>
      <c r="K95" s="7">
        <f t="shared" si="14"/>
        <v>0</v>
      </c>
      <c r="L95" s="7">
        <f t="shared" si="15"/>
        <v>0</v>
      </c>
      <c r="M95" s="7">
        <v>0</v>
      </c>
      <c r="N95" s="7">
        <f t="shared" si="16"/>
        <v>0</v>
      </c>
      <c r="O95" s="7">
        <f t="shared" si="17"/>
        <v>0</v>
      </c>
    </row>
    <row r="96" spans="3:15" x14ac:dyDescent="0.2">
      <c r="C96">
        <v>77</v>
      </c>
      <c r="D96" s="7">
        <v>3192.8823271084716</v>
      </c>
      <c r="E96" s="7">
        <f t="shared" si="10"/>
        <v>95.480930834583489</v>
      </c>
      <c r="F96" s="7">
        <f t="shared" si="11"/>
        <v>257.83322421950413</v>
      </c>
      <c r="G96" s="7">
        <v>0</v>
      </c>
      <c r="H96" s="7">
        <f t="shared" si="12"/>
        <v>0</v>
      </c>
      <c r="I96" s="7">
        <f t="shared" si="13"/>
        <v>0</v>
      </c>
      <c r="J96" s="7">
        <v>0</v>
      </c>
      <c r="K96" s="7">
        <f t="shared" si="14"/>
        <v>0</v>
      </c>
      <c r="L96" s="7">
        <f t="shared" si="15"/>
        <v>0</v>
      </c>
      <c r="M96" s="7">
        <v>0</v>
      </c>
      <c r="N96" s="7">
        <f t="shared" si="16"/>
        <v>0</v>
      </c>
      <c r="O96" s="7">
        <f t="shared" si="17"/>
        <v>0</v>
      </c>
    </row>
    <row r="97" spans="3:15" x14ac:dyDescent="0.2">
      <c r="C97">
        <v>78</v>
      </c>
      <c r="D97" s="7">
        <v>3405.741148915703</v>
      </c>
      <c r="E97" s="7">
        <f t="shared" si="10"/>
        <v>101.84632622355572</v>
      </c>
      <c r="F97" s="7">
        <f t="shared" si="11"/>
        <v>275.02210583413773</v>
      </c>
      <c r="G97" s="7">
        <v>0</v>
      </c>
      <c r="H97" s="7">
        <f t="shared" si="12"/>
        <v>0</v>
      </c>
      <c r="I97" s="7">
        <f t="shared" si="13"/>
        <v>0</v>
      </c>
      <c r="J97" s="7">
        <v>0</v>
      </c>
      <c r="K97" s="7">
        <f t="shared" si="14"/>
        <v>0</v>
      </c>
      <c r="L97" s="7">
        <f t="shared" si="15"/>
        <v>0</v>
      </c>
      <c r="M97" s="7">
        <v>0</v>
      </c>
      <c r="N97" s="7">
        <f t="shared" si="16"/>
        <v>0</v>
      </c>
      <c r="O97" s="7">
        <f t="shared" si="17"/>
        <v>0</v>
      </c>
    </row>
    <row r="98" spans="3:15" x14ac:dyDescent="0.2">
      <c r="C98">
        <v>79</v>
      </c>
      <c r="D98" s="7">
        <v>3435.8878908002325</v>
      </c>
      <c r="E98" s="7">
        <f t="shared" si="10"/>
        <v>102.74784362440887</v>
      </c>
      <c r="F98" s="7">
        <f t="shared" si="11"/>
        <v>277.45653055245816</v>
      </c>
      <c r="G98" s="7">
        <v>2819.0099918545161</v>
      </c>
      <c r="H98" s="7">
        <f t="shared" si="12"/>
        <v>67.440430427141536</v>
      </c>
      <c r="I98" s="7">
        <f t="shared" si="13"/>
        <v>146.55491555218447</v>
      </c>
      <c r="J98" s="7">
        <v>182.71207992270138</v>
      </c>
      <c r="K98" s="7">
        <f t="shared" si="14"/>
        <v>2.9140682603301657</v>
      </c>
      <c r="L98" s="7">
        <f t="shared" si="15"/>
        <v>10.968586693773544</v>
      </c>
      <c r="M98" s="7">
        <v>1146.1642324023724</v>
      </c>
      <c r="N98" s="7">
        <f t="shared" si="16"/>
        <v>91.400656491417266</v>
      </c>
      <c r="O98" s="7">
        <f t="shared" si="17"/>
        <v>34.598346038304896</v>
      </c>
    </row>
    <row r="99" spans="3:15" x14ac:dyDescent="0.2">
      <c r="C99">
        <v>80</v>
      </c>
      <c r="D99" s="7">
        <v>3436.432459460706</v>
      </c>
      <c r="E99" s="7">
        <f t="shared" si="10"/>
        <v>102.76412857238954</v>
      </c>
      <c r="F99" s="7">
        <f t="shared" si="11"/>
        <v>277.50050583220673</v>
      </c>
      <c r="G99" s="7">
        <v>2822.1018302520474</v>
      </c>
      <c r="H99" s="7">
        <f t="shared" si="12"/>
        <v>67.514397852919799</v>
      </c>
      <c r="I99" s="7">
        <f t="shared" si="13"/>
        <v>146.71565429257933</v>
      </c>
      <c r="J99" s="7">
        <v>395.02633306945972</v>
      </c>
      <c r="K99" s="7">
        <f t="shared" si="14"/>
        <v>6.3002604955256736</v>
      </c>
      <c r="L99" s="7">
        <f t="shared" si="15"/>
        <v>23.714253498886936</v>
      </c>
      <c r="M99" s="7">
        <v>1143.072394004841</v>
      </c>
      <c r="N99" s="7">
        <f t="shared" si="16"/>
        <v>91.154098405489719</v>
      </c>
      <c r="O99" s="7">
        <f t="shared" si="17"/>
        <v>34.505015177204747</v>
      </c>
    </row>
    <row r="100" spans="3:15" x14ac:dyDescent="0.2">
      <c r="C100">
        <v>81</v>
      </c>
      <c r="D100" s="7">
        <v>3436.9856285090364</v>
      </c>
      <c r="E100" s="7">
        <f t="shared" si="10"/>
        <v>102.78067070900229</v>
      </c>
      <c r="F100" s="7">
        <f t="shared" si="11"/>
        <v>277.54517561475978</v>
      </c>
      <c r="G100" s="7">
        <v>2824.9452802349374</v>
      </c>
      <c r="H100" s="7">
        <f t="shared" si="12"/>
        <v>67.582422972127688</v>
      </c>
      <c r="I100" s="7">
        <f t="shared" si="13"/>
        <v>146.86347979632831</v>
      </c>
      <c r="J100" s="7">
        <v>607.3319858283603</v>
      </c>
      <c r="K100" s="7">
        <f t="shared" si="14"/>
        <v>9.686315563450723</v>
      </c>
      <c r="L100" s="7">
        <f t="shared" si="15"/>
        <v>36.459404004805137</v>
      </c>
      <c r="M100" s="7">
        <v>1140.2289440219511</v>
      </c>
      <c r="N100" s="7">
        <f t="shared" si="16"/>
        <v>90.927348008130082</v>
      </c>
      <c r="O100" s="7">
        <f t="shared" si="17"/>
        <v>34.419182219178794</v>
      </c>
    </row>
    <row r="101" spans="3:15" x14ac:dyDescent="0.2">
      <c r="C101">
        <v>82</v>
      </c>
      <c r="D101" s="7">
        <v>3437.5467975624097</v>
      </c>
      <c r="E101" s="7">
        <f t="shared" si="10"/>
        <v>102.79745208021561</v>
      </c>
      <c r="F101" s="7">
        <f t="shared" si="11"/>
        <v>277.59049141770532</v>
      </c>
      <c r="G101" s="7">
        <v>2827.5404670433736</v>
      </c>
      <c r="H101" s="7">
        <f t="shared" si="12"/>
        <v>67.644508780941962</v>
      </c>
      <c r="I101" s="7">
        <f t="shared" si="13"/>
        <v>146.99839857442825</v>
      </c>
      <c r="J101" s="7">
        <v>819.62963858221883</v>
      </c>
      <c r="K101" s="7">
        <f t="shared" si="14"/>
        <v>13.072243039588818</v>
      </c>
      <c r="L101" s="7">
        <f t="shared" si="15"/>
        <v>49.204074253758975</v>
      </c>
      <c r="M101" s="7">
        <v>1137.6337572135151</v>
      </c>
      <c r="N101" s="7">
        <f t="shared" si="16"/>
        <v>90.720395312082545</v>
      </c>
      <c r="O101" s="7">
        <f t="shared" si="17"/>
        <v>34.34084338370134</v>
      </c>
    </row>
    <row r="102" spans="3:15" x14ac:dyDescent="0.2">
      <c r="C102">
        <v>83</v>
      </c>
      <c r="D102" s="7">
        <v>3438.1153692456965</v>
      </c>
      <c r="E102" s="7">
        <f t="shared" si="10"/>
        <v>102.81445482194069</v>
      </c>
      <c r="F102" s="7">
        <f t="shared" si="11"/>
        <v>277.63640500150922</v>
      </c>
      <c r="G102" s="7">
        <v>2829.8875376593096</v>
      </c>
      <c r="H102" s="7">
        <f t="shared" si="12"/>
        <v>67.700658795677271</v>
      </c>
      <c r="I102" s="7">
        <f t="shared" si="13"/>
        <v>147.12041826818862</v>
      </c>
      <c r="J102" s="7">
        <v>1031.9198887061639</v>
      </c>
      <c r="K102" s="7">
        <f t="shared" si="14"/>
        <v>16.45805245145397</v>
      </c>
      <c r="L102" s="7">
        <f t="shared" si="15"/>
        <v>61.948300107421588</v>
      </c>
      <c r="M102" s="7">
        <v>1135.2866865975791</v>
      </c>
      <c r="N102" s="7">
        <f t="shared" si="16"/>
        <v>90.533228596298173</v>
      </c>
      <c r="O102" s="7">
        <f t="shared" si="17"/>
        <v>34.269994233945297</v>
      </c>
    </row>
    <row r="103" spans="3:15" x14ac:dyDescent="0.2">
      <c r="C103">
        <v>84</v>
      </c>
      <c r="D103" s="7">
        <v>3438.6907492302016</v>
      </c>
      <c r="E103" s="7">
        <f t="shared" si="10"/>
        <v>102.83166116119024</v>
      </c>
      <c r="F103" s="7">
        <f t="shared" si="11"/>
        <v>277.68286837264469</v>
      </c>
      <c r="G103" s="7">
        <v>2831.9866607643098</v>
      </c>
      <c r="H103" s="7">
        <f t="shared" si="12"/>
        <v>67.750877051777749</v>
      </c>
      <c r="I103" s="7">
        <f t="shared" si="13"/>
        <v>147.22954764703999</v>
      </c>
      <c r="J103" s="7">
        <v>1244.2033305288896</v>
      </c>
      <c r="K103" s="7">
        <f t="shared" si="14"/>
        <v>19.843753277972723</v>
      </c>
      <c r="L103" s="7">
        <f t="shared" si="15"/>
        <v>74.692117244582306</v>
      </c>
      <c r="M103" s="7">
        <v>1133.1875634925786</v>
      </c>
      <c r="N103" s="7">
        <f t="shared" si="16"/>
        <v>90.365834409296554</v>
      </c>
      <c r="O103" s="7">
        <f t="shared" si="17"/>
        <v>34.20662967805476</v>
      </c>
    </row>
    <row r="104" spans="3:15" x14ac:dyDescent="0.2">
      <c r="C104">
        <v>85</v>
      </c>
      <c r="D104" s="7">
        <v>3439.272346272111</v>
      </c>
      <c r="E104" s="7">
        <f t="shared" si="10"/>
        <v>102.84905341722821</v>
      </c>
      <c r="F104" s="7">
        <f t="shared" si="11"/>
        <v>277.7298337866967</v>
      </c>
      <c r="G104" s="7">
        <v>2833.8380266955228</v>
      </c>
      <c r="H104" s="7">
        <f t="shared" si="12"/>
        <v>67.795168102763711</v>
      </c>
      <c r="I104" s="7">
        <f t="shared" si="13"/>
        <v>147.32579660624521</v>
      </c>
      <c r="J104" s="7">
        <v>1456.4805552942112</v>
      </c>
      <c r="K104" s="7">
        <f t="shared" si="14"/>
        <v>23.229354948870991</v>
      </c>
      <c r="L104" s="7">
        <f t="shared" si="15"/>
        <v>87.435561158838723</v>
      </c>
      <c r="M104" s="7">
        <v>1131.3361975613659</v>
      </c>
      <c r="N104" s="7">
        <f t="shared" si="16"/>
        <v>90.218197572676715</v>
      </c>
      <c r="O104" s="7">
        <f t="shared" si="17"/>
        <v>34.15074397047394</v>
      </c>
    </row>
    <row r="105" spans="3:15" x14ac:dyDescent="0.2">
      <c r="C105">
        <v>86</v>
      </c>
      <c r="D105" s="7">
        <v>3439.8595722506502</v>
      </c>
      <c r="E105" s="7">
        <f t="shared" si="10"/>
        <v>102.86661400271083</v>
      </c>
      <c r="F105" s="7">
        <f t="shared" si="11"/>
        <v>277.77725375144354</v>
      </c>
      <c r="G105" s="7">
        <v>2835.4418473997821</v>
      </c>
      <c r="H105" s="7">
        <f t="shared" si="12"/>
        <v>67.833537019133544</v>
      </c>
      <c r="I105" s="7">
        <f t="shared" si="13"/>
        <v>147.4091761645131</v>
      </c>
      <c r="J105" s="7">
        <v>1668.7521511229047</v>
      </c>
      <c r="K105" s="7">
        <f t="shared" si="14"/>
        <v>26.614866844065467</v>
      </c>
      <c r="L105" s="7">
        <f t="shared" si="15"/>
        <v>100.17866715630593</v>
      </c>
      <c r="M105" s="7">
        <v>1129.7323768571064</v>
      </c>
      <c r="N105" s="7">
        <f t="shared" si="16"/>
        <v>90.090301184777232</v>
      </c>
      <c r="O105" s="7">
        <f t="shared" si="17"/>
        <v>34.102330713332719</v>
      </c>
    </row>
    <row r="106" spans="3:15" x14ac:dyDescent="0.2">
      <c r="C106">
        <v>87</v>
      </c>
      <c r="D106" s="7">
        <v>3440.4520254752247</v>
      </c>
      <c r="E106" s="7">
        <f t="shared" si="10"/>
        <v>102.88433090535959</v>
      </c>
      <c r="F106" s="7">
        <f t="shared" si="11"/>
        <v>277.82509582936615</v>
      </c>
      <c r="G106" s="7">
        <v>2837.0269284784449</v>
      </c>
      <c r="H106" s="7">
        <f t="shared" si="12"/>
        <v>67.871457619101562</v>
      </c>
      <c r="I106" s="7">
        <f t="shared" si="13"/>
        <v>147.49158148563578</v>
      </c>
      <c r="J106" s="7">
        <v>1508.5155815429057</v>
      </c>
      <c r="K106" s="7">
        <f t="shared" si="14"/>
        <v>24.059259673730555</v>
      </c>
      <c r="L106" s="7">
        <f t="shared" si="15"/>
        <v>90.559332158342713</v>
      </c>
      <c r="M106" s="7">
        <v>1128.1472957784435</v>
      </c>
      <c r="N106" s="7">
        <f t="shared" si="16"/>
        <v>89.963899184883857</v>
      </c>
      <c r="O106" s="7">
        <f t="shared" si="17"/>
        <v>34.054483134331413</v>
      </c>
    </row>
    <row r="107" spans="3:15" x14ac:dyDescent="0.2">
      <c r="C107">
        <v>88</v>
      </c>
      <c r="D107" s="7">
        <v>3441.0495955228703</v>
      </c>
      <c r="E107" s="7">
        <f t="shared" si="10"/>
        <v>102.90220082305235</v>
      </c>
      <c r="F107" s="7">
        <f t="shared" si="11"/>
        <v>277.87335110353433</v>
      </c>
      <c r="G107" s="7">
        <v>2838.379960790553</v>
      </c>
      <c r="H107" s="7">
        <f t="shared" si="12"/>
        <v>67.903826813171136</v>
      </c>
      <c r="I107" s="7">
        <f t="shared" si="13"/>
        <v>147.56192303703622</v>
      </c>
      <c r="J107" s="7">
        <v>1880.4209496579165</v>
      </c>
      <c r="K107" s="7">
        <f t="shared" si="14"/>
        <v>29.990764747335191</v>
      </c>
      <c r="L107" s="7">
        <f t="shared" si="15"/>
        <v>112.88558597678232</v>
      </c>
      <c r="M107" s="7">
        <v>1126.7942634663352</v>
      </c>
      <c r="N107" s="7">
        <f t="shared" si="16"/>
        <v>89.856001871318611</v>
      </c>
      <c r="O107" s="7">
        <f t="shared" si="17"/>
        <v>34.013640226472383</v>
      </c>
    </row>
    <row r="108" spans="3:15" x14ac:dyDescent="0.2">
      <c r="C108">
        <v>89</v>
      </c>
      <c r="D108" s="7">
        <v>3441.6512801022286</v>
      </c>
      <c r="E108" s="7">
        <f t="shared" si="10"/>
        <v>102.92019378296139</v>
      </c>
      <c r="F108" s="7">
        <f t="shared" si="11"/>
        <v>277.92193863641711</v>
      </c>
      <c r="G108" s="7">
        <v>2839.2084271876806</v>
      </c>
      <c r="H108" s="7">
        <f t="shared" si="12"/>
        <v>67.923646583437346</v>
      </c>
      <c r="I108" s="7">
        <f t="shared" si="13"/>
        <v>147.60499341394856</v>
      </c>
      <c r="J108" s="7">
        <v>2252.3222032412127</v>
      </c>
      <c r="K108" s="7">
        <f t="shared" si="14"/>
        <v>35.922204198424446</v>
      </c>
      <c r="L108" s="7">
        <f t="shared" si="15"/>
        <v>135.21159279131376</v>
      </c>
      <c r="M108" s="7">
        <v>1125.9657970692078</v>
      </c>
      <c r="N108" s="7">
        <f t="shared" si="16"/>
        <v>89.789935970431259</v>
      </c>
      <c r="O108" s="7">
        <f t="shared" si="17"/>
        <v>33.988631971740119</v>
      </c>
    </row>
    <row r="109" spans="3:15" x14ac:dyDescent="0.2">
      <c r="C109">
        <v>90</v>
      </c>
      <c r="D109" s="7">
        <v>3442.2558797808083</v>
      </c>
      <c r="E109" s="7">
        <f t="shared" si="10"/>
        <v>102.93827391689021</v>
      </c>
      <c r="F109" s="7">
        <f t="shared" si="11"/>
        <v>277.97076157084433</v>
      </c>
      <c r="G109" s="7">
        <v>2839.5130473780173</v>
      </c>
      <c r="H109" s="7">
        <f t="shared" si="12"/>
        <v>67.930934147799462</v>
      </c>
      <c r="I109" s="7">
        <f t="shared" si="13"/>
        <v>147.62083003261938</v>
      </c>
      <c r="J109" s="7">
        <v>2624.2205417252876</v>
      </c>
      <c r="K109" s="7">
        <f t="shared" si="14"/>
        <v>41.853597156703152</v>
      </c>
      <c r="L109" s="7">
        <f t="shared" si="15"/>
        <v>157.53742460636764</v>
      </c>
      <c r="M109" s="7">
        <v>1125.6611768788712</v>
      </c>
      <c r="N109" s="7">
        <f t="shared" si="16"/>
        <v>89.765644089224182</v>
      </c>
      <c r="O109" s="7">
        <f t="shared" si="17"/>
        <v>33.979436644877204</v>
      </c>
    </row>
    <row r="110" spans="3:15" x14ac:dyDescent="0.2">
      <c r="C110">
        <v>91</v>
      </c>
      <c r="D110" s="7">
        <v>3442.8626124793182</v>
      </c>
      <c r="E110" s="7">
        <f t="shared" si="10"/>
        <v>102.95641783730019</v>
      </c>
      <c r="F110" s="7">
        <f t="shared" si="11"/>
        <v>278.01975675195951</v>
      </c>
      <c r="G110" s="7">
        <v>2839.8420857967612</v>
      </c>
      <c r="H110" s="7">
        <f t="shared" si="12"/>
        <v>67.938805880305296</v>
      </c>
      <c r="I110" s="7">
        <f t="shared" si="13"/>
        <v>147.63793610808978</v>
      </c>
      <c r="J110" s="7">
        <v>2184.5924890493634</v>
      </c>
      <c r="K110" s="7">
        <f t="shared" si="14"/>
        <v>34.841985471281717</v>
      </c>
      <c r="L110" s="7">
        <f t="shared" si="15"/>
        <v>131.14563698712121</v>
      </c>
      <c r="M110" s="7">
        <v>1125.3321384601272</v>
      </c>
      <c r="N110" s="7">
        <f t="shared" si="16"/>
        <v>89.739404980871399</v>
      </c>
      <c r="O110" s="7">
        <f t="shared" si="17"/>
        <v>33.969504224417932</v>
      </c>
    </row>
    <row r="111" spans="3:15" x14ac:dyDescent="0.2">
      <c r="C111">
        <v>92</v>
      </c>
      <c r="D111" s="7">
        <v>3443.4723391182388</v>
      </c>
      <c r="E111" s="7">
        <f t="shared" si="10"/>
        <v>102.97465128942102</v>
      </c>
      <c r="F111" s="7">
        <f t="shared" si="11"/>
        <v>278.06899370124222</v>
      </c>
      <c r="G111" s="7">
        <v>2840.7427028418251</v>
      </c>
      <c r="H111" s="7">
        <f t="shared" si="12"/>
        <v>67.960351742627395</v>
      </c>
      <c r="I111" s="7">
        <f t="shared" si="13"/>
        <v>147.68475745862261</v>
      </c>
      <c r="J111" s="7">
        <v>1744.9614424330275</v>
      </c>
      <c r="K111" s="7">
        <f t="shared" si="14"/>
        <v>27.830326035614476</v>
      </c>
      <c r="L111" s="7">
        <f t="shared" si="15"/>
        <v>104.75366963539634</v>
      </c>
      <c r="M111" s="7">
        <v>1124.4315214150636</v>
      </c>
      <c r="N111" s="7">
        <f t="shared" si="16"/>
        <v>89.667585439797733</v>
      </c>
      <c r="O111" s="7">
        <f t="shared" si="17"/>
        <v>33.942318015590075</v>
      </c>
    </row>
    <row r="112" spans="3:15" x14ac:dyDescent="0.2">
      <c r="C112">
        <v>93</v>
      </c>
      <c r="D112" s="7">
        <v>3444.0863241718484</v>
      </c>
      <c r="E112" s="7">
        <f t="shared" si="10"/>
        <v>102.99301208647873</v>
      </c>
      <c r="F112" s="7">
        <f t="shared" si="11"/>
        <v>278.11857452814922</v>
      </c>
      <c r="G112" s="7">
        <v>2842.2139591937366</v>
      </c>
      <c r="H112" s="7">
        <f t="shared" si="12"/>
        <v>67.995549263008058</v>
      </c>
      <c r="I112" s="7">
        <f t="shared" si="13"/>
        <v>147.76124525080252</v>
      </c>
      <c r="J112" s="7">
        <v>1305.3261374020026</v>
      </c>
      <c r="K112" s="7">
        <f t="shared" si="14"/>
        <v>20.818598682647572</v>
      </c>
      <c r="L112" s="7">
        <f t="shared" si="15"/>
        <v>78.361446642168673</v>
      </c>
      <c r="M112" s="7">
        <v>1122.9602650631516</v>
      </c>
      <c r="N112" s="7">
        <f t="shared" si="16"/>
        <v>89.55026037186218</v>
      </c>
      <c r="O112" s="7">
        <f t="shared" si="17"/>
        <v>33.897906372881764</v>
      </c>
    </row>
    <row r="113" spans="3:15" x14ac:dyDescent="0.2">
      <c r="C113">
        <v>94</v>
      </c>
      <c r="D113" s="7">
        <v>3444.7058241262012</v>
      </c>
      <c r="E113" s="7">
        <f t="shared" si="10"/>
        <v>103.01153780281703</v>
      </c>
      <c r="F113" s="7">
        <f t="shared" si="11"/>
        <v>278.16860069706826</v>
      </c>
      <c r="G113" s="7">
        <v>2844.2548663845946</v>
      </c>
      <c r="H113" s="7">
        <f t="shared" si="12"/>
        <v>68.04437479388983</v>
      </c>
      <c r="I113" s="7">
        <f t="shared" si="13"/>
        <v>147.86734809608163</v>
      </c>
      <c r="J113" s="7">
        <v>865.68531747023644</v>
      </c>
      <c r="K113" s="7">
        <f t="shared" si="14"/>
        <v>13.806783372731045</v>
      </c>
      <c r="L113" s="7">
        <f t="shared" si="15"/>
        <v>51.968892577963558</v>
      </c>
      <c r="M113" s="7">
        <v>1120.9193578722941</v>
      </c>
      <c r="N113" s="7">
        <f t="shared" si="16"/>
        <v>89.387508602256318</v>
      </c>
      <c r="O113" s="7">
        <f t="shared" si="17"/>
        <v>33.836299134385627</v>
      </c>
    </row>
    <row r="114" spans="3:15" x14ac:dyDescent="0.2">
      <c r="C114">
        <v>95</v>
      </c>
      <c r="D114" s="7">
        <v>3441.2330563706564</v>
      </c>
      <c r="E114" s="7">
        <f t="shared" si="10"/>
        <v>102.90768709242394</v>
      </c>
      <c r="F114" s="7">
        <f t="shared" si="11"/>
        <v>277.88816602530619</v>
      </c>
      <c r="G114" s="7">
        <v>0</v>
      </c>
      <c r="H114" s="7">
        <f t="shared" si="12"/>
        <v>0</v>
      </c>
      <c r="I114" s="7">
        <f t="shared" si="13"/>
        <v>0</v>
      </c>
      <c r="J114" s="7">
        <v>430.13676524836637</v>
      </c>
      <c r="K114" s="7">
        <f t="shared" si="14"/>
        <v>6.8602354904045679</v>
      </c>
      <c r="L114" s="7">
        <f t="shared" si="15"/>
        <v>25.822005867384526</v>
      </c>
      <c r="M114" s="7">
        <v>0</v>
      </c>
      <c r="N114" s="7">
        <f t="shared" si="16"/>
        <v>0</v>
      </c>
      <c r="O114" s="7">
        <f t="shared" si="17"/>
        <v>0</v>
      </c>
    </row>
    <row r="115" spans="3:15" x14ac:dyDescent="0.2">
      <c r="C115">
        <v>96</v>
      </c>
      <c r="D115" s="7">
        <v>3192.8823271084716</v>
      </c>
      <c r="E115" s="7">
        <f t="shared" si="10"/>
        <v>95.480930834583489</v>
      </c>
      <c r="F115" s="7">
        <f t="shared" si="11"/>
        <v>257.83322421950413</v>
      </c>
      <c r="G115" s="7">
        <v>0</v>
      </c>
      <c r="H115" s="7">
        <f t="shared" si="12"/>
        <v>0</v>
      </c>
      <c r="I115" s="7">
        <f t="shared" si="13"/>
        <v>0</v>
      </c>
      <c r="J115" s="7">
        <v>0</v>
      </c>
      <c r="K115" s="7">
        <f t="shared" si="14"/>
        <v>0</v>
      </c>
      <c r="L115" s="7">
        <f t="shared" si="15"/>
        <v>0</v>
      </c>
      <c r="M115" s="7">
        <v>0</v>
      </c>
      <c r="N115" s="7">
        <f t="shared" si="16"/>
        <v>0</v>
      </c>
      <c r="O115" s="7">
        <f t="shared" si="17"/>
        <v>0</v>
      </c>
    </row>
    <row r="116" spans="3:15" x14ac:dyDescent="0.2">
      <c r="C116">
        <v>97</v>
      </c>
      <c r="D116" s="7">
        <v>2713.9499780422011</v>
      </c>
      <c r="E116" s="7">
        <f t="shared" si="10"/>
        <v>81.158791209395972</v>
      </c>
      <c r="F116" s="7">
        <f t="shared" si="11"/>
        <v>219.15824058657853</v>
      </c>
      <c r="G116" s="7">
        <v>0</v>
      </c>
      <c r="H116" s="7">
        <f t="shared" si="12"/>
        <v>0</v>
      </c>
      <c r="I116" s="7">
        <f t="shared" si="13"/>
        <v>0</v>
      </c>
      <c r="J116" s="7">
        <v>0</v>
      </c>
      <c r="K116" s="7">
        <f t="shared" si="14"/>
        <v>0</v>
      </c>
      <c r="L116" s="7">
        <f t="shared" si="15"/>
        <v>0</v>
      </c>
      <c r="M116" s="7">
        <v>0</v>
      </c>
      <c r="N116" s="7">
        <f t="shared" si="16"/>
        <v>0</v>
      </c>
      <c r="O116" s="7">
        <f t="shared" si="17"/>
        <v>0</v>
      </c>
    </row>
    <row r="117" spans="3:15" x14ac:dyDescent="0.2">
      <c r="C117">
        <v>98</v>
      </c>
      <c r="D117" s="7">
        <v>2554.3058616867775</v>
      </c>
      <c r="E117" s="7">
        <f t="shared" si="10"/>
        <v>76.384744667666794</v>
      </c>
      <c r="F117" s="7">
        <f t="shared" si="11"/>
        <v>206.2665793756033</v>
      </c>
      <c r="G117" s="7">
        <v>0</v>
      </c>
      <c r="H117" s="7">
        <f t="shared" si="12"/>
        <v>0</v>
      </c>
      <c r="I117" s="7">
        <f t="shared" si="13"/>
        <v>0</v>
      </c>
      <c r="J117" s="7">
        <v>0</v>
      </c>
      <c r="K117" s="7">
        <f t="shared" si="14"/>
        <v>0</v>
      </c>
      <c r="L117" s="7">
        <f t="shared" si="15"/>
        <v>0</v>
      </c>
      <c r="M117" s="7">
        <v>0</v>
      </c>
      <c r="N117" s="7">
        <f t="shared" si="16"/>
        <v>0</v>
      </c>
      <c r="O117" s="7">
        <f t="shared" si="17"/>
        <v>0</v>
      </c>
    </row>
    <row r="118" spans="3:15" x14ac:dyDescent="0.2">
      <c r="C118">
        <v>99</v>
      </c>
      <c r="D118" s="7">
        <v>2713.9499780422011</v>
      </c>
      <c r="E118" s="7">
        <f t="shared" si="10"/>
        <v>81.158791209395972</v>
      </c>
      <c r="F118" s="7">
        <f t="shared" si="11"/>
        <v>219.15824058657853</v>
      </c>
      <c r="G118" s="7">
        <v>0</v>
      </c>
      <c r="H118" s="7">
        <f t="shared" si="12"/>
        <v>0</v>
      </c>
      <c r="I118" s="7">
        <f t="shared" si="13"/>
        <v>0</v>
      </c>
      <c r="J118" s="7">
        <v>0</v>
      </c>
      <c r="K118" s="7">
        <f t="shared" si="14"/>
        <v>0</v>
      </c>
      <c r="L118" s="7">
        <f t="shared" si="15"/>
        <v>0</v>
      </c>
      <c r="M118" s="7">
        <v>0</v>
      </c>
      <c r="N118" s="7">
        <f t="shared" si="16"/>
        <v>0</v>
      </c>
      <c r="O118" s="7">
        <f t="shared" si="17"/>
        <v>0</v>
      </c>
    </row>
    <row r="119" spans="3:15" x14ac:dyDescent="0.2">
      <c r="C119">
        <v>100</v>
      </c>
      <c r="D119" s="7">
        <v>2873.5940943976243</v>
      </c>
      <c r="E119" s="7">
        <f t="shared" si="10"/>
        <v>85.932837751125135</v>
      </c>
      <c r="F119" s="7">
        <f t="shared" si="11"/>
        <v>232.0499017975537</v>
      </c>
      <c r="G119" s="7">
        <v>0</v>
      </c>
      <c r="H119" s="7">
        <f t="shared" si="12"/>
        <v>0</v>
      </c>
      <c r="I119" s="7">
        <f t="shared" si="13"/>
        <v>0</v>
      </c>
      <c r="J119" s="7">
        <v>0</v>
      </c>
      <c r="K119" s="7">
        <f t="shared" si="14"/>
        <v>0</v>
      </c>
      <c r="L119" s="7">
        <f t="shared" si="15"/>
        <v>0</v>
      </c>
      <c r="M119" s="7">
        <v>0</v>
      </c>
      <c r="N119" s="7">
        <f t="shared" si="16"/>
        <v>0</v>
      </c>
      <c r="O119" s="7">
        <f t="shared" si="17"/>
        <v>0</v>
      </c>
    </row>
    <row r="120" spans="3:15" x14ac:dyDescent="0.2">
      <c r="C120">
        <v>101</v>
      </c>
      <c r="D120" s="7">
        <v>3163.8561241347584</v>
      </c>
      <c r="E120" s="7">
        <f t="shared" si="10"/>
        <v>94.61292237245091</v>
      </c>
      <c r="F120" s="7">
        <f t="shared" si="11"/>
        <v>255.48928581750863</v>
      </c>
      <c r="G120" s="7">
        <v>0</v>
      </c>
      <c r="H120" s="7">
        <f t="shared" si="12"/>
        <v>0</v>
      </c>
      <c r="I120" s="7">
        <f t="shared" si="13"/>
        <v>0</v>
      </c>
      <c r="J120" s="7">
        <v>0</v>
      </c>
      <c r="K120" s="7">
        <f t="shared" si="14"/>
        <v>0</v>
      </c>
      <c r="L120" s="7">
        <f t="shared" si="15"/>
        <v>0</v>
      </c>
      <c r="M120" s="7">
        <v>0</v>
      </c>
      <c r="N120" s="7">
        <f t="shared" si="16"/>
        <v>0</v>
      </c>
      <c r="O120" s="7">
        <f t="shared" si="17"/>
        <v>0</v>
      </c>
    </row>
    <row r="121" spans="3:15" x14ac:dyDescent="0.2">
      <c r="C121">
        <v>102</v>
      </c>
      <c r="D121" s="7">
        <v>3367.0395449507519</v>
      </c>
      <c r="E121" s="7">
        <f t="shared" si="10"/>
        <v>100.68898160737895</v>
      </c>
      <c r="F121" s="7">
        <f t="shared" si="11"/>
        <v>271.89685463147708</v>
      </c>
      <c r="G121" s="7">
        <v>0</v>
      </c>
      <c r="H121" s="7">
        <f t="shared" si="12"/>
        <v>0</v>
      </c>
      <c r="I121" s="7">
        <f t="shared" si="13"/>
        <v>0</v>
      </c>
      <c r="J121" s="7">
        <v>0</v>
      </c>
      <c r="K121" s="7">
        <f t="shared" si="14"/>
        <v>0</v>
      </c>
      <c r="L121" s="7">
        <f t="shared" si="15"/>
        <v>0</v>
      </c>
      <c r="M121" s="7">
        <v>0</v>
      </c>
      <c r="N121" s="7">
        <f t="shared" si="16"/>
        <v>0</v>
      </c>
      <c r="O121" s="7">
        <f t="shared" si="17"/>
        <v>0</v>
      </c>
    </row>
    <row r="122" spans="3:15" x14ac:dyDescent="0.2">
      <c r="C122">
        <v>103</v>
      </c>
      <c r="D122" s="7">
        <v>3405.7179558407543</v>
      </c>
      <c r="E122" s="7">
        <f t="shared" si="10"/>
        <v>101.84563265074027</v>
      </c>
      <c r="F122" s="7">
        <f t="shared" si="11"/>
        <v>275.02023293539577</v>
      </c>
      <c r="G122" s="7">
        <v>2862.614009798358</v>
      </c>
      <c r="H122" s="7">
        <f t="shared" si="12"/>
        <v>68.483588751156901</v>
      </c>
      <c r="I122" s="7">
        <f t="shared" si="13"/>
        <v>148.82180470332642</v>
      </c>
      <c r="J122" s="7">
        <v>164.50500992599109</v>
      </c>
      <c r="K122" s="7">
        <f t="shared" si="14"/>
        <v>2.6236843688355838</v>
      </c>
      <c r="L122" s="7">
        <f t="shared" si="15"/>
        <v>9.8755783618503994</v>
      </c>
      <c r="M122" s="7">
        <v>1102.5602144585305</v>
      </c>
      <c r="N122" s="7">
        <f t="shared" si="16"/>
        <v>87.923462078032742</v>
      </c>
      <c r="O122" s="7">
        <f t="shared" si="17"/>
        <v>33.282106306831693</v>
      </c>
    </row>
    <row r="123" spans="3:15" x14ac:dyDescent="0.2">
      <c r="C123">
        <v>104</v>
      </c>
      <c r="D123" s="7">
        <v>3406.6053599127499</v>
      </c>
      <c r="E123" s="7">
        <f t="shared" si="10"/>
        <v>101.87216985385018</v>
      </c>
      <c r="F123" s="7">
        <f t="shared" si="11"/>
        <v>275.09189303107974</v>
      </c>
      <c r="G123" s="7">
        <v>2865.5080405666286</v>
      </c>
      <c r="H123" s="7">
        <f t="shared" si="12"/>
        <v>68.552823937000682</v>
      </c>
      <c r="I123" s="7">
        <f t="shared" si="13"/>
        <v>148.97225980496663</v>
      </c>
      <c r="J123" s="7">
        <v>366.80102666998937</v>
      </c>
      <c r="K123" s="7">
        <f t="shared" si="14"/>
        <v>5.8500961191385867</v>
      </c>
      <c r="L123" s="7">
        <f t="shared" si="15"/>
        <v>22.019829570639345</v>
      </c>
      <c r="M123" s="7">
        <v>1099.6661836902597</v>
      </c>
      <c r="N123" s="7">
        <f t="shared" si="16"/>
        <v>87.69267812522007</v>
      </c>
      <c r="O123" s="7">
        <f t="shared" si="17"/>
        <v>33.194746506957053</v>
      </c>
    </row>
    <row r="124" spans="3:15" x14ac:dyDescent="0.2">
      <c r="C124">
        <v>105</v>
      </c>
      <c r="D124" s="7">
        <v>3407.49947835695</v>
      </c>
      <c r="E124" s="7">
        <f t="shared" si="10"/>
        <v>101.89890784560258</v>
      </c>
      <c r="F124" s="7">
        <f t="shared" si="11"/>
        <v>275.16409532909267</v>
      </c>
      <c r="G124" s="7">
        <v>2868.1014974422792</v>
      </c>
      <c r="H124" s="7">
        <f t="shared" si="12"/>
        <v>68.614868359863138</v>
      </c>
      <c r="I124" s="7">
        <f t="shared" si="13"/>
        <v>149.10708864718336</v>
      </c>
      <c r="J124" s="7">
        <v>569.09032904178321</v>
      </c>
      <c r="K124" s="7">
        <f t="shared" si="14"/>
        <v>9.0764007821656012</v>
      </c>
      <c r="L124" s="7">
        <f t="shared" si="15"/>
        <v>34.163677701680776</v>
      </c>
      <c r="M124" s="7">
        <v>1097.0727268146093</v>
      </c>
      <c r="N124" s="7">
        <f t="shared" si="16"/>
        <v>87.485863382345244</v>
      </c>
      <c r="O124" s="7">
        <f t="shared" si="17"/>
        <v>33.116459891581613</v>
      </c>
    </row>
    <row r="125" spans="3:15" x14ac:dyDescent="0.2">
      <c r="C125">
        <v>106</v>
      </c>
      <c r="D125" s="7">
        <v>3408.3996002451349</v>
      </c>
      <c r="E125" s="7">
        <f t="shared" si="10"/>
        <v>101.92582536618227</v>
      </c>
      <c r="F125" s="7">
        <f t="shared" si="11"/>
        <v>275.23678242020497</v>
      </c>
      <c r="G125" s="7">
        <v>2870.3946046195306</v>
      </c>
      <c r="H125" s="7">
        <f t="shared" si="12"/>
        <v>68.66972738324236</v>
      </c>
      <c r="I125" s="7">
        <f t="shared" si="13"/>
        <v>149.22630288540364</v>
      </c>
      <c r="J125" s="7">
        <v>771.37362796959133</v>
      </c>
      <c r="K125" s="7">
        <f t="shared" si="14"/>
        <v>12.30260969648471</v>
      </c>
      <c r="L125" s="7">
        <f t="shared" si="15"/>
        <v>46.307165433476328</v>
      </c>
      <c r="M125" s="7">
        <v>1094.7796196373579</v>
      </c>
      <c r="N125" s="7">
        <f t="shared" si="16"/>
        <v>87.302999971081178</v>
      </c>
      <c r="O125" s="7">
        <f t="shared" si="17"/>
        <v>33.047239693133108</v>
      </c>
    </row>
    <row r="126" spans="3:15" x14ac:dyDescent="0.2">
      <c r="C126">
        <v>107</v>
      </c>
      <c r="D126" s="7">
        <v>3409.3050184033859</v>
      </c>
      <c r="E126" s="7">
        <f t="shared" si="10"/>
        <v>101.95290126804385</v>
      </c>
      <c r="F126" s="7">
        <f t="shared" si="11"/>
        <v>275.30989719835594</v>
      </c>
      <c r="G126" s="7">
        <v>2872.3876125071802</v>
      </c>
      <c r="H126" s="7">
        <f t="shared" si="12"/>
        <v>68.717406997779435</v>
      </c>
      <c r="I126" s="7">
        <f t="shared" si="13"/>
        <v>149.32991553789984</v>
      </c>
      <c r="J126" s="7">
        <v>973.65163062733382</v>
      </c>
      <c r="K126" s="7">
        <f t="shared" si="14"/>
        <v>15.528734140786824</v>
      </c>
      <c r="L126" s="7">
        <f t="shared" si="15"/>
        <v>58.450335219149252</v>
      </c>
      <c r="M126" s="7">
        <v>1092.7866117497085</v>
      </c>
      <c r="N126" s="7">
        <f t="shared" si="16"/>
        <v>87.144067922624288</v>
      </c>
      <c r="O126" s="7">
        <f t="shared" si="17"/>
        <v>32.987078352720808</v>
      </c>
    </row>
    <row r="127" spans="3:15" x14ac:dyDescent="0.2">
      <c r="C127">
        <v>108</v>
      </c>
      <c r="D127" s="7">
        <v>3410.2150294581252</v>
      </c>
      <c r="E127" s="7">
        <f t="shared" si="10"/>
        <v>101.98011451728844</v>
      </c>
      <c r="F127" s="7">
        <f t="shared" si="11"/>
        <v>275.38338286437209</v>
      </c>
      <c r="G127" s="7">
        <v>2874.0807976712354</v>
      </c>
      <c r="H127" s="7">
        <f t="shared" si="12"/>
        <v>68.757913819886014</v>
      </c>
      <c r="I127" s="7">
        <f t="shared" si="13"/>
        <v>149.41794098280755</v>
      </c>
      <c r="J127" s="7">
        <v>1175.925040388589</v>
      </c>
      <c r="K127" s="7">
        <f t="shared" si="14"/>
        <v>18.754785333151339</v>
      </c>
      <c r="L127" s="7">
        <f t="shared" si="15"/>
        <v>70.593229283680373</v>
      </c>
      <c r="M127" s="7">
        <v>1091.0934265856531</v>
      </c>
      <c r="N127" s="7">
        <f t="shared" si="16"/>
        <v>87.009045182268991</v>
      </c>
      <c r="O127" s="7">
        <f t="shared" si="17"/>
        <v>32.935967521867077</v>
      </c>
    </row>
    <row r="128" spans="3:15" x14ac:dyDescent="0.2">
      <c r="C128">
        <v>109</v>
      </c>
      <c r="D128" s="7">
        <v>3411.1289338817978</v>
      </c>
      <c r="E128" s="7">
        <f t="shared" si="10"/>
        <v>102.00744419502985</v>
      </c>
      <c r="F128" s="7">
        <f t="shared" si="11"/>
        <v>275.45718292965586</v>
      </c>
      <c r="G128" s="7">
        <v>2875.4744627753116</v>
      </c>
      <c r="H128" s="7">
        <f t="shared" si="12"/>
        <v>68.791255090318458</v>
      </c>
      <c r="I128" s="7">
        <f t="shared" si="13"/>
        <v>149.49039495502691</v>
      </c>
      <c r="J128" s="7">
        <v>1378.1945567809107</v>
      </c>
      <c r="K128" s="7">
        <f t="shared" si="14"/>
        <v>21.980774430317556</v>
      </c>
      <c r="L128" s="7">
        <f t="shared" si="15"/>
        <v>82.735889621165668</v>
      </c>
      <c r="M128" s="7">
        <v>1089.6997614815766</v>
      </c>
      <c r="N128" s="7">
        <f t="shared" si="16"/>
        <v>86.897907614160815</v>
      </c>
      <c r="O128" s="7">
        <f t="shared" si="17"/>
        <v>32.893898064306633</v>
      </c>
    </row>
    <row r="129" spans="3:15" x14ac:dyDescent="0.2">
      <c r="C129">
        <v>110</v>
      </c>
      <c r="D129" s="7">
        <v>3412.0461848546051</v>
      </c>
      <c r="E129" s="7">
        <f t="shared" si="10"/>
        <v>102.03487394900135</v>
      </c>
      <c r="F129" s="7">
        <f t="shared" si="11"/>
        <v>275.53125323714244</v>
      </c>
      <c r="G129" s="7">
        <v>2876.767560971869</v>
      </c>
      <c r="H129" s="7">
        <f t="shared" si="12"/>
        <v>68.822190453872466</v>
      </c>
      <c r="I129" s="7">
        <f t="shared" si="13"/>
        <v>149.55762064686368</v>
      </c>
      <c r="J129" s="7">
        <v>1286.052096462146</v>
      </c>
      <c r="K129" s="7">
        <f t="shared" si="14"/>
        <v>20.511197710720033</v>
      </c>
      <c r="L129" s="7">
        <f t="shared" si="15"/>
        <v>77.204385822338921</v>
      </c>
      <c r="M129" s="7">
        <v>1088.4066632850192</v>
      </c>
      <c r="N129" s="7">
        <f t="shared" si="16"/>
        <v>86.79478973564747</v>
      </c>
      <c r="O129" s="7">
        <f t="shared" si="17"/>
        <v>32.854864339818285</v>
      </c>
    </row>
    <row r="130" spans="3:15" x14ac:dyDescent="0.2">
      <c r="C130">
        <v>111</v>
      </c>
      <c r="D130" s="7">
        <v>3412.9668329276601</v>
      </c>
      <c r="E130" s="7">
        <f t="shared" si="10"/>
        <v>102.06240529089894</v>
      </c>
      <c r="F130" s="7">
        <f t="shared" si="11"/>
        <v>275.6055978689605</v>
      </c>
      <c r="G130" s="7">
        <v>2878.1586544765914</v>
      </c>
      <c r="H130" s="7">
        <f t="shared" si="12"/>
        <v>68.855470202789277</v>
      </c>
      <c r="I130" s="7">
        <f t="shared" si="13"/>
        <v>149.62994092657141</v>
      </c>
      <c r="J130" s="7">
        <v>1193.9062390431354</v>
      </c>
      <c r="K130" s="7">
        <f t="shared" si="14"/>
        <v>19.041566810895304</v>
      </c>
      <c r="L130" s="7">
        <f t="shared" si="15"/>
        <v>71.672678088509258</v>
      </c>
      <c r="M130" s="7">
        <v>1087.015569780297</v>
      </c>
      <c r="N130" s="7">
        <f t="shared" si="16"/>
        <v>86.683857239258145</v>
      </c>
      <c r="O130" s="7">
        <f t="shared" si="17"/>
        <v>32.812872509077643</v>
      </c>
    </row>
    <row r="131" spans="3:15" x14ac:dyDescent="0.2">
      <c r="C131">
        <v>112</v>
      </c>
      <c r="D131" s="7">
        <v>3413.8910763880126</v>
      </c>
      <c r="E131" s="7">
        <f t="shared" si="10"/>
        <v>102.09004415035923</v>
      </c>
      <c r="F131" s="7">
        <f t="shared" si="11"/>
        <v>275.68023283728468</v>
      </c>
      <c r="G131" s="7">
        <v>2879.6474728556914</v>
      </c>
      <c r="H131" s="7">
        <f t="shared" si="12"/>
        <v>68.891087867361037</v>
      </c>
      <c r="I131" s="7">
        <f t="shared" si="13"/>
        <v>149.70734173481682</v>
      </c>
      <c r="J131" s="7">
        <v>1101.7567862368264</v>
      </c>
      <c r="K131" s="7">
        <f t="shared" si="14"/>
        <v>17.57187856837044</v>
      </c>
      <c r="L131" s="7">
        <f t="shared" si="15"/>
        <v>66.140754516091903</v>
      </c>
      <c r="M131" s="7">
        <v>1085.5267514011971</v>
      </c>
      <c r="N131" s="7">
        <f t="shared" si="16"/>
        <v>86.565131690685575</v>
      </c>
      <c r="O131" s="7">
        <f t="shared" si="17"/>
        <v>32.767930735453874</v>
      </c>
    </row>
    <row r="132" spans="3:15" x14ac:dyDescent="0.2">
      <c r="C132">
        <v>113</v>
      </c>
      <c r="D132" s="7">
        <v>3414.8191119744879</v>
      </c>
      <c r="E132" s="7">
        <f t="shared" si="10"/>
        <v>102.11779641072035</v>
      </c>
      <c r="F132" s="7">
        <f t="shared" si="11"/>
        <v>275.75517402926653</v>
      </c>
      <c r="G132" s="7">
        <v>2881.2337373988976</v>
      </c>
      <c r="H132" s="7">
        <f t="shared" si="12"/>
        <v>68.929036779877933</v>
      </c>
      <c r="I132" s="7">
        <f t="shared" si="13"/>
        <v>149.78980858198827</v>
      </c>
      <c r="J132" s="7">
        <v>1009.6035413043946</v>
      </c>
      <c r="K132" s="7">
        <f t="shared" si="14"/>
        <v>16.102129845365148</v>
      </c>
      <c r="L132" s="7">
        <f t="shared" si="15"/>
        <v>60.608603294445516</v>
      </c>
      <c r="M132" s="7">
        <v>1083.9404868579909</v>
      </c>
      <c r="N132" s="7">
        <f t="shared" si="16"/>
        <v>86.43863531562927</v>
      </c>
      <c r="O132" s="7">
        <f t="shared" si="17"/>
        <v>32.720047432151773</v>
      </c>
    </row>
    <row r="133" spans="3:15" x14ac:dyDescent="0.2">
      <c r="C133">
        <v>114</v>
      </c>
      <c r="D133" s="7">
        <v>3415.7511348649932</v>
      </c>
      <c r="E133" s="7">
        <f t="shared" si="10"/>
        <v>102.14566790864215</v>
      </c>
      <c r="F133" s="7">
        <f t="shared" si="11"/>
        <v>275.83043720600972</v>
      </c>
      <c r="G133" s="7">
        <v>2882.9171611553656</v>
      </c>
      <c r="H133" s="7">
        <f t="shared" si="12"/>
        <v>68.969310075487215</v>
      </c>
      <c r="I133" s="7">
        <f t="shared" si="13"/>
        <v>149.87732655006235</v>
      </c>
      <c r="J133" s="7">
        <v>917.44630906793282</v>
      </c>
      <c r="K133" s="7">
        <f t="shared" si="14"/>
        <v>14.632317528994145</v>
      </c>
      <c r="L133" s="7">
        <f t="shared" si="15"/>
        <v>55.076212706633804</v>
      </c>
      <c r="M133" s="7">
        <v>1082.257063101523</v>
      </c>
      <c r="N133" s="7">
        <f t="shared" si="16"/>
        <v>86.304390996931673</v>
      </c>
      <c r="O133" s="7">
        <f t="shared" si="17"/>
        <v>32.669231261127749</v>
      </c>
    </row>
    <row r="134" spans="3:15" x14ac:dyDescent="0.2">
      <c r="C134">
        <v>115</v>
      </c>
      <c r="D134" s="7">
        <v>3416.6873386639982</v>
      </c>
      <c r="E134" s="7">
        <f t="shared" si="10"/>
        <v>102.17366443373201</v>
      </c>
      <c r="F134" s="7">
        <f t="shared" si="11"/>
        <v>275.90603800155878</v>
      </c>
      <c r="G134" s="7">
        <v>2884.6974489702689</v>
      </c>
      <c r="H134" s="7">
        <f t="shared" si="12"/>
        <v>69.01190069306864</v>
      </c>
      <c r="I134" s="7">
        <f t="shared" si="13"/>
        <v>149.96988029450657</v>
      </c>
      <c r="J134" s="7">
        <v>825.28489592297137</v>
      </c>
      <c r="K134" s="7">
        <f t="shared" si="14"/>
        <v>13.162438531466849</v>
      </c>
      <c r="L134" s="7">
        <f t="shared" si="15"/>
        <v>49.543571130177249</v>
      </c>
      <c r="M134" s="7">
        <v>1080.4767752866198</v>
      </c>
      <c r="N134" s="7">
        <f t="shared" si="16"/>
        <v>86.162422271660276</v>
      </c>
      <c r="O134" s="7">
        <f t="shared" si="17"/>
        <v>32.615491131985266</v>
      </c>
    </row>
    <row r="135" spans="3:15" x14ac:dyDescent="0.2">
      <c r="C135">
        <v>116</v>
      </c>
      <c r="D135" s="7">
        <v>3417.6279153901323</v>
      </c>
      <c r="E135" s="7">
        <f t="shared" si="10"/>
        <v>102.20179172817382</v>
      </c>
      <c r="F135" s="7">
        <f t="shared" si="11"/>
        <v>275.98199192189782</v>
      </c>
      <c r="G135" s="7">
        <v>2886.5742975220674</v>
      </c>
      <c r="H135" s="7">
        <f t="shared" si="12"/>
        <v>69.056801376126018</v>
      </c>
      <c r="I135" s="7">
        <f t="shared" si="13"/>
        <v>150.06745404621651</v>
      </c>
      <c r="J135" s="7">
        <v>733.1191098508807</v>
      </c>
      <c r="K135" s="7">
        <f t="shared" si="14"/>
        <v>11.69248979028518</v>
      </c>
      <c r="L135" s="7">
        <f t="shared" si="15"/>
        <v>44.010667037797603</v>
      </c>
      <c r="M135" s="7">
        <v>1078.5999267348209</v>
      </c>
      <c r="N135" s="7">
        <f t="shared" si="16"/>
        <v>86.012753328135645</v>
      </c>
      <c r="O135" s="7">
        <f t="shared" si="17"/>
        <v>32.558836200849854</v>
      </c>
    </row>
    <row r="136" spans="3:15" x14ac:dyDescent="0.2">
      <c r="C136">
        <v>117</v>
      </c>
      <c r="D136" s="7">
        <v>3418.572847959354</v>
      </c>
      <c r="E136" s="7">
        <f t="shared" si="10"/>
        <v>102.23004928108116</v>
      </c>
      <c r="F136" s="7">
        <f t="shared" si="11"/>
        <v>276.05829758744767</v>
      </c>
      <c r="G136" s="7">
        <v>2888.2704401371393</v>
      </c>
      <c r="H136" s="7">
        <f t="shared" si="12"/>
        <v>69.097378950649272</v>
      </c>
      <c r="I136" s="7">
        <f t="shared" si="13"/>
        <v>150.1556332433228</v>
      </c>
      <c r="J136" s="7">
        <v>1051.4624099925063</v>
      </c>
      <c r="K136" s="7">
        <f t="shared" si="14"/>
        <v>16.769735406579048</v>
      </c>
      <c r="L136" s="7">
        <f t="shared" si="15"/>
        <v>63.121478361617186</v>
      </c>
      <c r="M136" s="7">
        <v>1076.9037841197494</v>
      </c>
      <c r="N136" s="7">
        <f t="shared" si="16"/>
        <v>85.877494746391505</v>
      </c>
      <c r="O136" s="7">
        <f t="shared" si="17"/>
        <v>32.50763609577978</v>
      </c>
    </row>
    <row r="137" spans="3:15" x14ac:dyDescent="0.2">
      <c r="C137">
        <v>118</v>
      </c>
      <c r="D137" s="7">
        <v>3419.5216936934412</v>
      </c>
      <c r="E137" s="7">
        <f t="shared" si="10"/>
        <v>102.25842385446894</v>
      </c>
      <c r="F137" s="7">
        <f t="shared" si="11"/>
        <v>276.13491925083611</v>
      </c>
      <c r="G137" s="7">
        <v>2890.0477074201067</v>
      </c>
      <c r="H137" s="7">
        <f t="shared" si="12"/>
        <v>69.139897306701116</v>
      </c>
      <c r="I137" s="7">
        <f t="shared" si="13"/>
        <v>150.24802995611259</v>
      </c>
      <c r="J137" s="7">
        <v>571.58121519214774</v>
      </c>
      <c r="K137" s="7">
        <f t="shared" si="14"/>
        <v>9.116127834005546</v>
      </c>
      <c r="L137" s="7">
        <f t="shared" si="15"/>
        <v>34.313210785077082</v>
      </c>
      <c r="M137" s="7">
        <v>1075.1265168367818</v>
      </c>
      <c r="N137" s="7">
        <f t="shared" si="16"/>
        <v>85.735766892885309</v>
      </c>
      <c r="O137" s="7">
        <f t="shared" si="17"/>
        <v>32.453987145027071</v>
      </c>
    </row>
    <row r="138" spans="3:15" x14ac:dyDescent="0.2">
      <c r="C138">
        <v>119</v>
      </c>
      <c r="D138" s="7">
        <v>3416.3465558225039</v>
      </c>
      <c r="E138" s="7">
        <f t="shared" si="10"/>
        <v>102.16347355928541</v>
      </c>
      <c r="F138" s="7">
        <f t="shared" si="11"/>
        <v>275.87851893578079</v>
      </c>
      <c r="G138" s="7">
        <v>0</v>
      </c>
      <c r="H138" s="7">
        <f t="shared" si="12"/>
        <v>0</v>
      </c>
      <c r="I138" s="7">
        <f t="shared" si="13"/>
        <v>0</v>
      </c>
      <c r="J138" s="7">
        <v>95.824003996815009</v>
      </c>
      <c r="K138" s="7">
        <f t="shared" si="14"/>
        <v>1.5282935246700959</v>
      </c>
      <c r="L138" s="7">
        <f t="shared" si="15"/>
        <v>5.7525145334026595</v>
      </c>
      <c r="M138" s="7">
        <v>0</v>
      </c>
      <c r="N138" s="7">
        <f t="shared" si="16"/>
        <v>0</v>
      </c>
      <c r="O138" s="7">
        <f t="shared" si="17"/>
        <v>0</v>
      </c>
    </row>
    <row r="139" spans="3:15" x14ac:dyDescent="0.2">
      <c r="C139">
        <v>120</v>
      </c>
      <c r="D139" s="7">
        <v>3033.238210753048</v>
      </c>
      <c r="E139" s="7">
        <f t="shared" si="10"/>
        <v>90.706884292854312</v>
      </c>
      <c r="F139" s="7">
        <f t="shared" si="11"/>
        <v>244.9415630085289</v>
      </c>
      <c r="G139" s="7">
        <v>0</v>
      </c>
      <c r="H139" s="7">
        <f t="shared" si="12"/>
        <v>0</v>
      </c>
      <c r="I139" s="7">
        <f t="shared" si="13"/>
        <v>0</v>
      </c>
      <c r="J139" s="7">
        <v>0</v>
      </c>
      <c r="K139" s="7">
        <f t="shared" si="14"/>
        <v>0</v>
      </c>
      <c r="L139" s="7">
        <f t="shared" si="15"/>
        <v>0</v>
      </c>
      <c r="M139" s="7">
        <v>0</v>
      </c>
      <c r="N139" s="7">
        <f t="shared" si="16"/>
        <v>0</v>
      </c>
      <c r="O139" s="7">
        <f t="shared" si="17"/>
        <v>0</v>
      </c>
    </row>
    <row r="140" spans="3:15" x14ac:dyDescent="0.2">
      <c r="C140">
        <v>121</v>
      </c>
      <c r="D140" s="7">
        <v>2554.3058616867775</v>
      </c>
      <c r="E140" s="7">
        <f t="shared" si="10"/>
        <v>76.384744667666794</v>
      </c>
      <c r="F140" s="7">
        <f t="shared" si="11"/>
        <v>206.2665793756033</v>
      </c>
      <c r="G140" s="7">
        <v>0</v>
      </c>
      <c r="H140" s="7">
        <f t="shared" si="12"/>
        <v>0</v>
      </c>
      <c r="I140" s="7">
        <f t="shared" si="13"/>
        <v>0</v>
      </c>
      <c r="J140" s="7">
        <v>0</v>
      </c>
      <c r="K140" s="7">
        <f t="shared" si="14"/>
        <v>0</v>
      </c>
      <c r="L140" s="7">
        <f t="shared" si="15"/>
        <v>0</v>
      </c>
      <c r="M140" s="7">
        <v>0</v>
      </c>
      <c r="N140" s="7">
        <f t="shared" si="16"/>
        <v>0</v>
      </c>
      <c r="O140" s="7">
        <f t="shared" si="17"/>
        <v>0</v>
      </c>
    </row>
    <row r="141" spans="3:15" x14ac:dyDescent="0.2">
      <c r="C141">
        <v>122</v>
      </c>
      <c r="D141" s="7">
        <v>2554.3058616867775</v>
      </c>
      <c r="E141" s="7">
        <f t="shared" si="10"/>
        <v>76.384744667666794</v>
      </c>
      <c r="F141" s="7">
        <f t="shared" si="11"/>
        <v>206.2665793756033</v>
      </c>
      <c r="G141" s="7">
        <v>0</v>
      </c>
      <c r="H141" s="7">
        <f t="shared" si="12"/>
        <v>0</v>
      </c>
      <c r="I141" s="7">
        <f t="shared" si="13"/>
        <v>0</v>
      </c>
      <c r="J141" s="7">
        <v>0</v>
      </c>
      <c r="K141" s="7">
        <f t="shared" si="14"/>
        <v>0</v>
      </c>
      <c r="L141" s="7">
        <f t="shared" si="15"/>
        <v>0</v>
      </c>
      <c r="M141" s="7">
        <v>0</v>
      </c>
      <c r="N141" s="7">
        <f t="shared" si="16"/>
        <v>0</v>
      </c>
      <c r="O141" s="7">
        <f t="shared" si="17"/>
        <v>0</v>
      </c>
    </row>
    <row r="142" spans="3:15" x14ac:dyDescent="0.2">
      <c r="C142">
        <v>123</v>
      </c>
      <c r="D142" s="7">
        <v>2736.7562803786905</v>
      </c>
      <c r="E142" s="7">
        <f t="shared" si="10"/>
        <v>81.84079785821443</v>
      </c>
      <c r="F142" s="7">
        <f t="shared" si="11"/>
        <v>220.9999064738607</v>
      </c>
      <c r="G142" s="7">
        <v>0</v>
      </c>
      <c r="H142" s="7">
        <f t="shared" si="12"/>
        <v>0</v>
      </c>
      <c r="I142" s="7">
        <f t="shared" si="13"/>
        <v>0</v>
      </c>
      <c r="J142" s="7">
        <v>0</v>
      </c>
      <c r="K142" s="7">
        <f t="shared" si="14"/>
        <v>0</v>
      </c>
      <c r="L142" s="7">
        <f t="shared" si="15"/>
        <v>0</v>
      </c>
      <c r="M142" s="7">
        <v>0</v>
      </c>
      <c r="N142" s="7">
        <f t="shared" si="16"/>
        <v>0</v>
      </c>
      <c r="O142" s="7">
        <f t="shared" si="17"/>
        <v>0</v>
      </c>
    </row>
    <row r="143" spans="3:15" x14ac:dyDescent="0.2">
      <c r="C143">
        <v>124</v>
      </c>
      <c r="D143" s="7">
        <v>2919.2066990706026</v>
      </c>
      <c r="E143" s="7">
        <f t="shared" si="10"/>
        <v>87.296851048762051</v>
      </c>
      <c r="F143" s="7">
        <f t="shared" si="11"/>
        <v>235.73323357211805</v>
      </c>
      <c r="G143" s="7">
        <v>0</v>
      </c>
      <c r="H143" s="7">
        <f t="shared" si="12"/>
        <v>0</v>
      </c>
      <c r="I143" s="7">
        <f t="shared" si="13"/>
        <v>0</v>
      </c>
      <c r="J143" s="7">
        <v>0</v>
      </c>
      <c r="K143" s="7">
        <f t="shared" si="14"/>
        <v>0</v>
      </c>
      <c r="L143" s="7">
        <f t="shared" si="15"/>
        <v>0</v>
      </c>
      <c r="M143" s="7">
        <v>0</v>
      </c>
      <c r="N143" s="7">
        <f t="shared" si="16"/>
        <v>0</v>
      </c>
      <c r="O143" s="7">
        <f t="shared" si="17"/>
        <v>0</v>
      </c>
    </row>
    <row r="144" spans="3:15" x14ac:dyDescent="0.2">
      <c r="C144">
        <v>125</v>
      </c>
      <c r="D144" s="7">
        <v>3101.6571177625156</v>
      </c>
      <c r="E144" s="7">
        <f t="shared" si="10"/>
        <v>92.752904239309686</v>
      </c>
      <c r="F144" s="7">
        <f t="shared" si="11"/>
        <v>250.46656067037546</v>
      </c>
      <c r="G144" s="7">
        <v>0</v>
      </c>
      <c r="H144" s="7">
        <f t="shared" si="12"/>
        <v>0</v>
      </c>
      <c r="I144" s="7">
        <f t="shared" si="13"/>
        <v>0</v>
      </c>
      <c r="J144" s="7">
        <v>0</v>
      </c>
      <c r="K144" s="7">
        <f t="shared" si="14"/>
        <v>0</v>
      </c>
      <c r="L144" s="7">
        <f t="shared" si="15"/>
        <v>0</v>
      </c>
      <c r="M144" s="7">
        <v>0</v>
      </c>
      <c r="N144" s="7">
        <f t="shared" si="16"/>
        <v>0</v>
      </c>
      <c r="O144" s="7">
        <f t="shared" si="17"/>
        <v>0</v>
      </c>
    </row>
    <row r="145" spans="3:15" x14ac:dyDescent="0.2">
      <c r="C145">
        <v>126</v>
      </c>
      <c r="D145" s="7">
        <v>3284.1075364544286</v>
      </c>
      <c r="E145" s="7">
        <f t="shared" si="10"/>
        <v>98.208957429857321</v>
      </c>
      <c r="F145" s="7">
        <f t="shared" si="11"/>
        <v>265.19988776863283</v>
      </c>
      <c r="G145" s="7">
        <v>0</v>
      </c>
      <c r="H145" s="7">
        <f t="shared" si="12"/>
        <v>0</v>
      </c>
      <c r="I145" s="7">
        <f t="shared" si="13"/>
        <v>0</v>
      </c>
      <c r="J145" s="7">
        <v>0</v>
      </c>
      <c r="K145" s="7">
        <f t="shared" si="14"/>
        <v>0</v>
      </c>
      <c r="L145" s="7">
        <f t="shared" si="15"/>
        <v>0</v>
      </c>
      <c r="M145" s="7">
        <v>0</v>
      </c>
      <c r="N145" s="7">
        <f t="shared" si="16"/>
        <v>0</v>
      </c>
      <c r="O145" s="7">
        <f t="shared" si="17"/>
        <v>0</v>
      </c>
    </row>
    <row r="146" spans="3:15" x14ac:dyDescent="0.2">
      <c r="C146">
        <v>127</v>
      </c>
      <c r="D146" s="7">
        <v>3383.5081219151266</v>
      </c>
      <c r="E146" s="7">
        <f t="shared" si="10"/>
        <v>101.18146297593083</v>
      </c>
      <c r="F146" s="7">
        <f t="shared" si="11"/>
        <v>273.22673336235943</v>
      </c>
      <c r="G146" s="7">
        <v>2903.6572380282601</v>
      </c>
      <c r="H146" s="7">
        <f t="shared" si="12"/>
        <v>69.465484163355512</v>
      </c>
      <c r="I146" s="7">
        <f t="shared" si="13"/>
        <v>150.95556331525145</v>
      </c>
      <c r="J146" s="7">
        <v>83.049833231214507</v>
      </c>
      <c r="K146" s="7">
        <f t="shared" si="14"/>
        <v>1.3245587437195296</v>
      </c>
      <c r="L146" s="7">
        <f t="shared" si="15"/>
        <v>4.9856544574687964</v>
      </c>
      <c r="M146" s="7">
        <v>1061.5169862286284</v>
      </c>
      <c r="N146" s="7">
        <f t="shared" si="16"/>
        <v>84.650477370704024</v>
      </c>
      <c r="O146" s="7">
        <f t="shared" si="17"/>
        <v>32.043167093163433</v>
      </c>
    </row>
    <row r="147" spans="3:15" x14ac:dyDescent="0.2">
      <c r="C147">
        <v>128</v>
      </c>
      <c r="D147" s="7">
        <v>3385.5818829633945</v>
      </c>
      <c r="E147" s="7">
        <f t="shared" si="10"/>
        <v>101.24347736134554</v>
      </c>
      <c r="F147" s="7">
        <f t="shared" si="11"/>
        <v>273.3941947475775</v>
      </c>
      <c r="G147" s="7">
        <v>2906.0102851151551</v>
      </c>
      <c r="H147" s="7">
        <f t="shared" si="12"/>
        <v>69.521777155864953</v>
      </c>
      <c r="I147" s="7">
        <f t="shared" si="13"/>
        <v>151.07789371425912</v>
      </c>
      <c r="J147" s="7">
        <v>263.42649087485916</v>
      </c>
      <c r="K147" s="7">
        <f t="shared" si="14"/>
        <v>4.2013794397904176</v>
      </c>
      <c r="L147" s="7">
        <f t="shared" si="15"/>
        <v>15.814040887826581</v>
      </c>
      <c r="M147" s="7">
        <v>1059.1639391417332</v>
      </c>
      <c r="N147" s="7">
        <f t="shared" si="16"/>
        <v>84.462834062339169</v>
      </c>
      <c r="O147" s="7">
        <f t="shared" si="17"/>
        <v>31.972137536442585</v>
      </c>
    </row>
    <row r="148" spans="3:15" x14ac:dyDescent="0.2">
      <c r="C148">
        <v>129</v>
      </c>
      <c r="D148" s="7">
        <v>3383.5203971219967</v>
      </c>
      <c r="E148" s="7">
        <f t="shared" si="10"/>
        <v>101.18183005747598</v>
      </c>
      <c r="F148" s="7">
        <f t="shared" si="11"/>
        <v>273.22772461597953</v>
      </c>
      <c r="G148" s="7">
        <v>0</v>
      </c>
      <c r="H148" s="7">
        <f t="shared" si="12"/>
        <v>0</v>
      </c>
      <c r="I148" s="7">
        <f t="shared" si="13"/>
        <v>0</v>
      </c>
      <c r="J148" s="7">
        <v>447.93839540816998</v>
      </c>
      <c r="K148" s="7">
        <f t="shared" si="14"/>
        <v>7.1441530368129191</v>
      </c>
      <c r="L148" s="7">
        <f t="shared" si="15"/>
        <v>26.890674801485144</v>
      </c>
      <c r="M148" s="7">
        <v>0</v>
      </c>
      <c r="N148" s="7">
        <f t="shared" si="16"/>
        <v>0</v>
      </c>
      <c r="O148" s="7">
        <f t="shared" si="17"/>
        <v>0</v>
      </c>
    </row>
    <row r="149" spans="3:15" x14ac:dyDescent="0.2">
      <c r="C149">
        <v>130</v>
      </c>
      <c r="D149" s="7">
        <v>3379.0874526143966</v>
      </c>
      <c r="E149" s="7">
        <f t="shared" ref="E149:E212" si="18">D149/($C$3*($D$8-$D$6))</f>
        <v>101.04926592746402</v>
      </c>
      <c r="F149" s="7">
        <f t="shared" ref="F149:F212" si="19">E149*$C$3*((($D$8)-($D$6))-$C$2*LN(($D$8)/($D$6)))</f>
        <v>272.86975327282147</v>
      </c>
      <c r="G149" s="7">
        <v>0</v>
      </c>
      <c r="H149" s="7">
        <f t="shared" ref="H149:H212" si="20">G149/($C$3*($D$6-$D$9))</f>
        <v>0</v>
      </c>
      <c r="I149" s="7">
        <f t="shared" ref="I149:I212" si="21">ABS(H149*$C$3*(($D$9-$D$6)-$C$2*(LN($D$9/$D$6))))</f>
        <v>0</v>
      </c>
      <c r="J149" s="7">
        <v>634.82175860768257</v>
      </c>
      <c r="K149" s="7">
        <f t="shared" ref="K149:K212" si="22">J149/($C$3*($D$10-$D$7))</f>
        <v>10.124748941111365</v>
      </c>
      <c r="L149" s="7">
        <f t="shared" ref="L149:L212" si="23">K149*$C$3*(($D$10-$D$7)-$C$2*LN($D$10/$D$7))</f>
        <v>38.109672317933068</v>
      </c>
      <c r="M149" s="7">
        <v>0</v>
      </c>
      <c r="N149" s="7">
        <f t="shared" ref="N149:N212" si="24">M149/($C$3*($D$7-$D$11))</f>
        <v>0</v>
      </c>
      <c r="O149" s="7">
        <f t="shared" ref="O149:O212" si="25">ABS(N149*$C$3*(($D$11-$D$7)-$C$2*LN($D$11/$D$7)))</f>
        <v>0</v>
      </c>
    </row>
    <row r="150" spans="3:15" x14ac:dyDescent="0.2">
      <c r="C150">
        <v>131</v>
      </c>
      <c r="D150" s="7">
        <v>3374.6820083129969</v>
      </c>
      <c r="E150" s="7">
        <f t="shared" si="18"/>
        <v>100.91752417203939</v>
      </c>
      <c r="F150" s="7">
        <f t="shared" si="19"/>
        <v>272.51400264001381</v>
      </c>
      <c r="G150" s="7">
        <v>0</v>
      </c>
      <c r="H150" s="7">
        <f t="shared" si="20"/>
        <v>0</v>
      </c>
      <c r="I150" s="7">
        <f t="shared" si="21"/>
        <v>0</v>
      </c>
      <c r="J150" s="7">
        <v>821.67762160099483</v>
      </c>
      <c r="K150" s="7">
        <f t="shared" si="22"/>
        <v>13.104906245629902</v>
      </c>
      <c r="L150" s="7">
        <f t="shared" si="23"/>
        <v>49.327018939727871</v>
      </c>
      <c r="M150" s="7">
        <v>0</v>
      </c>
      <c r="N150" s="7">
        <f t="shared" si="24"/>
        <v>0</v>
      </c>
      <c r="O150" s="7">
        <f t="shared" si="25"/>
        <v>0</v>
      </c>
    </row>
    <row r="151" spans="3:15" x14ac:dyDescent="0.2">
      <c r="C151">
        <v>132</v>
      </c>
      <c r="D151" s="7">
        <v>3370.3039659775927</v>
      </c>
      <c r="E151" s="7">
        <f t="shared" si="18"/>
        <v>100.78660185339692</v>
      </c>
      <c r="F151" s="7">
        <f t="shared" si="19"/>
        <v>272.1604647844145</v>
      </c>
      <c r="G151" s="7">
        <v>0</v>
      </c>
      <c r="H151" s="7">
        <f t="shared" si="20"/>
        <v>0</v>
      </c>
      <c r="I151" s="7">
        <f t="shared" si="21"/>
        <v>0</v>
      </c>
      <c r="J151" s="7">
        <v>1008.506082628312</v>
      </c>
      <c r="K151" s="7">
        <f t="shared" si="22"/>
        <v>16.084626517197961</v>
      </c>
      <c r="L151" s="7">
        <f t="shared" si="23"/>
        <v>60.542720564433687</v>
      </c>
      <c r="M151" s="7">
        <v>0</v>
      </c>
      <c r="N151" s="7">
        <f t="shared" si="24"/>
        <v>0</v>
      </c>
      <c r="O151" s="7">
        <f t="shared" si="25"/>
        <v>0</v>
      </c>
    </row>
    <row r="152" spans="3:15" x14ac:dyDescent="0.2">
      <c r="C152">
        <v>133</v>
      </c>
      <c r="D152" s="7">
        <v>3365.9532276452023</v>
      </c>
      <c r="E152" s="7">
        <f t="shared" si="18"/>
        <v>100.6564960420216</v>
      </c>
      <c r="F152" s="7">
        <f t="shared" si="19"/>
        <v>271.80913179526817</v>
      </c>
      <c r="G152" s="7">
        <v>0</v>
      </c>
      <c r="H152" s="7">
        <f t="shared" si="20"/>
        <v>0</v>
      </c>
      <c r="I152" s="7">
        <f t="shared" si="21"/>
        <v>0</v>
      </c>
      <c r="J152" s="7">
        <v>1104.082030306658</v>
      </c>
      <c r="K152" s="7">
        <f t="shared" si="22"/>
        <v>17.608963800744149</v>
      </c>
      <c r="L152" s="7">
        <f t="shared" si="23"/>
        <v>66.280343760409636</v>
      </c>
      <c r="M152" s="7">
        <v>0</v>
      </c>
      <c r="N152" s="7">
        <f t="shared" si="24"/>
        <v>0</v>
      </c>
      <c r="O152" s="7">
        <f t="shared" si="25"/>
        <v>0</v>
      </c>
    </row>
    <row r="153" spans="3:15" x14ac:dyDescent="0.2">
      <c r="C153">
        <v>134</v>
      </c>
      <c r="D153" s="7">
        <v>3361.6296956294218</v>
      </c>
      <c r="E153" s="7">
        <f t="shared" si="18"/>
        <v>100.52720381666931</v>
      </c>
      <c r="F153" s="7">
        <f t="shared" si="19"/>
        <v>271.45999578415353</v>
      </c>
      <c r="G153" s="7">
        <v>0</v>
      </c>
      <c r="H153" s="7">
        <f t="shared" si="20"/>
        <v>0</v>
      </c>
      <c r="I153" s="7">
        <f t="shared" si="21"/>
        <v>0</v>
      </c>
      <c r="J153" s="7">
        <v>1108.4055623224385</v>
      </c>
      <c r="K153" s="7">
        <f t="shared" si="22"/>
        <v>17.67791965426537</v>
      </c>
      <c r="L153" s="7">
        <f t="shared" si="23"/>
        <v>66.539894391974101</v>
      </c>
      <c r="M153" s="7">
        <v>0</v>
      </c>
      <c r="N153" s="7">
        <f t="shared" si="24"/>
        <v>0</v>
      </c>
      <c r="O153" s="7">
        <f t="shared" si="25"/>
        <v>0</v>
      </c>
    </row>
    <row r="154" spans="3:15" x14ac:dyDescent="0.2">
      <c r="C154">
        <v>135</v>
      </c>
      <c r="D154" s="7">
        <v>3357.3332725197615</v>
      </c>
      <c r="E154" s="7">
        <f t="shared" si="18"/>
        <v>100.39872226434694</v>
      </c>
      <c r="F154" s="7">
        <f t="shared" si="19"/>
        <v>271.11304888493032</v>
      </c>
      <c r="G154" s="7">
        <v>0</v>
      </c>
      <c r="H154" s="7">
        <f t="shared" si="20"/>
        <v>0</v>
      </c>
      <c r="I154" s="7">
        <f t="shared" si="21"/>
        <v>0</v>
      </c>
      <c r="J154" s="7">
        <v>1568.8280321618804</v>
      </c>
      <c r="K154" s="7">
        <f t="shared" si="22"/>
        <v>25.02118073623414</v>
      </c>
      <c r="L154" s="7">
        <f t="shared" si="23"/>
        <v>94.180014182257224</v>
      </c>
      <c r="M154" s="7">
        <v>0</v>
      </c>
      <c r="N154" s="7">
        <f t="shared" si="24"/>
        <v>0</v>
      </c>
      <c r="O154" s="7">
        <f t="shared" si="25"/>
        <v>0</v>
      </c>
    </row>
    <row r="155" spans="3:15" x14ac:dyDescent="0.2">
      <c r="C155">
        <v>136</v>
      </c>
      <c r="D155" s="7">
        <v>3355.4579349690989</v>
      </c>
      <c r="E155" s="7">
        <f t="shared" si="18"/>
        <v>100.34264159596589</v>
      </c>
      <c r="F155" s="7">
        <f t="shared" si="19"/>
        <v>270.96161069283602</v>
      </c>
      <c r="G155" s="7">
        <v>2906.3505630344052</v>
      </c>
      <c r="H155" s="7">
        <f t="shared" si="20"/>
        <v>69.529917775942721</v>
      </c>
      <c r="I155" s="7">
        <f t="shared" si="21"/>
        <v>151.0955841097753</v>
      </c>
      <c r="J155" s="7">
        <v>1753.153788404456</v>
      </c>
      <c r="K155" s="7">
        <f t="shared" si="22"/>
        <v>27.96098546099611</v>
      </c>
      <c r="L155" s="7">
        <f t="shared" si="23"/>
        <v>105.24547322633032</v>
      </c>
      <c r="M155" s="7">
        <v>1058.823661222483</v>
      </c>
      <c r="N155" s="7">
        <f t="shared" si="24"/>
        <v>84.435698662079986</v>
      </c>
      <c r="O155" s="7">
        <f t="shared" si="25"/>
        <v>31.961865838140909</v>
      </c>
    </row>
    <row r="156" spans="3:15" x14ac:dyDescent="0.2">
      <c r="C156">
        <v>137</v>
      </c>
      <c r="D156" s="7">
        <v>3357.7288356313484</v>
      </c>
      <c r="E156" s="7">
        <f t="shared" si="18"/>
        <v>100.41055130476521</v>
      </c>
      <c r="F156" s="7">
        <f t="shared" si="19"/>
        <v>271.14499159436775</v>
      </c>
      <c r="G156" s="7">
        <v>2906.4977428812599</v>
      </c>
      <c r="H156" s="7">
        <f t="shared" si="20"/>
        <v>69.533438824910533</v>
      </c>
      <c r="I156" s="7">
        <f t="shared" si="21"/>
        <v>151.10323570735358</v>
      </c>
      <c r="J156" s="7">
        <v>1495.4523015735285</v>
      </c>
      <c r="K156" s="7">
        <f t="shared" si="22"/>
        <v>23.850913900694238</v>
      </c>
      <c r="L156" s="7">
        <f t="shared" si="23"/>
        <v>89.775116254775909</v>
      </c>
      <c r="M156" s="7">
        <v>1058.6764813756283</v>
      </c>
      <c r="N156" s="7">
        <f t="shared" si="24"/>
        <v>84.423961832187274</v>
      </c>
      <c r="O156" s="7">
        <f t="shared" si="25"/>
        <v>31.957423037425805</v>
      </c>
    </row>
    <row r="157" spans="3:15" x14ac:dyDescent="0.2">
      <c r="C157">
        <v>138</v>
      </c>
      <c r="D157" s="7">
        <v>3359.9973255642376</v>
      </c>
      <c r="E157" s="7">
        <f t="shared" si="18"/>
        <v>100.47838892237553</v>
      </c>
      <c r="F157" s="7">
        <f t="shared" si="19"/>
        <v>271.32817782348133</v>
      </c>
      <c r="G157" s="7">
        <v>2906.9652531374045</v>
      </c>
      <c r="H157" s="7">
        <f t="shared" si="20"/>
        <v>69.544623280799158</v>
      </c>
      <c r="I157" s="7">
        <f t="shared" si="21"/>
        <v>151.12754066771447</v>
      </c>
      <c r="J157" s="7">
        <v>1237.7532254719613</v>
      </c>
      <c r="K157" s="7">
        <f t="shared" si="22"/>
        <v>19.740880789026498</v>
      </c>
      <c r="L157" s="7">
        <f t="shared" si="23"/>
        <v>74.304904004325849</v>
      </c>
      <c r="M157" s="7">
        <v>1058.208971119484</v>
      </c>
      <c r="N157" s="7">
        <f t="shared" si="24"/>
        <v>84.386680312558539</v>
      </c>
      <c r="O157" s="7">
        <f t="shared" si="25"/>
        <v>31.943310677991388</v>
      </c>
    </row>
    <row r="158" spans="3:15" x14ac:dyDescent="0.2">
      <c r="C158">
        <v>139</v>
      </c>
      <c r="D158" s="7">
        <v>3362.2640554266582</v>
      </c>
      <c r="E158" s="7">
        <f t="shared" si="18"/>
        <v>100.54617390629959</v>
      </c>
      <c r="F158" s="7">
        <f t="shared" si="19"/>
        <v>271.51122192250756</v>
      </c>
      <c r="G158" s="7">
        <v>2907.6664014300823</v>
      </c>
      <c r="H158" s="7">
        <f t="shared" si="20"/>
        <v>69.561397163399107</v>
      </c>
      <c r="I158" s="7">
        <f t="shared" si="21"/>
        <v>151.16399202089164</v>
      </c>
      <c r="J158" s="7">
        <v>1107.7712025252022</v>
      </c>
      <c r="K158" s="7">
        <f t="shared" si="22"/>
        <v>17.667802273129222</v>
      </c>
      <c r="L158" s="7">
        <f t="shared" si="23"/>
        <v>66.501812452159413</v>
      </c>
      <c r="M158" s="7">
        <v>1057.5078228268064</v>
      </c>
      <c r="N158" s="7">
        <f t="shared" si="24"/>
        <v>84.330767370558732</v>
      </c>
      <c r="O158" s="7">
        <f t="shared" si="25"/>
        <v>31.922145673388705</v>
      </c>
    </row>
    <row r="159" spans="3:15" x14ac:dyDescent="0.2">
      <c r="C159">
        <v>140</v>
      </c>
      <c r="D159" s="7">
        <v>3364.5295430720075</v>
      </c>
      <c r="E159" s="7">
        <f t="shared" si="18"/>
        <v>100.61392174258397</v>
      </c>
      <c r="F159" s="7">
        <f t="shared" si="19"/>
        <v>271.69416570940217</v>
      </c>
      <c r="G159" s="7">
        <v>2908.686976405007</v>
      </c>
      <c r="H159" s="7">
        <f t="shared" si="20"/>
        <v>69.585812832655677</v>
      </c>
      <c r="I159" s="7">
        <f t="shared" si="21"/>
        <v>151.21704975381806</v>
      </c>
      <c r="J159" s="7">
        <v>722.35983562683532</v>
      </c>
      <c r="K159" s="7">
        <f t="shared" si="22"/>
        <v>11.520890520364201</v>
      </c>
      <c r="L159" s="7">
        <f t="shared" si="23"/>
        <v>43.364765397695578</v>
      </c>
      <c r="M159" s="7">
        <v>1056.4872478518812</v>
      </c>
      <c r="N159" s="7">
        <f t="shared" si="24"/>
        <v>84.24938180637011</v>
      </c>
      <c r="O159" s="7">
        <f t="shared" si="25"/>
        <v>31.891338390154527</v>
      </c>
    </row>
    <row r="160" spans="3:15" x14ac:dyDescent="0.2">
      <c r="C160">
        <v>141</v>
      </c>
      <c r="D160" s="7">
        <v>3366.794689771084</v>
      </c>
      <c r="E160" s="7">
        <f t="shared" si="18"/>
        <v>100.68165938310659</v>
      </c>
      <c r="F160" s="7">
        <f t="shared" si="19"/>
        <v>271.87708196403344</v>
      </c>
      <c r="G160" s="7">
        <v>2910.1124791040411</v>
      </c>
      <c r="H160" s="7">
        <f t="shared" si="20"/>
        <v>69.619915768039263</v>
      </c>
      <c r="I160" s="7">
        <f t="shared" si="21"/>
        <v>151.29115890145499</v>
      </c>
      <c r="J160" s="7">
        <v>464.66410275908129</v>
      </c>
      <c r="K160" s="7">
        <f t="shared" si="22"/>
        <v>7.4109107298099097</v>
      </c>
      <c r="L160" s="7">
        <f t="shared" si="23"/>
        <v>27.894753848534304</v>
      </c>
      <c r="M160" s="7">
        <v>1055.0617451528476</v>
      </c>
      <c r="N160" s="7">
        <f t="shared" si="24"/>
        <v>84.135705355091517</v>
      </c>
      <c r="O160" s="7">
        <f t="shared" si="25"/>
        <v>31.848307876493912</v>
      </c>
    </row>
    <row r="161" spans="3:15" x14ac:dyDescent="0.2">
      <c r="C161">
        <v>142</v>
      </c>
      <c r="D161" s="7">
        <v>3369.0602619248098</v>
      </c>
      <c r="E161" s="7">
        <f t="shared" si="18"/>
        <v>100.74940974655533</v>
      </c>
      <c r="F161" s="7">
        <f t="shared" si="19"/>
        <v>272.06003257519046</v>
      </c>
      <c r="G161" s="7">
        <v>2911.8560480639862</v>
      </c>
      <c r="H161" s="7">
        <f t="shared" si="20"/>
        <v>69.661627944114514</v>
      </c>
      <c r="I161" s="7">
        <f t="shared" si="21"/>
        <v>151.38180370314871</v>
      </c>
      <c r="J161" s="7">
        <v>206.96794443667795</v>
      </c>
      <c r="K161" s="7">
        <f t="shared" si="22"/>
        <v>3.3009241536950236</v>
      </c>
      <c r="L161" s="7">
        <f t="shared" si="23"/>
        <v>12.424716758444331</v>
      </c>
      <c r="M161" s="7">
        <v>1053.318176192902</v>
      </c>
      <c r="N161" s="7">
        <f t="shared" si="24"/>
        <v>83.996664768174014</v>
      </c>
      <c r="O161" s="7">
        <f t="shared" si="25"/>
        <v>31.795676150156229</v>
      </c>
    </row>
    <row r="162" spans="3:15" x14ac:dyDescent="0.2">
      <c r="C162">
        <v>143</v>
      </c>
      <c r="D162" s="7">
        <v>2873.5940943976243</v>
      </c>
      <c r="E162" s="7">
        <f t="shared" si="18"/>
        <v>85.932837751125135</v>
      </c>
      <c r="F162" s="7">
        <f t="shared" si="19"/>
        <v>232.0499017975537</v>
      </c>
      <c r="G162" s="7">
        <v>0</v>
      </c>
      <c r="H162" s="7">
        <f t="shared" si="20"/>
        <v>0</v>
      </c>
      <c r="I162" s="7">
        <f t="shared" si="21"/>
        <v>0</v>
      </c>
      <c r="J162" s="7">
        <v>0</v>
      </c>
      <c r="K162" s="7">
        <f t="shared" si="22"/>
        <v>0</v>
      </c>
      <c r="L162" s="7">
        <f t="shared" si="23"/>
        <v>0</v>
      </c>
      <c r="M162" s="7">
        <v>0</v>
      </c>
      <c r="N162" s="7">
        <f t="shared" si="24"/>
        <v>0</v>
      </c>
      <c r="O162" s="7">
        <f t="shared" si="25"/>
        <v>0</v>
      </c>
    </row>
    <row r="163" spans="3:15" x14ac:dyDescent="0.2">
      <c r="C163">
        <v>144</v>
      </c>
      <c r="D163" s="7">
        <v>2713.9499780422011</v>
      </c>
      <c r="E163" s="7">
        <f t="shared" si="18"/>
        <v>81.158791209395972</v>
      </c>
      <c r="F163" s="7">
        <f t="shared" si="19"/>
        <v>219.15824058657853</v>
      </c>
      <c r="G163" s="7">
        <v>0</v>
      </c>
      <c r="H163" s="7">
        <f t="shared" si="20"/>
        <v>0</v>
      </c>
      <c r="I163" s="7">
        <f t="shared" si="21"/>
        <v>0</v>
      </c>
      <c r="J163" s="7">
        <v>0</v>
      </c>
      <c r="K163" s="7">
        <f t="shared" si="22"/>
        <v>0</v>
      </c>
      <c r="L163" s="7">
        <f t="shared" si="23"/>
        <v>0</v>
      </c>
      <c r="M163" s="7">
        <v>0</v>
      </c>
      <c r="N163" s="7">
        <f t="shared" si="24"/>
        <v>0</v>
      </c>
      <c r="O163" s="7">
        <f t="shared" si="25"/>
        <v>0</v>
      </c>
    </row>
    <row r="164" spans="3:15" x14ac:dyDescent="0.2">
      <c r="C164">
        <v>145</v>
      </c>
      <c r="D164" s="7">
        <v>2554.3058616867775</v>
      </c>
      <c r="E164" s="7">
        <f t="shared" si="18"/>
        <v>76.384744667666794</v>
      </c>
      <c r="F164" s="7">
        <f t="shared" si="19"/>
        <v>206.2665793756033</v>
      </c>
      <c r="G164" s="7">
        <v>0</v>
      </c>
      <c r="H164" s="7">
        <f t="shared" si="20"/>
        <v>0</v>
      </c>
      <c r="I164" s="7">
        <f t="shared" si="21"/>
        <v>0</v>
      </c>
      <c r="J164" s="7">
        <v>0</v>
      </c>
      <c r="K164" s="7">
        <f t="shared" si="22"/>
        <v>0</v>
      </c>
      <c r="L164" s="7">
        <f t="shared" si="23"/>
        <v>0</v>
      </c>
      <c r="M164" s="7">
        <v>0</v>
      </c>
      <c r="N164" s="7">
        <f t="shared" si="24"/>
        <v>0</v>
      </c>
      <c r="O164" s="7">
        <f t="shared" si="25"/>
        <v>0</v>
      </c>
    </row>
    <row r="165" spans="3:15" x14ac:dyDescent="0.2">
      <c r="C165">
        <v>146</v>
      </c>
      <c r="D165" s="7">
        <v>2554.3058616867775</v>
      </c>
      <c r="E165" s="7">
        <f t="shared" si="18"/>
        <v>76.384744667666794</v>
      </c>
      <c r="F165" s="7">
        <f t="shared" si="19"/>
        <v>206.2665793756033</v>
      </c>
      <c r="G165" s="7">
        <v>0</v>
      </c>
      <c r="H165" s="7">
        <f t="shared" si="20"/>
        <v>0</v>
      </c>
      <c r="I165" s="7">
        <f t="shared" si="21"/>
        <v>0</v>
      </c>
      <c r="J165" s="7">
        <v>0</v>
      </c>
      <c r="K165" s="7">
        <f t="shared" si="22"/>
        <v>0</v>
      </c>
      <c r="L165" s="7">
        <f t="shared" si="23"/>
        <v>0</v>
      </c>
      <c r="M165" s="7">
        <v>0</v>
      </c>
      <c r="N165" s="7">
        <f t="shared" si="24"/>
        <v>0</v>
      </c>
      <c r="O165" s="7">
        <f t="shared" si="25"/>
        <v>0</v>
      </c>
    </row>
    <row r="166" spans="3:15" x14ac:dyDescent="0.2">
      <c r="C166">
        <v>147</v>
      </c>
      <c r="D166" s="7">
        <v>2713.9499780422016</v>
      </c>
      <c r="E166" s="7">
        <f t="shared" si="18"/>
        <v>81.158791209395986</v>
      </c>
      <c r="F166" s="7">
        <f t="shared" si="19"/>
        <v>219.15824058657856</v>
      </c>
      <c r="G166" s="7">
        <v>0</v>
      </c>
      <c r="H166" s="7">
        <f t="shared" si="20"/>
        <v>0</v>
      </c>
      <c r="I166" s="7">
        <f t="shared" si="21"/>
        <v>0</v>
      </c>
      <c r="J166" s="7">
        <v>0</v>
      </c>
      <c r="K166" s="7">
        <f t="shared" si="22"/>
        <v>0</v>
      </c>
      <c r="L166" s="7">
        <f t="shared" si="23"/>
        <v>0</v>
      </c>
      <c r="M166" s="7">
        <v>0</v>
      </c>
      <c r="N166" s="7">
        <f t="shared" si="24"/>
        <v>0</v>
      </c>
      <c r="O166" s="7">
        <f t="shared" si="25"/>
        <v>0</v>
      </c>
    </row>
    <row r="167" spans="3:15" x14ac:dyDescent="0.2">
      <c r="C167">
        <v>148</v>
      </c>
      <c r="D167" s="7">
        <v>2873.5940943976243</v>
      </c>
      <c r="E167" s="7">
        <f t="shared" si="18"/>
        <v>85.932837751125135</v>
      </c>
      <c r="F167" s="7">
        <f t="shared" si="19"/>
        <v>232.0499017975537</v>
      </c>
      <c r="G167" s="7">
        <v>0</v>
      </c>
      <c r="H167" s="7">
        <f t="shared" si="20"/>
        <v>0</v>
      </c>
      <c r="I167" s="7">
        <f t="shared" si="21"/>
        <v>0</v>
      </c>
      <c r="J167" s="7">
        <v>0</v>
      </c>
      <c r="K167" s="7">
        <f t="shared" si="22"/>
        <v>0</v>
      </c>
      <c r="L167" s="7">
        <f t="shared" si="23"/>
        <v>0</v>
      </c>
      <c r="M167" s="7">
        <v>0</v>
      </c>
      <c r="N167" s="7">
        <f t="shared" si="24"/>
        <v>0</v>
      </c>
      <c r="O167" s="7">
        <f t="shared" si="25"/>
        <v>0</v>
      </c>
    </row>
    <row r="168" spans="3:15" x14ac:dyDescent="0.2">
      <c r="C168">
        <v>149</v>
      </c>
      <c r="D168" s="7">
        <v>3033.238210753048</v>
      </c>
      <c r="E168" s="7">
        <f t="shared" si="18"/>
        <v>90.706884292854312</v>
      </c>
      <c r="F168" s="7">
        <f t="shared" si="19"/>
        <v>244.9415630085289</v>
      </c>
      <c r="G168" s="7">
        <v>0</v>
      </c>
      <c r="H168" s="7">
        <f t="shared" si="20"/>
        <v>0</v>
      </c>
      <c r="I168" s="7">
        <f t="shared" si="21"/>
        <v>0</v>
      </c>
      <c r="J168" s="7">
        <v>0</v>
      </c>
      <c r="K168" s="7">
        <f t="shared" si="22"/>
        <v>0</v>
      </c>
      <c r="L168" s="7">
        <f t="shared" si="23"/>
        <v>0</v>
      </c>
      <c r="M168" s="7">
        <v>0</v>
      </c>
      <c r="N168" s="7">
        <f t="shared" si="24"/>
        <v>0</v>
      </c>
      <c r="O168" s="7">
        <f t="shared" si="25"/>
        <v>0</v>
      </c>
    </row>
    <row r="169" spans="3:15" x14ac:dyDescent="0.2">
      <c r="C169">
        <v>150</v>
      </c>
      <c r="D169" s="7">
        <v>3192.8823271084716</v>
      </c>
      <c r="E169" s="7">
        <f t="shared" si="18"/>
        <v>95.480930834583489</v>
      </c>
      <c r="F169" s="7">
        <f t="shared" si="19"/>
        <v>257.83322421950413</v>
      </c>
      <c r="G169" s="7">
        <v>0</v>
      </c>
      <c r="H169" s="7">
        <f t="shared" si="20"/>
        <v>0</v>
      </c>
      <c r="I169" s="7">
        <f t="shared" si="21"/>
        <v>0</v>
      </c>
      <c r="J169" s="7">
        <v>0</v>
      </c>
      <c r="K169" s="7">
        <f t="shared" si="22"/>
        <v>0</v>
      </c>
      <c r="L169" s="7">
        <f t="shared" si="23"/>
        <v>0</v>
      </c>
      <c r="M169" s="7">
        <v>0</v>
      </c>
      <c r="N169" s="7">
        <f t="shared" si="24"/>
        <v>0</v>
      </c>
      <c r="O169" s="7">
        <f t="shared" si="25"/>
        <v>0</v>
      </c>
    </row>
    <row r="170" spans="3:15" x14ac:dyDescent="0.2">
      <c r="C170">
        <v>151</v>
      </c>
      <c r="D170" s="7">
        <v>3345.6977568968609</v>
      </c>
      <c r="E170" s="7">
        <f t="shared" si="18"/>
        <v>100.05077024213102</v>
      </c>
      <c r="F170" s="7">
        <f t="shared" si="19"/>
        <v>270.17345193109406</v>
      </c>
      <c r="G170" s="7">
        <v>2919.9760127179652</v>
      </c>
      <c r="H170" s="7">
        <f t="shared" si="20"/>
        <v>69.855885471721663</v>
      </c>
      <c r="I170" s="7">
        <f t="shared" si="21"/>
        <v>151.80394507107189</v>
      </c>
      <c r="J170" s="7">
        <v>6.8286865670343104</v>
      </c>
      <c r="K170" s="7">
        <f t="shared" si="22"/>
        <v>0.10891047156354562</v>
      </c>
      <c r="L170" s="7">
        <f t="shared" si="23"/>
        <v>0.40994027678307027</v>
      </c>
      <c r="M170" s="7">
        <v>1045.198211538923</v>
      </c>
      <c r="N170" s="7">
        <f t="shared" si="24"/>
        <v>83.349139676150173</v>
      </c>
      <c r="O170" s="7">
        <f t="shared" si="25"/>
        <v>31.550565249837589</v>
      </c>
    </row>
    <row r="171" spans="3:15" x14ac:dyDescent="0.2">
      <c r="C171">
        <v>152</v>
      </c>
      <c r="D171" s="7">
        <v>3348.1554559089964</v>
      </c>
      <c r="E171" s="7">
        <f t="shared" si="18"/>
        <v>100.12426602598674</v>
      </c>
      <c r="F171" s="7">
        <f t="shared" si="19"/>
        <v>270.37191726602975</v>
      </c>
      <c r="G171" s="7">
        <v>2921.7628663667938</v>
      </c>
      <c r="H171" s="7">
        <f t="shared" si="20"/>
        <v>69.898633166669711</v>
      </c>
      <c r="I171" s="7">
        <f t="shared" si="21"/>
        <v>151.89684016061213</v>
      </c>
      <c r="J171" s="7">
        <v>164.01510391032252</v>
      </c>
      <c r="K171" s="7">
        <f t="shared" si="22"/>
        <v>2.6158708757627198</v>
      </c>
      <c r="L171" s="7">
        <f t="shared" si="23"/>
        <v>9.8461682833983595</v>
      </c>
      <c r="M171" s="7">
        <v>1043.4113578900945</v>
      </c>
      <c r="N171" s="7">
        <f t="shared" si="24"/>
        <v>83.206647359656657</v>
      </c>
      <c r="O171" s="7">
        <f t="shared" si="25"/>
        <v>31.496626923100241</v>
      </c>
    </row>
    <row r="172" spans="3:15" x14ac:dyDescent="0.2">
      <c r="C172">
        <v>153</v>
      </c>
      <c r="D172" s="7">
        <v>3346.4666957262325</v>
      </c>
      <c r="E172" s="7">
        <f t="shared" si="18"/>
        <v>100.07376482434907</v>
      </c>
      <c r="F172" s="7">
        <f t="shared" si="19"/>
        <v>270.23554566249192</v>
      </c>
      <c r="G172" s="7">
        <v>0</v>
      </c>
      <c r="H172" s="7">
        <f t="shared" si="20"/>
        <v>0</v>
      </c>
      <c r="I172" s="7">
        <f t="shared" si="21"/>
        <v>0</v>
      </c>
      <c r="J172" s="7">
        <v>325.3479804485105</v>
      </c>
      <c r="K172" s="7">
        <f t="shared" si="22"/>
        <v>5.1889630055583815</v>
      </c>
      <c r="L172" s="7">
        <f t="shared" si="23"/>
        <v>19.531316871349564</v>
      </c>
      <c r="M172" s="7">
        <v>0</v>
      </c>
      <c r="N172" s="7">
        <f t="shared" si="24"/>
        <v>0</v>
      </c>
      <c r="O172" s="7">
        <f t="shared" si="25"/>
        <v>0</v>
      </c>
    </row>
    <row r="173" spans="3:15" x14ac:dyDescent="0.2">
      <c r="C173">
        <v>154</v>
      </c>
      <c r="D173" s="7">
        <v>3342.3786994759985</v>
      </c>
      <c r="E173" s="7">
        <f t="shared" si="18"/>
        <v>99.95151613265547</v>
      </c>
      <c r="F173" s="7">
        <f t="shared" si="19"/>
        <v>269.90542975284939</v>
      </c>
      <c r="G173" s="7">
        <v>0</v>
      </c>
      <c r="H173" s="7">
        <f t="shared" si="20"/>
        <v>0</v>
      </c>
      <c r="I173" s="7">
        <f t="shared" si="21"/>
        <v>0</v>
      </c>
      <c r="J173" s="7">
        <v>489.08009305416817</v>
      </c>
      <c r="K173" s="7">
        <f t="shared" si="22"/>
        <v>7.800320463383863</v>
      </c>
      <c r="L173" s="7">
        <f t="shared" si="23"/>
        <v>29.360496597340479</v>
      </c>
      <c r="M173" s="7">
        <v>0</v>
      </c>
      <c r="N173" s="7">
        <f t="shared" si="24"/>
        <v>0</v>
      </c>
      <c r="O173" s="7">
        <f t="shared" si="25"/>
        <v>0</v>
      </c>
    </row>
    <row r="174" spans="3:15" x14ac:dyDescent="0.2">
      <c r="C174">
        <v>155</v>
      </c>
      <c r="D174" s="7">
        <v>3338.31685390744</v>
      </c>
      <c r="E174" s="7">
        <f t="shared" si="18"/>
        <v>99.830049458954548</v>
      </c>
      <c r="F174" s="7">
        <f t="shared" si="19"/>
        <v>269.57742557608043</v>
      </c>
      <c r="G174" s="7">
        <v>0</v>
      </c>
      <c r="H174" s="7">
        <f t="shared" si="20"/>
        <v>0</v>
      </c>
      <c r="I174" s="7">
        <f t="shared" si="21"/>
        <v>0</v>
      </c>
      <c r="J174" s="7">
        <v>652.78605497814988</v>
      </c>
      <c r="K174" s="7">
        <f t="shared" si="22"/>
        <v>10.41126084494657</v>
      </c>
      <c r="L174" s="7">
        <f t="shared" si="23"/>
        <v>39.188106443446138</v>
      </c>
      <c r="M174" s="7">
        <v>0</v>
      </c>
      <c r="N174" s="7">
        <f t="shared" si="24"/>
        <v>0</v>
      </c>
      <c r="O174" s="7">
        <f t="shared" si="25"/>
        <v>0</v>
      </c>
    </row>
    <row r="175" spans="3:15" x14ac:dyDescent="0.2">
      <c r="C175">
        <v>156</v>
      </c>
      <c r="D175" s="7">
        <v>3334.2810647960232</v>
      </c>
      <c r="E175" s="7">
        <f t="shared" si="18"/>
        <v>99.709361985527011</v>
      </c>
      <c r="F175" s="7">
        <f t="shared" si="19"/>
        <v>269.25152552331872</v>
      </c>
      <c r="G175" s="7">
        <v>0</v>
      </c>
      <c r="H175" s="7">
        <f t="shared" si="20"/>
        <v>0</v>
      </c>
      <c r="I175" s="7">
        <f t="shared" si="21"/>
        <v>0</v>
      </c>
      <c r="J175" s="7">
        <v>816.46596044499074</v>
      </c>
      <c r="K175" s="7">
        <f t="shared" si="22"/>
        <v>13.021785653030156</v>
      </c>
      <c r="L175" s="7">
        <f t="shared" si="23"/>
        <v>49.014152066161621</v>
      </c>
      <c r="M175" s="7">
        <v>0</v>
      </c>
      <c r="N175" s="7">
        <f t="shared" si="24"/>
        <v>0</v>
      </c>
      <c r="O175" s="7">
        <f t="shared" si="25"/>
        <v>0</v>
      </c>
    </row>
    <row r="176" spans="3:15" x14ac:dyDescent="0.2">
      <c r="C176">
        <v>157</v>
      </c>
      <c r="D176" s="7">
        <v>3330.271238184544</v>
      </c>
      <c r="E176" s="7">
        <f t="shared" si="18"/>
        <v>99.589450902647854</v>
      </c>
      <c r="F176" s="7">
        <f t="shared" si="19"/>
        <v>268.9277220072853</v>
      </c>
      <c r="G176" s="7">
        <v>0</v>
      </c>
      <c r="H176" s="7">
        <f t="shared" si="20"/>
        <v>0</v>
      </c>
      <c r="I176" s="7">
        <f t="shared" si="21"/>
        <v>0</v>
      </c>
      <c r="J176" s="7">
        <v>980.11990341189357</v>
      </c>
      <c r="K176" s="7">
        <f t="shared" si="22"/>
        <v>15.631896386154603</v>
      </c>
      <c r="L176" s="7">
        <f t="shared" si="23"/>
        <v>58.83863910593351</v>
      </c>
      <c r="M176" s="7">
        <v>0</v>
      </c>
      <c r="N176" s="7">
        <f t="shared" si="24"/>
        <v>0</v>
      </c>
      <c r="O176" s="7">
        <f t="shared" si="25"/>
        <v>0</v>
      </c>
    </row>
    <row r="177" spans="3:15" x14ac:dyDescent="0.2">
      <c r="C177">
        <v>158</v>
      </c>
      <c r="D177" s="7">
        <v>3326.2872803824748</v>
      </c>
      <c r="E177" s="7">
        <f t="shared" si="18"/>
        <v>99.470313408566838</v>
      </c>
      <c r="F177" s="7">
        <f t="shared" si="19"/>
        <v>268.60600746223588</v>
      </c>
      <c r="G177" s="7">
        <v>0</v>
      </c>
      <c r="H177" s="7">
        <f t="shared" si="20"/>
        <v>0</v>
      </c>
      <c r="I177" s="7">
        <f t="shared" si="21"/>
        <v>0</v>
      </c>
      <c r="J177" s="7">
        <v>1143.7479775693873</v>
      </c>
      <c r="K177" s="7">
        <f t="shared" si="22"/>
        <v>18.241594538586721</v>
      </c>
      <c r="L177" s="7">
        <f t="shared" si="23"/>
        <v>68.661573187199366</v>
      </c>
      <c r="M177" s="7">
        <v>0</v>
      </c>
      <c r="N177" s="7">
        <f t="shared" si="24"/>
        <v>0</v>
      </c>
      <c r="O177" s="7">
        <f t="shared" si="25"/>
        <v>0</v>
      </c>
    </row>
    <row r="178" spans="3:15" x14ac:dyDescent="0.2">
      <c r="C178">
        <v>159</v>
      </c>
      <c r="D178" s="7">
        <v>3322.3290979653466</v>
      </c>
      <c r="E178" s="7">
        <f t="shared" si="18"/>
        <v>99.351946709490036</v>
      </c>
      <c r="F178" s="7">
        <f t="shared" si="19"/>
        <v>268.28637434391129</v>
      </c>
      <c r="G178" s="7">
        <v>0</v>
      </c>
      <c r="H178" s="7">
        <f t="shared" si="20"/>
        <v>0</v>
      </c>
      <c r="I178" s="7">
        <f t="shared" si="21"/>
        <v>0</v>
      </c>
      <c r="J178" s="7">
        <v>988.062043631091</v>
      </c>
      <c r="K178" s="7">
        <f t="shared" si="22"/>
        <v>15.758565289172106</v>
      </c>
      <c r="L178" s="7">
        <f t="shared" si="23"/>
        <v>59.315422324455376</v>
      </c>
      <c r="M178" s="7">
        <v>0</v>
      </c>
      <c r="N178" s="7">
        <f t="shared" si="24"/>
        <v>0</v>
      </c>
      <c r="O178" s="7">
        <f t="shared" si="25"/>
        <v>0</v>
      </c>
    </row>
    <row r="179" spans="3:15" x14ac:dyDescent="0.2">
      <c r="C179">
        <v>160</v>
      </c>
      <c r="D179" s="7">
        <v>3320.8117130264177</v>
      </c>
      <c r="E179" s="7">
        <f t="shared" si="18"/>
        <v>99.306570365622548</v>
      </c>
      <c r="F179" s="7">
        <f t="shared" si="19"/>
        <v>268.16384171943452</v>
      </c>
      <c r="G179" s="7">
        <v>2918.9523189031715</v>
      </c>
      <c r="H179" s="7">
        <f t="shared" si="20"/>
        <v>69.831395189071088</v>
      </c>
      <c r="I179" s="7">
        <f t="shared" si="21"/>
        <v>151.75072519565038</v>
      </c>
      <c r="J179" s="7">
        <v>1149.2235449254426</v>
      </c>
      <c r="K179" s="7">
        <f t="shared" si="22"/>
        <v>18.328924161490313</v>
      </c>
      <c r="L179" s="7">
        <f t="shared" si="23"/>
        <v>68.990282899594405</v>
      </c>
      <c r="M179" s="7">
        <v>1046.2219053537169</v>
      </c>
      <c r="N179" s="7">
        <f t="shared" si="24"/>
        <v>83.430773951652071</v>
      </c>
      <c r="O179" s="7">
        <f t="shared" si="25"/>
        <v>31.581466679004745</v>
      </c>
    </row>
    <row r="180" spans="3:15" x14ac:dyDescent="0.2">
      <c r="C180">
        <v>161</v>
      </c>
      <c r="D180" s="7">
        <v>3323.446079553421</v>
      </c>
      <c r="E180" s="7">
        <f t="shared" si="18"/>
        <v>99.385349268942022</v>
      </c>
      <c r="F180" s="7">
        <f t="shared" si="19"/>
        <v>268.37657339753815</v>
      </c>
      <c r="G180" s="7">
        <v>2918.620765642585</v>
      </c>
      <c r="H180" s="7">
        <f t="shared" si="20"/>
        <v>69.82346329288481</v>
      </c>
      <c r="I180" s="7">
        <f t="shared" si="21"/>
        <v>151.73348837838236</v>
      </c>
      <c r="J180" s="7">
        <v>1785.1656438201339</v>
      </c>
      <c r="K180" s="7">
        <f t="shared" si="22"/>
        <v>28.471541368742169</v>
      </c>
      <c r="L180" s="7">
        <f t="shared" si="23"/>
        <v>107.16721157829892</v>
      </c>
      <c r="M180" s="7">
        <v>1046.5534586143033</v>
      </c>
      <c r="N180" s="7">
        <f t="shared" si="24"/>
        <v>83.457213605606327</v>
      </c>
      <c r="O180" s="7">
        <f t="shared" si="25"/>
        <v>31.591475012990049</v>
      </c>
    </row>
    <row r="181" spans="3:15" x14ac:dyDescent="0.2">
      <c r="C181">
        <v>162</v>
      </c>
      <c r="D181" s="7">
        <v>3326.0745594869163</v>
      </c>
      <c r="E181" s="7">
        <f t="shared" si="18"/>
        <v>99.46395213776664</v>
      </c>
      <c r="F181" s="7">
        <f t="shared" si="19"/>
        <v>268.5888297185104</v>
      </c>
      <c r="G181" s="7">
        <v>2917.9421759298348</v>
      </c>
      <c r="H181" s="7">
        <f t="shared" si="20"/>
        <v>69.807229089230503</v>
      </c>
      <c r="I181" s="7">
        <f t="shared" si="21"/>
        <v>151.69820980245183</v>
      </c>
      <c r="J181" s="7">
        <v>1622.8930475312141</v>
      </c>
      <c r="K181" s="7">
        <f t="shared" si="22"/>
        <v>25.883461683113463</v>
      </c>
      <c r="L181" s="7">
        <f t="shared" si="23"/>
        <v>97.425649656548899</v>
      </c>
      <c r="M181" s="7">
        <v>1047.2320483270539</v>
      </c>
      <c r="N181" s="7">
        <f t="shared" si="24"/>
        <v>83.511327617787401</v>
      </c>
      <c r="O181" s="7">
        <f t="shared" si="25"/>
        <v>31.611959059722665</v>
      </c>
    </row>
    <row r="182" spans="3:15" x14ac:dyDescent="0.2">
      <c r="C182">
        <v>163</v>
      </c>
      <c r="D182" s="7">
        <v>3328.6969490686784</v>
      </c>
      <c r="E182" s="7">
        <f t="shared" si="18"/>
        <v>99.542372878848042</v>
      </c>
      <c r="F182" s="7">
        <f t="shared" si="19"/>
        <v>268.80059422836558</v>
      </c>
      <c r="G182" s="7">
        <v>2917.1322657804758</v>
      </c>
      <c r="H182" s="7">
        <f t="shared" si="20"/>
        <v>69.787853248336745</v>
      </c>
      <c r="I182" s="7">
        <f t="shared" si="21"/>
        <v>151.65610412922356</v>
      </c>
      <c r="J182" s="7">
        <v>1939.5588906602984</v>
      </c>
      <c r="K182" s="7">
        <f t="shared" si="22"/>
        <v>30.933953599047822</v>
      </c>
      <c r="L182" s="7">
        <f t="shared" si="23"/>
        <v>116.43575974225153</v>
      </c>
      <c r="M182" s="7">
        <v>1048.0419584764129</v>
      </c>
      <c r="N182" s="7">
        <f t="shared" si="24"/>
        <v>83.575913754099915</v>
      </c>
      <c r="O182" s="7">
        <f t="shared" si="25"/>
        <v>31.636407171795334</v>
      </c>
    </row>
    <row r="183" spans="3:15" x14ac:dyDescent="0.2">
      <c r="C183">
        <v>164</v>
      </c>
      <c r="D183" s="7">
        <v>3331.3128202613557</v>
      </c>
      <c r="E183" s="7">
        <f t="shared" si="18"/>
        <v>99.620598692026192</v>
      </c>
      <c r="F183" s="7">
        <f t="shared" si="19"/>
        <v>269.0118323620182</v>
      </c>
      <c r="G183" s="7">
        <v>2916.3207070167832</v>
      </c>
      <c r="H183" s="7">
        <f t="shared" si="20"/>
        <v>69.768437966908692</v>
      </c>
      <c r="I183" s="7">
        <f t="shared" si="21"/>
        <v>151.61391274770227</v>
      </c>
      <c r="J183" s="7">
        <v>1585.7259634856905</v>
      </c>
      <c r="K183" s="7">
        <f t="shared" si="22"/>
        <v>25.290685223057267</v>
      </c>
      <c r="L183" s="7">
        <f t="shared" si="23"/>
        <v>95.194432193091842</v>
      </c>
      <c r="M183" s="7">
        <v>1048.8535172401052</v>
      </c>
      <c r="N183" s="7">
        <f t="shared" si="24"/>
        <v>83.640631358860077</v>
      </c>
      <c r="O183" s="7">
        <f t="shared" si="25"/>
        <v>31.660905049274721</v>
      </c>
    </row>
    <row r="184" spans="3:15" x14ac:dyDescent="0.2">
      <c r="C184">
        <v>165</v>
      </c>
      <c r="D184" s="7">
        <v>3333.9228601287914</v>
      </c>
      <c r="E184" s="7">
        <f t="shared" si="18"/>
        <v>99.698650123468653</v>
      </c>
      <c r="F184" s="7">
        <f t="shared" si="19"/>
        <v>269.22259960159005</v>
      </c>
      <c r="G184" s="7">
        <v>2915.9597006507556</v>
      </c>
      <c r="H184" s="7">
        <f t="shared" si="20"/>
        <v>69.759801450975019</v>
      </c>
      <c r="I184" s="7">
        <f t="shared" si="21"/>
        <v>151.59514472004724</v>
      </c>
      <c r="J184" s="7">
        <v>1231.8988676363233</v>
      </c>
      <c r="K184" s="7">
        <f t="shared" si="22"/>
        <v>19.647509850659066</v>
      </c>
      <c r="L184" s="7">
        <f t="shared" si="23"/>
        <v>73.953454710531304</v>
      </c>
      <c r="M184" s="7">
        <v>1049.2145236061331</v>
      </c>
      <c r="N184" s="7">
        <f t="shared" si="24"/>
        <v>83.669419745305674</v>
      </c>
      <c r="O184" s="7">
        <f t="shared" si="25"/>
        <v>31.671802460675949</v>
      </c>
    </row>
    <row r="185" spans="3:15" x14ac:dyDescent="0.2">
      <c r="C185">
        <v>166</v>
      </c>
      <c r="D185" s="7">
        <v>3336.5280896000918</v>
      </c>
      <c r="E185" s="7">
        <f t="shared" si="18"/>
        <v>99.77655770335204</v>
      </c>
      <c r="F185" s="7">
        <f t="shared" si="19"/>
        <v>269.43297838965685</v>
      </c>
      <c r="G185" s="7">
        <v>2916.0485933074433</v>
      </c>
      <c r="H185" s="7">
        <f t="shared" si="20"/>
        <v>69.761928069556063</v>
      </c>
      <c r="I185" s="7">
        <f t="shared" si="21"/>
        <v>151.59976607854961</v>
      </c>
      <c r="J185" s="7">
        <v>878.07658218309052</v>
      </c>
      <c r="K185" s="7">
        <f t="shared" si="22"/>
        <v>14.004411199092354</v>
      </c>
      <c r="L185" s="7">
        <f t="shared" si="23"/>
        <v>52.712766006069337</v>
      </c>
      <c r="M185" s="7">
        <v>1049.1256309494454</v>
      </c>
      <c r="N185" s="7">
        <f t="shared" si="24"/>
        <v>83.662331016702197</v>
      </c>
      <c r="O185" s="7">
        <f t="shared" si="25"/>
        <v>31.669119128907781</v>
      </c>
    </row>
    <row r="186" spans="3:15" x14ac:dyDescent="0.2">
      <c r="C186">
        <v>167</v>
      </c>
      <c r="D186" s="7">
        <v>3334.9868915041343</v>
      </c>
      <c r="E186" s="7">
        <f t="shared" si="18"/>
        <v>99.73046924354469</v>
      </c>
      <c r="F186" s="7">
        <f t="shared" si="19"/>
        <v>269.30852279326115</v>
      </c>
      <c r="G186" s="7">
        <v>0</v>
      </c>
      <c r="H186" s="7">
        <f t="shared" si="20"/>
        <v>0</v>
      </c>
      <c r="I186" s="7">
        <f t="shared" si="21"/>
        <v>0</v>
      </c>
      <c r="J186" s="7">
        <v>528.40072429711654</v>
      </c>
      <c r="K186" s="7">
        <f t="shared" si="22"/>
        <v>8.4274437686940438</v>
      </c>
      <c r="L186" s="7">
        <f t="shared" si="23"/>
        <v>31.720995984270132</v>
      </c>
      <c r="M186" s="7">
        <v>0</v>
      </c>
      <c r="N186" s="7">
        <f t="shared" si="24"/>
        <v>0</v>
      </c>
      <c r="O186" s="7">
        <f t="shared" si="25"/>
        <v>0</v>
      </c>
    </row>
    <row r="187" spans="3:15" x14ac:dyDescent="0.2">
      <c r="C187">
        <v>168</v>
      </c>
      <c r="D187" s="7">
        <v>3331.0562716662826</v>
      </c>
      <c r="E187" s="7">
        <f t="shared" si="18"/>
        <v>99.612926784278798</v>
      </c>
      <c r="F187" s="7">
        <f t="shared" si="19"/>
        <v>268.99111542206867</v>
      </c>
      <c r="G187" s="7">
        <v>0</v>
      </c>
      <c r="H187" s="7">
        <f t="shared" si="20"/>
        <v>0</v>
      </c>
      <c r="I187" s="7">
        <f t="shared" si="21"/>
        <v>0</v>
      </c>
      <c r="J187" s="7">
        <v>181.11428815303634</v>
      </c>
      <c r="K187" s="7">
        <f t="shared" si="22"/>
        <v>2.8885851380069596</v>
      </c>
      <c r="L187" s="7">
        <f t="shared" si="23"/>
        <v>10.872667926105947</v>
      </c>
      <c r="M187" s="7">
        <v>0</v>
      </c>
      <c r="N187" s="7">
        <f t="shared" si="24"/>
        <v>0</v>
      </c>
      <c r="O187" s="7">
        <f t="shared" si="25"/>
        <v>0</v>
      </c>
    </row>
    <row r="188" spans="3:15" x14ac:dyDescent="0.2">
      <c r="C188">
        <v>169</v>
      </c>
      <c r="D188" s="7">
        <v>2713.9499780422011</v>
      </c>
      <c r="E188" s="7">
        <f t="shared" si="18"/>
        <v>81.158791209395972</v>
      </c>
      <c r="F188" s="7">
        <f t="shared" si="19"/>
        <v>219.15824058657853</v>
      </c>
      <c r="G188" s="7">
        <v>0</v>
      </c>
      <c r="H188" s="7">
        <f t="shared" si="20"/>
        <v>0</v>
      </c>
      <c r="I188" s="7">
        <f t="shared" si="21"/>
        <v>0</v>
      </c>
      <c r="J188" s="7">
        <v>0</v>
      </c>
      <c r="K188" s="7">
        <f t="shared" si="22"/>
        <v>0</v>
      </c>
      <c r="L188" s="7">
        <f t="shared" si="23"/>
        <v>0</v>
      </c>
      <c r="M188" s="7">
        <v>0</v>
      </c>
      <c r="N188" s="7">
        <f t="shared" si="24"/>
        <v>0</v>
      </c>
      <c r="O188" s="7">
        <f t="shared" si="25"/>
        <v>0</v>
      </c>
    </row>
    <row r="189" spans="3:15" x14ac:dyDescent="0.2">
      <c r="C189">
        <v>170</v>
      </c>
      <c r="D189" s="7">
        <v>2554.3058616867775</v>
      </c>
      <c r="E189" s="7">
        <f t="shared" si="18"/>
        <v>76.384744667666794</v>
      </c>
      <c r="F189" s="7">
        <f t="shared" si="19"/>
        <v>206.2665793756033</v>
      </c>
      <c r="G189" s="7">
        <v>0</v>
      </c>
      <c r="H189" s="7">
        <f t="shared" si="20"/>
        <v>0</v>
      </c>
      <c r="I189" s="7">
        <f t="shared" si="21"/>
        <v>0</v>
      </c>
      <c r="J189" s="7">
        <v>0</v>
      </c>
      <c r="K189" s="7">
        <f t="shared" si="22"/>
        <v>0</v>
      </c>
      <c r="L189" s="7">
        <f t="shared" si="23"/>
        <v>0</v>
      </c>
      <c r="M189" s="7">
        <v>0</v>
      </c>
      <c r="N189" s="7">
        <f t="shared" si="24"/>
        <v>0</v>
      </c>
      <c r="O189" s="7">
        <f t="shared" si="25"/>
        <v>0</v>
      </c>
    </row>
    <row r="190" spans="3:15" x14ac:dyDescent="0.2">
      <c r="C190">
        <v>171</v>
      </c>
      <c r="D190" s="7">
        <v>2713.9499780422011</v>
      </c>
      <c r="E190" s="7">
        <f t="shared" si="18"/>
        <v>81.158791209395972</v>
      </c>
      <c r="F190" s="7">
        <f t="shared" si="19"/>
        <v>219.15824058657853</v>
      </c>
      <c r="G190" s="7">
        <v>0</v>
      </c>
      <c r="H190" s="7">
        <f t="shared" si="20"/>
        <v>0</v>
      </c>
      <c r="I190" s="7">
        <f t="shared" si="21"/>
        <v>0</v>
      </c>
      <c r="J190" s="7">
        <v>0</v>
      </c>
      <c r="K190" s="7">
        <f t="shared" si="22"/>
        <v>0</v>
      </c>
      <c r="L190" s="7">
        <f t="shared" si="23"/>
        <v>0</v>
      </c>
      <c r="M190" s="7">
        <v>0</v>
      </c>
      <c r="N190" s="7">
        <f t="shared" si="24"/>
        <v>0</v>
      </c>
      <c r="O190" s="7">
        <f t="shared" si="25"/>
        <v>0</v>
      </c>
    </row>
    <row r="191" spans="3:15" x14ac:dyDescent="0.2">
      <c r="C191">
        <v>172</v>
      </c>
      <c r="D191" s="7">
        <v>2873.5940943976243</v>
      </c>
      <c r="E191" s="7">
        <f t="shared" si="18"/>
        <v>85.932837751125135</v>
      </c>
      <c r="F191" s="7">
        <f t="shared" si="19"/>
        <v>232.0499017975537</v>
      </c>
      <c r="G191" s="7">
        <v>0</v>
      </c>
      <c r="H191" s="7">
        <f t="shared" si="20"/>
        <v>0</v>
      </c>
      <c r="I191" s="7">
        <f t="shared" si="21"/>
        <v>0</v>
      </c>
      <c r="J191" s="7">
        <v>0</v>
      </c>
      <c r="K191" s="7">
        <f t="shared" si="22"/>
        <v>0</v>
      </c>
      <c r="L191" s="7">
        <f t="shared" si="23"/>
        <v>0</v>
      </c>
      <c r="M191" s="7">
        <v>0</v>
      </c>
      <c r="N191" s="7">
        <f t="shared" si="24"/>
        <v>0</v>
      </c>
      <c r="O191" s="7">
        <f t="shared" si="25"/>
        <v>0</v>
      </c>
    </row>
    <row r="192" spans="3:15" x14ac:dyDescent="0.2">
      <c r="C192">
        <v>173</v>
      </c>
      <c r="D192" s="7">
        <v>3272.704385286183</v>
      </c>
      <c r="E192" s="7">
        <f t="shared" si="18"/>
        <v>97.867954105448064</v>
      </c>
      <c r="F192" s="7">
        <f t="shared" si="19"/>
        <v>264.2790548249917</v>
      </c>
      <c r="G192" s="7">
        <v>0</v>
      </c>
      <c r="H192" s="7">
        <f t="shared" si="20"/>
        <v>0</v>
      </c>
      <c r="I192" s="7">
        <f t="shared" si="21"/>
        <v>0</v>
      </c>
      <c r="J192" s="7">
        <v>0</v>
      </c>
      <c r="K192" s="7">
        <f t="shared" si="22"/>
        <v>0</v>
      </c>
      <c r="L192" s="7">
        <f t="shared" si="23"/>
        <v>0</v>
      </c>
      <c r="M192" s="7">
        <v>0</v>
      </c>
      <c r="N192" s="7">
        <f t="shared" si="24"/>
        <v>0</v>
      </c>
      <c r="O192" s="7">
        <f t="shared" si="25"/>
        <v>0</v>
      </c>
    </row>
    <row r="193" spans="3:15" x14ac:dyDescent="0.2">
      <c r="C193">
        <v>174</v>
      </c>
      <c r="D193" s="7">
        <v>3313.3102268886896</v>
      </c>
      <c r="E193" s="7">
        <f t="shared" si="18"/>
        <v>99.082243627054126</v>
      </c>
      <c r="F193" s="7">
        <f t="shared" si="19"/>
        <v>267.55807797396011</v>
      </c>
      <c r="G193" s="7">
        <v>0</v>
      </c>
      <c r="H193" s="7">
        <f t="shared" si="20"/>
        <v>0</v>
      </c>
      <c r="I193" s="7">
        <f t="shared" si="21"/>
        <v>0</v>
      </c>
      <c r="J193" s="7">
        <v>198.86033293062883</v>
      </c>
      <c r="K193" s="7">
        <f t="shared" si="22"/>
        <v>3.1716161551934423</v>
      </c>
      <c r="L193" s="7">
        <f t="shared" si="23"/>
        <v>11.937999953944276</v>
      </c>
      <c r="M193" s="7">
        <v>0</v>
      </c>
      <c r="N193" s="7">
        <f t="shared" si="24"/>
        <v>0</v>
      </c>
      <c r="O193" s="7">
        <f t="shared" si="25"/>
        <v>0</v>
      </c>
    </row>
    <row r="194" spans="3:15" x14ac:dyDescent="0.2">
      <c r="C194">
        <v>175</v>
      </c>
      <c r="D194" s="7">
        <v>3311.9417398560167</v>
      </c>
      <c r="E194" s="7">
        <f t="shared" si="18"/>
        <v>99.041319971770847</v>
      </c>
      <c r="F194" s="7">
        <f t="shared" si="19"/>
        <v>267.4475692273831</v>
      </c>
      <c r="G194" s="7">
        <v>2916.1214958335177</v>
      </c>
      <c r="H194" s="7">
        <f t="shared" si="20"/>
        <v>69.763672149127217</v>
      </c>
      <c r="I194" s="7">
        <f t="shared" si="21"/>
        <v>151.6035561408705</v>
      </c>
      <c r="J194" s="7">
        <v>439.69499449643672</v>
      </c>
      <c r="K194" s="7">
        <f t="shared" si="22"/>
        <v>7.0126793380611918</v>
      </c>
      <c r="L194" s="7">
        <f t="shared" si="23"/>
        <v>26.395806276152108</v>
      </c>
      <c r="M194" s="7">
        <v>1049.0527284233708</v>
      </c>
      <c r="N194" s="7">
        <f t="shared" si="24"/>
        <v>83.656517418131642</v>
      </c>
      <c r="O194" s="7">
        <f t="shared" si="25"/>
        <v>31.666918478466162</v>
      </c>
    </row>
    <row r="195" spans="3:15" x14ac:dyDescent="0.2">
      <c r="C195">
        <v>176</v>
      </c>
      <c r="D195" s="7">
        <v>3314.7239316424252</v>
      </c>
      <c r="E195" s="7">
        <f t="shared" si="18"/>
        <v>99.124519486914636</v>
      </c>
      <c r="F195" s="7">
        <f t="shared" si="19"/>
        <v>267.67223816447364</v>
      </c>
      <c r="G195" s="7">
        <v>2916.6009967267187</v>
      </c>
      <c r="H195" s="7">
        <f t="shared" si="20"/>
        <v>69.775143462361697</v>
      </c>
      <c r="I195" s="7">
        <f t="shared" si="21"/>
        <v>151.62848447142392</v>
      </c>
      <c r="J195" s="7">
        <v>676.37897724316281</v>
      </c>
      <c r="K195" s="7">
        <f t="shared" si="22"/>
        <v>10.787543496701161</v>
      </c>
      <c r="L195" s="7">
        <f t="shared" si="23"/>
        <v>40.604438704196134</v>
      </c>
      <c r="M195" s="7">
        <v>1048.5732275301698</v>
      </c>
      <c r="N195" s="7">
        <f t="shared" si="24"/>
        <v>83.618279707350069</v>
      </c>
      <c r="O195" s="7">
        <f t="shared" si="25"/>
        <v>31.652444167229049</v>
      </c>
    </row>
    <row r="196" spans="3:15" x14ac:dyDescent="0.2">
      <c r="C196">
        <v>177</v>
      </c>
      <c r="D196" s="7">
        <v>3313.3588726757966</v>
      </c>
      <c r="E196" s="7">
        <f t="shared" si="18"/>
        <v>99.083698345568095</v>
      </c>
      <c r="F196" s="7">
        <f t="shared" si="19"/>
        <v>267.56200624279353</v>
      </c>
      <c r="G196" s="7">
        <v>0</v>
      </c>
      <c r="H196" s="7">
        <f t="shared" si="20"/>
        <v>0</v>
      </c>
      <c r="I196" s="7">
        <f t="shared" si="21"/>
        <v>0</v>
      </c>
      <c r="J196" s="7">
        <v>917.21021074292685</v>
      </c>
      <c r="K196" s="7">
        <f t="shared" si="22"/>
        <v>14.628552005469329</v>
      </c>
      <c r="L196" s="7">
        <f t="shared" si="23"/>
        <v>55.062039232459689</v>
      </c>
      <c r="M196" s="7">
        <v>0</v>
      </c>
      <c r="N196" s="7">
        <f t="shared" si="24"/>
        <v>0</v>
      </c>
      <c r="O196" s="7">
        <f t="shared" si="25"/>
        <v>0</v>
      </c>
    </row>
    <row r="197" spans="3:15" x14ac:dyDescent="0.2">
      <c r="C197">
        <v>178</v>
      </c>
      <c r="D197" s="7">
        <v>3309.60291953054</v>
      </c>
      <c r="E197" s="7">
        <f t="shared" si="18"/>
        <v>98.971379172563999</v>
      </c>
      <c r="F197" s="7">
        <f t="shared" si="19"/>
        <v>267.25870364337209</v>
      </c>
      <c r="G197" s="7">
        <v>0</v>
      </c>
      <c r="H197" s="7">
        <f t="shared" si="20"/>
        <v>0</v>
      </c>
      <c r="I197" s="7">
        <f t="shared" si="21"/>
        <v>0</v>
      </c>
      <c r="J197" s="7">
        <v>1160.4323384213194</v>
      </c>
      <c r="K197" s="7">
        <f t="shared" si="22"/>
        <v>18.507692797788188</v>
      </c>
      <c r="L197" s="7">
        <f t="shared" si="23"/>
        <v>69.663170117802096</v>
      </c>
      <c r="M197" s="7">
        <v>0</v>
      </c>
      <c r="N197" s="7">
        <f t="shared" si="24"/>
        <v>0</v>
      </c>
      <c r="O197" s="7">
        <f t="shared" si="25"/>
        <v>0</v>
      </c>
    </row>
    <row r="198" spans="3:15" x14ac:dyDescent="0.2">
      <c r="C198">
        <v>179</v>
      </c>
      <c r="D198" s="7">
        <v>3305.4308390220585</v>
      </c>
      <c r="E198" s="7">
        <f t="shared" si="18"/>
        <v>98.846615999463481</v>
      </c>
      <c r="F198" s="7">
        <f t="shared" si="19"/>
        <v>266.92179771982074</v>
      </c>
      <c r="G198" s="7">
        <v>0</v>
      </c>
      <c r="H198" s="7">
        <f t="shared" si="20"/>
        <v>0</v>
      </c>
      <c r="I198" s="7">
        <f t="shared" si="21"/>
        <v>0</v>
      </c>
      <c r="J198" s="7">
        <v>1404.0705934629359</v>
      </c>
      <c r="K198" s="7">
        <f t="shared" si="22"/>
        <v>22.39347039015847</v>
      </c>
      <c r="L198" s="7">
        <f t="shared" si="23"/>
        <v>84.289281995430869</v>
      </c>
      <c r="M198" s="7">
        <v>0</v>
      </c>
      <c r="N198" s="7">
        <f t="shared" si="24"/>
        <v>0</v>
      </c>
      <c r="O198" s="7">
        <f t="shared" si="25"/>
        <v>0</v>
      </c>
    </row>
    <row r="199" spans="3:15" x14ac:dyDescent="0.2">
      <c r="C199">
        <v>180</v>
      </c>
      <c r="D199" s="7">
        <v>3300.8437934369695</v>
      </c>
      <c r="E199" s="7">
        <f t="shared" si="18"/>
        <v>98.709443583641445</v>
      </c>
      <c r="F199" s="7">
        <f t="shared" si="19"/>
        <v>266.55138232968756</v>
      </c>
      <c r="G199" s="7">
        <v>0</v>
      </c>
      <c r="H199" s="7">
        <f t="shared" si="20"/>
        <v>0</v>
      </c>
      <c r="I199" s="7">
        <f t="shared" si="21"/>
        <v>0</v>
      </c>
      <c r="J199" s="7">
        <v>1648.12381358116</v>
      </c>
      <c r="K199" s="7">
        <f t="shared" si="22"/>
        <v>26.285866245313557</v>
      </c>
      <c r="L199" s="7">
        <f t="shared" si="23"/>
        <v>98.940305090859709</v>
      </c>
      <c r="M199" s="7">
        <v>0</v>
      </c>
      <c r="N199" s="7">
        <f t="shared" si="24"/>
        <v>0</v>
      </c>
      <c r="O199" s="7">
        <f t="shared" si="25"/>
        <v>0</v>
      </c>
    </row>
    <row r="200" spans="3:15" x14ac:dyDescent="0.2">
      <c r="C200">
        <v>181</v>
      </c>
      <c r="D200" s="7">
        <v>3296.2830713584335</v>
      </c>
      <c r="E200" s="7">
        <f t="shared" si="18"/>
        <v>98.573058354020148</v>
      </c>
      <c r="F200" s="7">
        <f t="shared" si="19"/>
        <v>266.18309262846861</v>
      </c>
      <c r="G200" s="7">
        <v>0</v>
      </c>
      <c r="H200" s="7">
        <f t="shared" si="20"/>
        <v>0</v>
      </c>
      <c r="I200" s="7">
        <f t="shared" si="21"/>
        <v>0</v>
      </c>
      <c r="J200" s="7">
        <v>1892.1507101928328</v>
      </c>
      <c r="K200" s="7">
        <f t="shared" si="22"/>
        <v>30.177842267828275</v>
      </c>
      <c r="L200" s="7">
        <f t="shared" si="23"/>
        <v>113.58974793136608</v>
      </c>
      <c r="M200" s="7">
        <v>0</v>
      </c>
      <c r="N200" s="7">
        <f t="shared" si="24"/>
        <v>0</v>
      </c>
      <c r="O200" s="7">
        <f t="shared" si="25"/>
        <v>0</v>
      </c>
    </row>
    <row r="201" spans="3:15" x14ac:dyDescent="0.2">
      <c r="C201">
        <v>182</v>
      </c>
      <c r="D201" s="7">
        <v>3291.7485809226914</v>
      </c>
      <c r="E201" s="7">
        <f t="shared" si="18"/>
        <v>98.437457563477622</v>
      </c>
      <c r="F201" s="7">
        <f t="shared" si="19"/>
        <v>265.81692119793593</v>
      </c>
      <c r="G201" s="7">
        <v>0</v>
      </c>
      <c r="H201" s="7">
        <f t="shared" si="20"/>
        <v>0</v>
      </c>
      <c r="I201" s="7">
        <f t="shared" si="21"/>
        <v>0</v>
      </c>
      <c r="J201" s="7">
        <v>2136.1513751617108</v>
      </c>
      <c r="K201" s="7">
        <f t="shared" si="22"/>
        <v>34.069399922834307</v>
      </c>
      <c r="L201" s="7">
        <f t="shared" si="23"/>
        <v>128.23761603172261</v>
      </c>
      <c r="M201" s="7">
        <v>0</v>
      </c>
      <c r="N201" s="7">
        <f t="shared" si="24"/>
        <v>0</v>
      </c>
      <c r="O201" s="7">
        <f t="shared" si="25"/>
        <v>0</v>
      </c>
    </row>
    <row r="202" spans="3:15" x14ac:dyDescent="0.2">
      <c r="C202">
        <v>183</v>
      </c>
      <c r="D202" s="7">
        <v>3287.2402305213695</v>
      </c>
      <c r="E202" s="7">
        <f t="shared" si="18"/>
        <v>98.302638472528997</v>
      </c>
      <c r="F202" s="7">
        <f t="shared" si="19"/>
        <v>265.4528606404844</v>
      </c>
      <c r="G202" s="7">
        <v>0</v>
      </c>
      <c r="H202" s="7">
        <f t="shared" si="20"/>
        <v>0</v>
      </c>
      <c r="I202" s="7">
        <f t="shared" si="21"/>
        <v>0</v>
      </c>
      <c r="J202" s="7">
        <v>1981.0156092076072</v>
      </c>
      <c r="K202" s="7">
        <f t="shared" si="22"/>
        <v>31.595145282417981</v>
      </c>
      <c r="L202" s="7">
        <f t="shared" si="23"/>
        <v>118.92449289890932</v>
      </c>
      <c r="M202" s="7">
        <v>0</v>
      </c>
      <c r="N202" s="7">
        <f t="shared" si="24"/>
        <v>0</v>
      </c>
      <c r="O202" s="7">
        <f t="shared" si="25"/>
        <v>0</v>
      </c>
    </row>
    <row r="203" spans="3:15" x14ac:dyDescent="0.2">
      <c r="C203">
        <v>184</v>
      </c>
      <c r="D203" s="7">
        <v>3285.1419625171056</v>
      </c>
      <c r="E203" s="7">
        <f t="shared" si="18"/>
        <v>98.239891223597667</v>
      </c>
      <c r="F203" s="7">
        <f t="shared" si="19"/>
        <v>265.28342025734759</v>
      </c>
      <c r="G203" s="7">
        <v>2899.6441138621121</v>
      </c>
      <c r="H203" s="7">
        <f t="shared" si="20"/>
        <v>69.369476408184511</v>
      </c>
      <c r="I203" s="7">
        <f t="shared" si="21"/>
        <v>150.74692869708065</v>
      </c>
      <c r="J203" s="7">
        <v>2195.9726990191039</v>
      </c>
      <c r="K203" s="7">
        <f t="shared" si="22"/>
        <v>35.023488022633238</v>
      </c>
      <c r="L203" s="7">
        <f t="shared" si="23"/>
        <v>131.82881469326549</v>
      </c>
      <c r="M203" s="7">
        <v>1065.5301103947766</v>
      </c>
      <c r="N203" s="7">
        <f t="shared" si="24"/>
        <v>84.970503221274058</v>
      </c>
      <c r="O203" s="7">
        <f t="shared" si="25"/>
        <v>32.164308073373618</v>
      </c>
    </row>
    <row r="204" spans="3:15" x14ac:dyDescent="0.2">
      <c r="C204">
        <v>185</v>
      </c>
      <c r="D204" s="7">
        <v>3287.1813382939404</v>
      </c>
      <c r="E204" s="7">
        <f t="shared" si="18"/>
        <v>98.300877341325972</v>
      </c>
      <c r="F204" s="7">
        <f t="shared" si="19"/>
        <v>265.44810494599778</v>
      </c>
      <c r="G204" s="7">
        <v>2897.1915555135383</v>
      </c>
      <c r="H204" s="7">
        <f t="shared" si="20"/>
        <v>69.310802763481789</v>
      </c>
      <c r="I204" s="7">
        <f t="shared" si="21"/>
        <v>150.61942489869023</v>
      </c>
      <c r="J204" s="7">
        <v>2938.9391995675792</v>
      </c>
      <c r="K204" s="7">
        <f t="shared" si="22"/>
        <v>46.873033485926307</v>
      </c>
      <c r="L204" s="7">
        <f t="shared" si="23"/>
        <v>176.43064110388465</v>
      </c>
      <c r="M204" s="7">
        <v>1067.9826687433501</v>
      </c>
      <c r="N204" s="7">
        <f t="shared" si="24"/>
        <v>85.166082036949774</v>
      </c>
      <c r="O204" s="7">
        <f t="shared" si="25"/>
        <v>32.23834149722704</v>
      </c>
    </row>
    <row r="205" spans="3:15" x14ac:dyDescent="0.2">
      <c r="C205">
        <v>186</v>
      </c>
      <c r="D205" s="7">
        <v>3289.2105429044268</v>
      </c>
      <c r="E205" s="7">
        <f t="shared" si="18"/>
        <v>98.361559297381191</v>
      </c>
      <c r="F205" s="7">
        <f t="shared" si="19"/>
        <v>265.61196828755618</v>
      </c>
      <c r="G205" s="7">
        <v>2894.3245485035632</v>
      </c>
      <c r="H205" s="7">
        <f t="shared" si="20"/>
        <v>69.242214079032621</v>
      </c>
      <c r="I205" s="7">
        <f t="shared" si="21"/>
        <v>150.47037471034449</v>
      </c>
      <c r="J205" s="7">
        <v>2777.2658786016691</v>
      </c>
      <c r="K205" s="7">
        <f t="shared" si="22"/>
        <v>44.294511620441298</v>
      </c>
      <c r="L205" s="7">
        <f t="shared" si="23"/>
        <v>166.72505492789077</v>
      </c>
      <c r="M205" s="7">
        <v>1070.8496757533251</v>
      </c>
      <c r="N205" s="7">
        <f t="shared" si="24"/>
        <v>85.394710985113647</v>
      </c>
      <c r="O205" s="7">
        <f t="shared" si="25"/>
        <v>32.324885552451526</v>
      </c>
    </row>
    <row r="206" spans="3:15" x14ac:dyDescent="0.2">
      <c r="C206">
        <v>187</v>
      </c>
      <c r="D206" s="7">
        <v>3291.2293525381697</v>
      </c>
      <c r="E206" s="7">
        <f t="shared" si="18"/>
        <v>98.42193039886871</v>
      </c>
      <c r="F206" s="7">
        <f t="shared" si="19"/>
        <v>265.77499220877428</v>
      </c>
      <c r="G206" s="7">
        <v>2891.3308721913872</v>
      </c>
      <c r="H206" s="7">
        <f t="shared" si="20"/>
        <v>69.170595028502092</v>
      </c>
      <c r="I206" s="7">
        <f t="shared" si="21"/>
        <v>150.3147392282464</v>
      </c>
      <c r="J206" s="7">
        <v>3094.5353016787735</v>
      </c>
      <c r="K206" s="7">
        <f t="shared" si="22"/>
        <v>49.354630010825737</v>
      </c>
      <c r="L206" s="7">
        <f t="shared" si="23"/>
        <v>185.77139917495418</v>
      </c>
      <c r="M206" s="7">
        <v>1073.8433520655014</v>
      </c>
      <c r="N206" s="7">
        <f t="shared" si="24"/>
        <v>85.633441153548759</v>
      </c>
      <c r="O206" s="7">
        <f t="shared" si="25"/>
        <v>32.415253272929291</v>
      </c>
    </row>
    <row r="207" spans="3:15" x14ac:dyDescent="0.2">
      <c r="C207">
        <v>188</v>
      </c>
      <c r="D207" s="7">
        <v>3293.2373572210859</v>
      </c>
      <c r="E207" s="7">
        <f t="shared" si="18"/>
        <v>98.48197838579803</v>
      </c>
      <c r="F207" s="7">
        <f t="shared" si="19"/>
        <v>265.93714360322082</v>
      </c>
      <c r="G207" s="7">
        <v>2888.3188446529766</v>
      </c>
      <c r="H207" s="7">
        <f t="shared" si="20"/>
        <v>69.098536953420492</v>
      </c>
      <c r="I207" s="7">
        <f t="shared" si="21"/>
        <v>150.15814970114005</v>
      </c>
      <c r="J207" s="7">
        <v>2773.23906428501</v>
      </c>
      <c r="K207" s="7">
        <f t="shared" si="22"/>
        <v>44.230288106618985</v>
      </c>
      <c r="L207" s="7">
        <f t="shared" si="23"/>
        <v>166.48331687778108</v>
      </c>
      <c r="M207" s="7">
        <v>1076.8553796039121</v>
      </c>
      <c r="N207" s="7">
        <f t="shared" si="24"/>
        <v>85.873634737154077</v>
      </c>
      <c r="O207" s="7">
        <f t="shared" si="25"/>
        <v>32.506174947245036</v>
      </c>
    </row>
    <row r="208" spans="3:15" x14ac:dyDescent="0.2">
      <c r="C208">
        <v>189</v>
      </c>
      <c r="D208" s="7">
        <v>3295.2347945303886</v>
      </c>
      <c r="E208" s="7">
        <f t="shared" si="18"/>
        <v>98.541710362750862</v>
      </c>
      <c r="F208" s="7">
        <f t="shared" si="19"/>
        <v>266.09844165584906</v>
      </c>
      <c r="G208" s="7">
        <v>2885.1808336436329</v>
      </c>
      <c r="H208" s="7">
        <f t="shared" si="20"/>
        <v>69.023464919704139</v>
      </c>
      <c r="I208" s="7">
        <f t="shared" si="21"/>
        <v>149.99501053533183</v>
      </c>
      <c r="J208" s="7">
        <v>3250.1739760419773</v>
      </c>
      <c r="K208" s="7">
        <f t="shared" si="22"/>
        <v>51.836905519010806</v>
      </c>
      <c r="L208" s="7">
        <f t="shared" si="23"/>
        <v>195.11471294697745</v>
      </c>
      <c r="M208" s="7">
        <v>1079.9933906132555</v>
      </c>
      <c r="N208" s="7">
        <f t="shared" si="24"/>
        <v>86.12387484954192</v>
      </c>
      <c r="O208" s="7">
        <f t="shared" si="25"/>
        <v>32.600899584172247</v>
      </c>
    </row>
    <row r="209" spans="3:15" x14ac:dyDescent="0.2">
      <c r="C209">
        <v>190</v>
      </c>
      <c r="D209" s="7">
        <v>3297.2212572145363</v>
      </c>
      <c r="E209" s="7">
        <f t="shared" si="18"/>
        <v>98.601114151152402</v>
      </c>
      <c r="F209" s="7">
        <f t="shared" si="19"/>
        <v>266.25885348007984</v>
      </c>
      <c r="G209" s="7">
        <v>2882.2406870102222</v>
      </c>
      <c r="H209" s="7">
        <f t="shared" si="20"/>
        <v>68.953126483498139</v>
      </c>
      <c r="I209" s="7">
        <f t="shared" si="21"/>
        <v>149.84215795842871</v>
      </c>
      <c r="J209" s="7">
        <v>2449.9669315807123</v>
      </c>
      <c r="K209" s="7">
        <f t="shared" si="22"/>
        <v>39.074432720585527</v>
      </c>
      <c r="L209" s="7">
        <f t="shared" si="23"/>
        <v>147.07661746990246</v>
      </c>
      <c r="M209" s="7">
        <v>1082.9335372466664</v>
      </c>
      <c r="N209" s="7">
        <f t="shared" si="24"/>
        <v>86.358336303561927</v>
      </c>
      <c r="O209" s="7">
        <f t="shared" si="25"/>
        <v>32.689651446907398</v>
      </c>
    </row>
    <row r="210" spans="3:15" x14ac:dyDescent="0.2">
      <c r="C210">
        <v>191</v>
      </c>
      <c r="D210" s="7">
        <v>3295.0771707113176</v>
      </c>
      <c r="E210" s="7">
        <f t="shared" si="18"/>
        <v>98.536996731797785</v>
      </c>
      <c r="F210" s="7">
        <f t="shared" si="19"/>
        <v>266.08571313869083</v>
      </c>
      <c r="G210" s="7">
        <v>0</v>
      </c>
      <c r="H210" s="7">
        <f t="shared" si="20"/>
        <v>0</v>
      </c>
      <c r="I210" s="7">
        <f t="shared" si="21"/>
        <v>0</v>
      </c>
      <c r="J210" s="7">
        <v>1653.8904363068118</v>
      </c>
      <c r="K210" s="7">
        <f t="shared" si="22"/>
        <v>26.377837899630173</v>
      </c>
      <c r="L210" s="7">
        <f t="shared" si="23"/>
        <v>99.286487463275122</v>
      </c>
      <c r="M210" s="7">
        <v>0</v>
      </c>
      <c r="N210" s="7">
        <f t="shared" si="24"/>
        <v>0</v>
      </c>
      <c r="O210" s="7">
        <f t="shared" si="25"/>
        <v>0</v>
      </c>
    </row>
    <row r="211" spans="3:15" x14ac:dyDescent="0.2">
      <c r="C211">
        <v>192</v>
      </c>
      <c r="D211" s="7">
        <v>3290.601740496305</v>
      </c>
      <c r="E211" s="7">
        <f t="shared" si="18"/>
        <v>98.403162096181376</v>
      </c>
      <c r="F211" s="7">
        <f t="shared" si="19"/>
        <v>265.72431096852347</v>
      </c>
      <c r="G211" s="7">
        <v>0</v>
      </c>
      <c r="H211" s="7">
        <f t="shared" si="20"/>
        <v>0</v>
      </c>
      <c r="I211" s="7">
        <f t="shared" si="21"/>
        <v>0</v>
      </c>
      <c r="J211" s="7">
        <v>860.14528474470717</v>
      </c>
      <c r="K211" s="7">
        <f t="shared" si="22"/>
        <v>13.718425594014469</v>
      </c>
      <c r="L211" s="7">
        <f t="shared" si="23"/>
        <v>51.636312875176429</v>
      </c>
      <c r="M211" s="7">
        <v>0</v>
      </c>
      <c r="N211" s="7">
        <f t="shared" si="24"/>
        <v>0</v>
      </c>
      <c r="O211" s="7">
        <f t="shared" si="25"/>
        <v>0</v>
      </c>
    </row>
    <row r="212" spans="3:15" x14ac:dyDescent="0.2">
      <c r="C212">
        <v>193</v>
      </c>
      <c r="D212" s="7">
        <v>2713.9499780422011</v>
      </c>
      <c r="E212" s="7">
        <f t="shared" si="18"/>
        <v>81.158791209395972</v>
      </c>
      <c r="F212" s="7">
        <f t="shared" si="19"/>
        <v>219.15824058657853</v>
      </c>
      <c r="G212" s="7">
        <v>0</v>
      </c>
      <c r="H212" s="7">
        <f t="shared" si="20"/>
        <v>0</v>
      </c>
      <c r="I212" s="7">
        <f t="shared" si="21"/>
        <v>0</v>
      </c>
      <c r="J212" s="7">
        <v>0</v>
      </c>
      <c r="K212" s="7">
        <f t="shared" si="22"/>
        <v>0</v>
      </c>
      <c r="L212" s="7">
        <f t="shared" si="23"/>
        <v>0</v>
      </c>
      <c r="M212" s="7">
        <v>0</v>
      </c>
      <c r="N212" s="7">
        <f t="shared" si="24"/>
        <v>0</v>
      </c>
      <c r="O212" s="7">
        <f t="shared" si="25"/>
        <v>0</v>
      </c>
    </row>
    <row r="213" spans="3:15" x14ac:dyDescent="0.2">
      <c r="C213">
        <v>194</v>
      </c>
      <c r="D213" s="7">
        <v>2554.3058616867775</v>
      </c>
      <c r="E213" s="7">
        <f t="shared" ref="E213:E276" si="26">D213/($C$3*($D$8-$D$6))</f>
        <v>76.384744667666794</v>
      </c>
      <c r="F213" s="7">
        <f t="shared" ref="F213:F276" si="27">E213*$C$3*((($D$8)-($D$6))-$C$2*LN(($D$8)/($D$6)))</f>
        <v>206.2665793756033</v>
      </c>
      <c r="G213" s="7">
        <v>0</v>
      </c>
      <c r="H213" s="7">
        <f t="shared" ref="H213:H276" si="28">G213/($C$3*($D$6-$D$9))</f>
        <v>0</v>
      </c>
      <c r="I213" s="7">
        <f t="shared" ref="I213:I276" si="29">ABS(H213*$C$3*(($D$9-$D$6)-$C$2*(LN($D$9/$D$6))))</f>
        <v>0</v>
      </c>
      <c r="J213" s="7">
        <v>0</v>
      </c>
      <c r="K213" s="7">
        <f t="shared" ref="K213:K276" si="30">J213/($C$3*($D$10-$D$7))</f>
        <v>0</v>
      </c>
      <c r="L213" s="7">
        <f t="shared" ref="L213:L276" si="31">K213*$C$3*(($D$10-$D$7)-$C$2*LN($D$10/$D$7))</f>
        <v>0</v>
      </c>
      <c r="M213" s="7">
        <v>0</v>
      </c>
      <c r="N213" s="7">
        <f t="shared" ref="N213:N276" si="32">M213/($C$3*($D$7-$D$11))</f>
        <v>0</v>
      </c>
      <c r="O213" s="7">
        <f t="shared" ref="O213:O276" si="33">ABS(N213*$C$3*(($D$11-$D$7)-$C$2*LN($D$11/$D$7)))</f>
        <v>0</v>
      </c>
    </row>
    <row r="214" spans="3:15" x14ac:dyDescent="0.2">
      <c r="C214">
        <v>195</v>
      </c>
      <c r="D214" s="7">
        <v>2745.8788013132853</v>
      </c>
      <c r="E214" s="7">
        <f t="shared" si="26"/>
        <v>82.113600517741787</v>
      </c>
      <c r="F214" s="7">
        <f t="shared" si="27"/>
        <v>221.73657282877352</v>
      </c>
      <c r="G214" s="7">
        <v>0</v>
      </c>
      <c r="H214" s="7">
        <f t="shared" si="28"/>
        <v>0</v>
      </c>
      <c r="I214" s="7">
        <f t="shared" si="29"/>
        <v>0</v>
      </c>
      <c r="J214" s="7">
        <v>0</v>
      </c>
      <c r="K214" s="7">
        <f t="shared" si="30"/>
        <v>0</v>
      </c>
      <c r="L214" s="7">
        <f t="shared" si="31"/>
        <v>0</v>
      </c>
      <c r="M214" s="7">
        <v>0</v>
      </c>
      <c r="N214" s="7">
        <f t="shared" si="32"/>
        <v>0</v>
      </c>
      <c r="O214" s="7">
        <f t="shared" si="33"/>
        <v>0</v>
      </c>
    </row>
    <row r="215" spans="3:15" x14ac:dyDescent="0.2">
      <c r="C215">
        <v>196</v>
      </c>
      <c r="D215" s="7">
        <v>2873.5940943976243</v>
      </c>
      <c r="E215" s="7">
        <f t="shared" si="26"/>
        <v>85.932837751125135</v>
      </c>
      <c r="F215" s="7">
        <f t="shared" si="27"/>
        <v>232.0499017975537</v>
      </c>
      <c r="G215" s="7">
        <v>0</v>
      </c>
      <c r="H215" s="7">
        <f t="shared" si="28"/>
        <v>0</v>
      </c>
      <c r="I215" s="7">
        <f t="shared" si="29"/>
        <v>0</v>
      </c>
      <c r="J215" s="7">
        <v>0</v>
      </c>
      <c r="K215" s="7">
        <f t="shared" si="30"/>
        <v>0</v>
      </c>
      <c r="L215" s="7">
        <f t="shared" si="31"/>
        <v>0</v>
      </c>
      <c r="M215" s="7">
        <v>0</v>
      </c>
      <c r="N215" s="7">
        <f t="shared" si="32"/>
        <v>0</v>
      </c>
      <c r="O215" s="7">
        <f t="shared" si="33"/>
        <v>0</v>
      </c>
    </row>
    <row r="216" spans="3:15" x14ac:dyDescent="0.2">
      <c r="C216">
        <v>197</v>
      </c>
      <c r="D216" s="7">
        <v>3170.0760247719822</v>
      </c>
      <c r="E216" s="7">
        <f t="shared" si="26"/>
        <v>94.798924185765031</v>
      </c>
      <c r="F216" s="7">
        <f t="shared" si="27"/>
        <v>255.99155833222193</v>
      </c>
      <c r="G216" s="7">
        <v>0</v>
      </c>
      <c r="H216" s="7">
        <f t="shared" si="28"/>
        <v>0</v>
      </c>
      <c r="I216" s="7">
        <f t="shared" si="29"/>
        <v>0</v>
      </c>
      <c r="J216" s="7">
        <v>0</v>
      </c>
      <c r="K216" s="7">
        <f t="shared" si="30"/>
        <v>0</v>
      </c>
      <c r="L216" s="7">
        <f t="shared" si="31"/>
        <v>0</v>
      </c>
      <c r="M216" s="7">
        <v>0</v>
      </c>
      <c r="N216" s="7">
        <f t="shared" si="32"/>
        <v>0</v>
      </c>
      <c r="O216" s="7">
        <f t="shared" si="33"/>
        <v>0</v>
      </c>
    </row>
    <row r="217" spans="3:15" x14ac:dyDescent="0.2">
      <c r="C217">
        <v>198</v>
      </c>
      <c r="D217" s="7">
        <v>3269.0401762804231</v>
      </c>
      <c r="E217" s="7">
        <f t="shared" si="26"/>
        <v>97.75837847728539</v>
      </c>
      <c r="F217" s="7">
        <f t="shared" si="27"/>
        <v>263.98316079402537</v>
      </c>
      <c r="G217" s="7">
        <v>0</v>
      </c>
      <c r="H217" s="7">
        <f t="shared" si="28"/>
        <v>0</v>
      </c>
      <c r="I217" s="7">
        <f t="shared" si="29"/>
        <v>0</v>
      </c>
      <c r="J217" s="7">
        <v>106.29256951996103</v>
      </c>
      <c r="K217" s="7">
        <f t="shared" si="30"/>
        <v>1.6952562921843866</v>
      </c>
      <c r="L217" s="7">
        <f t="shared" si="31"/>
        <v>6.3809643247281933</v>
      </c>
      <c r="M217" s="7">
        <v>0</v>
      </c>
      <c r="N217" s="7">
        <f t="shared" si="32"/>
        <v>0</v>
      </c>
      <c r="O217" s="7">
        <f t="shared" si="33"/>
        <v>0</v>
      </c>
    </row>
    <row r="218" spans="3:15" x14ac:dyDescent="0.2">
      <c r="C218">
        <v>199</v>
      </c>
      <c r="D218" s="7">
        <v>3267.0610653526505</v>
      </c>
      <c r="E218" s="7">
        <f t="shared" si="26"/>
        <v>97.699194538057739</v>
      </c>
      <c r="F218" s="7">
        <f t="shared" si="27"/>
        <v>263.82334264248777</v>
      </c>
      <c r="G218" s="7">
        <v>2873.5743250102655</v>
      </c>
      <c r="H218" s="7">
        <f t="shared" si="28"/>
        <v>68.745797249049417</v>
      </c>
      <c r="I218" s="7">
        <f t="shared" si="29"/>
        <v>149.39161044184729</v>
      </c>
      <c r="J218" s="7">
        <v>313.52840147613551</v>
      </c>
      <c r="K218" s="7">
        <f t="shared" si="30"/>
        <v>5.0004529741010453</v>
      </c>
      <c r="L218" s="7">
        <f t="shared" si="31"/>
        <v>18.821762928899531</v>
      </c>
      <c r="M218" s="7">
        <v>1091.599899246623</v>
      </c>
      <c r="N218" s="7">
        <f t="shared" si="32"/>
        <v>87.049433751724322</v>
      </c>
      <c r="O218" s="7">
        <f t="shared" si="33"/>
        <v>32.951256008357753</v>
      </c>
    </row>
    <row r="219" spans="3:15" x14ac:dyDescent="0.2">
      <c r="C219">
        <v>200</v>
      </c>
      <c r="D219" s="7">
        <v>3269.2084535803829</v>
      </c>
      <c r="E219" s="7">
        <f t="shared" si="26"/>
        <v>97.763410693193279</v>
      </c>
      <c r="F219" s="7">
        <f t="shared" si="27"/>
        <v>263.99674960637941</v>
      </c>
      <c r="G219" s="7">
        <v>2873.6929419540938</v>
      </c>
      <c r="H219" s="7">
        <f t="shared" si="28"/>
        <v>68.74863497497833</v>
      </c>
      <c r="I219" s="7">
        <f t="shared" si="29"/>
        <v>149.39777710895243</v>
      </c>
      <c r="J219" s="7">
        <v>516.63773427680508</v>
      </c>
      <c r="K219" s="7">
        <f t="shared" si="30"/>
        <v>8.2398362723573388</v>
      </c>
      <c r="L219" s="7">
        <f t="shared" si="31"/>
        <v>31.014839194470778</v>
      </c>
      <c r="M219" s="7">
        <v>1091.4812823027944</v>
      </c>
      <c r="N219" s="7">
        <f t="shared" si="32"/>
        <v>87.039974665294622</v>
      </c>
      <c r="O219" s="7">
        <f t="shared" si="33"/>
        <v>32.94767541322787</v>
      </c>
    </row>
    <row r="220" spans="3:15" x14ac:dyDescent="0.2">
      <c r="C220">
        <v>201</v>
      </c>
      <c r="D220" s="7">
        <v>3267.2346608756393</v>
      </c>
      <c r="E220" s="7">
        <f t="shared" si="26"/>
        <v>97.704385791735632</v>
      </c>
      <c r="F220" s="7">
        <f t="shared" si="27"/>
        <v>263.83736091463709</v>
      </c>
      <c r="G220" s="7">
        <v>0</v>
      </c>
      <c r="H220" s="7">
        <f t="shared" si="28"/>
        <v>0</v>
      </c>
      <c r="I220" s="7">
        <f t="shared" si="29"/>
        <v>0</v>
      </c>
      <c r="J220" s="7">
        <v>723.86824800994964</v>
      </c>
      <c r="K220" s="7">
        <f t="shared" si="30"/>
        <v>11.54494813412998</v>
      </c>
      <c r="L220" s="7">
        <f t="shared" si="31"/>
        <v>43.455318534637321</v>
      </c>
      <c r="M220" s="7">
        <v>0</v>
      </c>
      <c r="N220" s="7">
        <f t="shared" si="32"/>
        <v>0</v>
      </c>
      <c r="O220" s="7">
        <f t="shared" si="33"/>
        <v>0</v>
      </c>
    </row>
    <row r="221" spans="3:15" x14ac:dyDescent="0.2">
      <c r="C221">
        <v>202</v>
      </c>
      <c r="D221" s="7">
        <v>3262.9413554451748</v>
      </c>
      <c r="E221" s="7">
        <f t="shared" si="26"/>
        <v>97.575997471446627</v>
      </c>
      <c r="F221" s="7">
        <f t="shared" si="27"/>
        <v>263.49066577579737</v>
      </c>
      <c r="G221" s="7">
        <v>0</v>
      </c>
      <c r="H221" s="7">
        <f t="shared" si="28"/>
        <v>0</v>
      </c>
      <c r="I221" s="7">
        <f t="shared" si="29"/>
        <v>0</v>
      </c>
      <c r="J221" s="7">
        <v>933.41827446881598</v>
      </c>
      <c r="K221" s="7">
        <f t="shared" si="30"/>
        <v>14.887053819279362</v>
      </c>
      <c r="L221" s="7">
        <f t="shared" si="31"/>
        <v>56.035043054597956</v>
      </c>
      <c r="M221" s="7">
        <v>0</v>
      </c>
      <c r="N221" s="7">
        <f t="shared" si="32"/>
        <v>0</v>
      </c>
      <c r="O221" s="7">
        <f t="shared" si="33"/>
        <v>0</v>
      </c>
    </row>
    <row r="222" spans="3:15" x14ac:dyDescent="0.2">
      <c r="C222">
        <v>203</v>
      </c>
      <c r="D222" s="7">
        <v>3258.673266323804</v>
      </c>
      <c r="E222" s="7">
        <f t="shared" si="26"/>
        <v>97.448363227386494</v>
      </c>
      <c r="F222" s="7">
        <f t="shared" si="27"/>
        <v>263.14600691691112</v>
      </c>
      <c r="G222" s="7">
        <v>0</v>
      </c>
      <c r="H222" s="7">
        <f t="shared" si="28"/>
        <v>0</v>
      </c>
      <c r="I222" s="7">
        <f t="shared" si="29"/>
        <v>0</v>
      </c>
      <c r="J222" s="7">
        <v>1142.9430846185892</v>
      </c>
      <c r="K222" s="7">
        <f t="shared" si="30"/>
        <v>18.228757330440018</v>
      </c>
      <c r="L222" s="7">
        <f t="shared" si="31"/>
        <v>68.613253787005519</v>
      </c>
      <c r="M222" s="7">
        <v>0</v>
      </c>
      <c r="N222" s="7">
        <f t="shared" si="32"/>
        <v>0</v>
      </c>
      <c r="O222" s="7">
        <f t="shared" si="33"/>
        <v>0</v>
      </c>
    </row>
    <row r="223" spans="3:15" x14ac:dyDescent="0.2">
      <c r="C223">
        <v>204</v>
      </c>
      <c r="D223" s="7">
        <v>3254.4303048745346</v>
      </c>
      <c r="E223" s="7">
        <f t="shared" si="26"/>
        <v>97.321480408927471</v>
      </c>
      <c r="F223" s="7">
        <f t="shared" si="27"/>
        <v>262.80337718031984</v>
      </c>
      <c r="G223" s="7">
        <v>0</v>
      </c>
      <c r="H223" s="7">
        <f t="shared" si="28"/>
        <v>0</v>
      </c>
      <c r="I223" s="7">
        <f t="shared" si="29"/>
        <v>0</v>
      </c>
      <c r="J223" s="7">
        <v>1352.44276709626</v>
      </c>
      <c r="K223" s="7">
        <f t="shared" si="30"/>
        <v>21.570060081280065</v>
      </c>
      <c r="L223" s="7">
        <f t="shared" si="31"/>
        <v>81.189956052923151</v>
      </c>
      <c r="M223" s="7">
        <v>0</v>
      </c>
      <c r="N223" s="7">
        <f t="shared" si="32"/>
        <v>0</v>
      </c>
      <c r="O223" s="7">
        <f t="shared" si="33"/>
        <v>0</v>
      </c>
    </row>
    <row r="224" spans="3:15" x14ac:dyDescent="0.2">
      <c r="C224">
        <v>205</v>
      </c>
      <c r="D224" s="7">
        <v>3250.212382707944</v>
      </c>
      <c r="E224" s="7">
        <f t="shared" si="26"/>
        <v>97.195346372845222</v>
      </c>
      <c r="F224" s="7">
        <f t="shared" si="27"/>
        <v>262.46276942835681</v>
      </c>
      <c r="G224" s="7">
        <v>0</v>
      </c>
      <c r="H224" s="7">
        <f t="shared" si="28"/>
        <v>0</v>
      </c>
      <c r="I224" s="7">
        <f t="shared" si="29"/>
        <v>0</v>
      </c>
      <c r="J224" s="7">
        <v>1561.9174102912521</v>
      </c>
      <c r="K224" s="7">
        <f t="shared" si="30"/>
        <v>24.910963481519172</v>
      </c>
      <c r="L224" s="7">
        <f t="shared" si="31"/>
        <v>93.765155158552048</v>
      </c>
      <c r="M224" s="7">
        <v>0</v>
      </c>
      <c r="N224" s="7">
        <f t="shared" si="32"/>
        <v>0</v>
      </c>
      <c r="O224" s="7">
        <f t="shared" si="33"/>
        <v>0</v>
      </c>
    </row>
    <row r="225" spans="3:15" x14ac:dyDescent="0.2">
      <c r="C225">
        <v>206</v>
      </c>
      <c r="D225" s="7">
        <v>3246.0194116816065</v>
      </c>
      <c r="E225" s="7">
        <f t="shared" si="26"/>
        <v>97.069958483301633</v>
      </c>
      <c r="F225" s="7">
        <f t="shared" si="27"/>
        <v>262.1241765433009</v>
      </c>
      <c r="G225" s="7">
        <v>0</v>
      </c>
      <c r="H225" s="7">
        <f t="shared" si="28"/>
        <v>0</v>
      </c>
      <c r="I225" s="7">
        <f t="shared" si="29"/>
        <v>0</v>
      </c>
      <c r="J225" s="7">
        <v>1771.367102345991</v>
      </c>
      <c r="K225" s="7">
        <f t="shared" si="30"/>
        <v>28.251468936937659</v>
      </c>
      <c r="L225" s="7">
        <f t="shared" si="31"/>
        <v>106.33885639526561</v>
      </c>
      <c r="M225" s="7">
        <v>0</v>
      </c>
      <c r="N225" s="7">
        <f t="shared" si="32"/>
        <v>0</v>
      </c>
      <c r="O225" s="7">
        <f t="shared" si="33"/>
        <v>0</v>
      </c>
    </row>
    <row r="226" spans="3:15" x14ac:dyDescent="0.2">
      <c r="C226">
        <v>207</v>
      </c>
      <c r="D226" s="7">
        <v>3241.8513038995097</v>
      </c>
      <c r="E226" s="7">
        <f t="shared" si="26"/>
        <v>96.945314111827457</v>
      </c>
      <c r="F226" s="7">
        <f t="shared" si="27"/>
        <v>261.78759142732963</v>
      </c>
      <c r="G226" s="7">
        <v>0</v>
      </c>
      <c r="H226" s="7">
        <f t="shared" si="28"/>
        <v>0</v>
      </c>
      <c r="I226" s="7">
        <f t="shared" si="29"/>
        <v>0</v>
      </c>
      <c r="J226" s="7">
        <v>1980.7919311564901</v>
      </c>
      <c r="K226" s="7">
        <f t="shared" si="30"/>
        <v>31.591577849385811</v>
      </c>
      <c r="L226" s="7">
        <f t="shared" si="31"/>
        <v>118.91106503964455</v>
      </c>
      <c r="M226" s="7">
        <v>0</v>
      </c>
      <c r="N226" s="7">
        <f t="shared" si="32"/>
        <v>0</v>
      </c>
      <c r="O226" s="7">
        <f t="shared" si="33"/>
        <v>0</v>
      </c>
    </row>
    <row r="227" spans="3:15" x14ac:dyDescent="0.2">
      <c r="C227">
        <v>208</v>
      </c>
      <c r="D227" s="7">
        <v>3240.0165946371249</v>
      </c>
      <c r="E227" s="7">
        <f t="shared" si="26"/>
        <v>96.890448404220251</v>
      </c>
      <c r="F227" s="7">
        <f t="shared" si="27"/>
        <v>261.63943407100942</v>
      </c>
      <c r="G227" s="7">
        <v>2854.447681771293</v>
      </c>
      <c r="H227" s="7">
        <f t="shared" si="28"/>
        <v>68.288222051944814</v>
      </c>
      <c r="I227" s="7">
        <f t="shared" si="29"/>
        <v>148.39725299267755</v>
      </c>
      <c r="J227" s="7">
        <v>2187.8833614472774</v>
      </c>
      <c r="K227" s="7">
        <f t="shared" si="30"/>
        <v>34.894471474438241</v>
      </c>
      <c r="L227" s="7">
        <f t="shared" si="31"/>
        <v>131.34319491109611</v>
      </c>
      <c r="M227" s="7">
        <v>1110.7265424855952</v>
      </c>
      <c r="N227" s="7">
        <f t="shared" si="32"/>
        <v>88.574684408739657</v>
      </c>
      <c r="O227" s="7">
        <f t="shared" si="33"/>
        <v>33.528616741335895</v>
      </c>
    </row>
    <row r="228" spans="3:15" x14ac:dyDescent="0.2">
      <c r="C228">
        <v>209</v>
      </c>
      <c r="D228" s="7">
        <v>3242.2924501202046</v>
      </c>
      <c r="E228" s="7">
        <f t="shared" si="26"/>
        <v>96.958506283498949</v>
      </c>
      <c r="F228" s="7">
        <f t="shared" si="27"/>
        <v>261.82321508670111</v>
      </c>
      <c r="G228" s="7">
        <v>2852.1030535443974</v>
      </c>
      <c r="H228" s="7">
        <f t="shared" si="28"/>
        <v>68.23213046756932</v>
      </c>
      <c r="I228" s="7">
        <f t="shared" si="29"/>
        <v>148.27536027403281</v>
      </c>
      <c r="J228" s="7">
        <v>2025.9633896087721</v>
      </c>
      <c r="K228" s="7">
        <f t="shared" si="30"/>
        <v>32.31201578323401</v>
      </c>
      <c r="L228" s="7">
        <f t="shared" si="31"/>
        <v>121.62280176951846</v>
      </c>
      <c r="M228" s="7">
        <v>1113.071170712491</v>
      </c>
      <c r="N228" s="7">
        <f t="shared" si="32"/>
        <v>88.76165635665798</v>
      </c>
      <c r="O228" s="7">
        <f t="shared" si="33"/>
        <v>33.599392164640889</v>
      </c>
    </row>
    <row r="229" spans="3:15" x14ac:dyDescent="0.2">
      <c r="C229">
        <v>210</v>
      </c>
      <c r="D229" s="7">
        <v>3244.5582528088348</v>
      </c>
      <c r="E229" s="7">
        <f t="shared" si="26"/>
        <v>97.026263540934067</v>
      </c>
      <c r="F229" s="7">
        <f t="shared" si="27"/>
        <v>262.00618431412761</v>
      </c>
      <c r="G229" s="7">
        <v>2849.6351684932979</v>
      </c>
      <c r="H229" s="7">
        <f t="shared" si="28"/>
        <v>68.173090155342067</v>
      </c>
      <c r="I229" s="7">
        <f t="shared" si="29"/>
        <v>148.14705966981307</v>
      </c>
      <c r="J229" s="7">
        <v>2342.9858196309901</v>
      </c>
      <c r="K229" s="7">
        <f t="shared" si="30"/>
        <v>37.368194890446418</v>
      </c>
      <c r="L229" s="7">
        <f t="shared" si="31"/>
        <v>140.65431850908249</v>
      </c>
      <c r="M229" s="7">
        <v>1115.5390557635906</v>
      </c>
      <c r="N229" s="7">
        <f t="shared" si="32"/>
        <v>88.958457397415515</v>
      </c>
      <c r="O229" s="7">
        <f t="shared" si="33"/>
        <v>33.673888243446044</v>
      </c>
    </row>
    <row r="230" spans="3:15" x14ac:dyDescent="0.2">
      <c r="C230">
        <v>211</v>
      </c>
      <c r="D230" s="7">
        <v>3246.8132744151526</v>
      </c>
      <c r="E230" s="7">
        <f t="shared" si="26"/>
        <v>97.093698397582315</v>
      </c>
      <c r="F230" s="7">
        <f t="shared" si="27"/>
        <v>262.18828294222459</v>
      </c>
      <c r="G230" s="7">
        <v>2846.7214726202956</v>
      </c>
      <c r="H230" s="7">
        <f t="shared" si="28"/>
        <v>68.103384512447263</v>
      </c>
      <c r="I230" s="7">
        <f t="shared" si="29"/>
        <v>147.99558221714477</v>
      </c>
      <c r="J230" s="7">
        <v>2660.0190307355197</v>
      </c>
      <c r="K230" s="7">
        <f t="shared" si="30"/>
        <v>42.424545944745134</v>
      </c>
      <c r="L230" s="7">
        <f t="shared" si="31"/>
        <v>159.68648245947156</v>
      </c>
      <c r="M230" s="7">
        <v>1118.4527516365927</v>
      </c>
      <c r="N230" s="7">
        <f t="shared" si="32"/>
        <v>89.190809540398149</v>
      </c>
      <c r="O230" s="7">
        <f t="shared" si="33"/>
        <v>33.761841658161508</v>
      </c>
    </row>
    <row r="231" spans="3:15" x14ac:dyDescent="0.2">
      <c r="C231">
        <v>212</v>
      </c>
      <c r="D231" s="7">
        <v>3249.0566310703252</v>
      </c>
      <c r="E231" s="7">
        <f t="shared" si="26"/>
        <v>97.160784421959491</v>
      </c>
      <c r="F231" s="7">
        <f t="shared" si="27"/>
        <v>262.3694395963758</v>
      </c>
      <c r="G231" s="7">
        <v>2843.4705945196251</v>
      </c>
      <c r="H231" s="7">
        <f t="shared" si="28"/>
        <v>68.02561230908195</v>
      </c>
      <c r="I231" s="7">
        <f t="shared" si="29"/>
        <v>147.82657530802035</v>
      </c>
      <c r="J231" s="7">
        <v>2817.4197904357707</v>
      </c>
      <c r="K231" s="7">
        <f t="shared" si="30"/>
        <v>44.934924887332869</v>
      </c>
      <c r="L231" s="7">
        <f t="shared" si="31"/>
        <v>169.13557788418797</v>
      </c>
      <c r="M231" s="7">
        <v>1121.7036297372633</v>
      </c>
      <c r="N231" s="7">
        <f t="shared" si="32"/>
        <v>89.45005021828257</v>
      </c>
      <c r="O231" s="7">
        <f t="shared" si="33"/>
        <v>33.859973324004542</v>
      </c>
    </row>
    <row r="232" spans="3:15" x14ac:dyDescent="0.2">
      <c r="C232">
        <v>213</v>
      </c>
      <c r="D232" s="7">
        <v>3251.2876059182463</v>
      </c>
      <c r="E232" s="7">
        <f t="shared" si="26"/>
        <v>97.227500176981053</v>
      </c>
      <c r="F232" s="7">
        <f t="shared" si="27"/>
        <v>262.54959638865978</v>
      </c>
      <c r="G232" s="7">
        <v>2839.7755651551361</v>
      </c>
      <c r="H232" s="7">
        <f t="shared" si="28"/>
        <v>67.937214477395599</v>
      </c>
      <c r="I232" s="7">
        <f t="shared" si="29"/>
        <v>147.63447782768495</v>
      </c>
      <c r="J232" s="7">
        <v>3294.1211646541196</v>
      </c>
      <c r="K232" s="7">
        <f t="shared" si="30"/>
        <v>52.537817618088035</v>
      </c>
      <c r="L232" s="7">
        <f t="shared" si="31"/>
        <v>197.75295420855048</v>
      </c>
      <c r="M232" s="7">
        <v>1125.3986591017526</v>
      </c>
      <c r="N232" s="7">
        <f t="shared" si="32"/>
        <v>89.744709657237053</v>
      </c>
      <c r="O232" s="7">
        <f t="shared" si="33"/>
        <v>33.971512230000883</v>
      </c>
    </row>
    <row r="233" spans="3:15" x14ac:dyDescent="0.2">
      <c r="C233">
        <v>214</v>
      </c>
      <c r="D233" s="7">
        <v>3253.5055687145555</v>
      </c>
      <c r="E233" s="7">
        <f t="shared" si="26"/>
        <v>97.293826815626659</v>
      </c>
      <c r="F233" s="7">
        <f t="shared" si="27"/>
        <v>262.72870242527</v>
      </c>
      <c r="G233" s="7">
        <v>2836.2837122731194</v>
      </c>
      <c r="H233" s="7">
        <f t="shared" si="28"/>
        <v>67.85367732710813</v>
      </c>
      <c r="I233" s="7">
        <f t="shared" si="29"/>
        <v>147.45294310247175</v>
      </c>
      <c r="J233" s="7">
        <v>2493.6826200806931</v>
      </c>
      <c r="K233" s="7">
        <f t="shared" si="30"/>
        <v>39.771652632865923</v>
      </c>
      <c r="L233" s="7">
        <f t="shared" si="31"/>
        <v>149.70096129759517</v>
      </c>
      <c r="M233" s="7">
        <v>1128.8905119837691</v>
      </c>
      <c r="N233" s="7">
        <f t="shared" si="32"/>
        <v>90.023166824861974</v>
      </c>
      <c r="O233" s="7">
        <f t="shared" si="33"/>
        <v>34.076918009479478</v>
      </c>
    </row>
    <row r="234" spans="3:15" x14ac:dyDescent="0.2">
      <c r="C234">
        <v>215</v>
      </c>
      <c r="D234" s="7">
        <v>3251.6213287892751</v>
      </c>
      <c r="E234" s="7">
        <f t="shared" si="26"/>
        <v>97.23747992790895</v>
      </c>
      <c r="F234" s="7">
        <f t="shared" si="27"/>
        <v>262.57654534418583</v>
      </c>
      <c r="G234" s="7">
        <v>0</v>
      </c>
      <c r="H234" s="7">
        <f t="shared" si="28"/>
        <v>0</v>
      </c>
      <c r="I234" s="7">
        <f t="shared" si="29"/>
        <v>0</v>
      </c>
      <c r="J234" s="7">
        <v>1697.3462782288543</v>
      </c>
      <c r="K234" s="7">
        <f t="shared" si="30"/>
        <v>27.070913528370884</v>
      </c>
      <c r="L234" s="7">
        <f t="shared" si="31"/>
        <v>101.89523215970951</v>
      </c>
      <c r="M234" s="7">
        <v>0</v>
      </c>
      <c r="N234" s="7">
        <f t="shared" si="32"/>
        <v>0</v>
      </c>
      <c r="O234" s="7">
        <f t="shared" si="33"/>
        <v>0</v>
      </c>
    </row>
    <row r="235" spans="3:15" x14ac:dyDescent="0.2">
      <c r="C235">
        <v>216</v>
      </c>
      <c r="D235" s="7">
        <v>3247.4782450460534</v>
      </c>
      <c r="E235" s="7">
        <f t="shared" si="26"/>
        <v>97.113583882956149</v>
      </c>
      <c r="F235" s="7">
        <f t="shared" si="27"/>
        <v>262.24198098186758</v>
      </c>
      <c r="G235" s="7">
        <v>0</v>
      </c>
      <c r="H235" s="7">
        <f t="shared" si="28"/>
        <v>0</v>
      </c>
      <c r="I235" s="7">
        <f t="shared" si="29"/>
        <v>0</v>
      </c>
      <c r="J235" s="7">
        <v>903.26878019495871</v>
      </c>
      <c r="K235" s="7">
        <f t="shared" si="30"/>
        <v>14.406200641067922</v>
      </c>
      <c r="L235" s="7">
        <f t="shared" si="31"/>
        <v>54.225106120728348</v>
      </c>
      <c r="M235" s="7">
        <v>0</v>
      </c>
      <c r="N235" s="7">
        <f t="shared" si="32"/>
        <v>0</v>
      </c>
      <c r="O235" s="7">
        <f t="shared" si="33"/>
        <v>0</v>
      </c>
    </row>
    <row r="236" spans="3:15" x14ac:dyDescent="0.2">
      <c r="C236">
        <v>217</v>
      </c>
      <c r="D236" s="7">
        <v>2713.9499780422011</v>
      </c>
      <c r="E236" s="7">
        <f t="shared" si="26"/>
        <v>81.158791209395972</v>
      </c>
      <c r="F236" s="7">
        <f t="shared" si="27"/>
        <v>219.15824058657853</v>
      </c>
      <c r="G236" s="7">
        <v>0</v>
      </c>
      <c r="H236" s="7">
        <f t="shared" si="28"/>
        <v>0</v>
      </c>
      <c r="I236" s="7">
        <f t="shared" si="29"/>
        <v>0</v>
      </c>
      <c r="J236" s="7">
        <v>0</v>
      </c>
      <c r="K236" s="7">
        <f t="shared" si="30"/>
        <v>0</v>
      </c>
      <c r="L236" s="7">
        <f t="shared" si="31"/>
        <v>0</v>
      </c>
      <c r="M236" s="7">
        <v>0</v>
      </c>
      <c r="N236" s="7">
        <f t="shared" si="32"/>
        <v>0</v>
      </c>
      <c r="O236" s="7">
        <f t="shared" si="33"/>
        <v>0</v>
      </c>
    </row>
    <row r="237" spans="3:15" x14ac:dyDescent="0.2">
      <c r="C237">
        <v>218</v>
      </c>
      <c r="D237" s="7">
        <v>2554.3058616867775</v>
      </c>
      <c r="E237" s="7">
        <f t="shared" si="26"/>
        <v>76.384744667666794</v>
      </c>
      <c r="F237" s="7">
        <f t="shared" si="27"/>
        <v>206.2665793756033</v>
      </c>
      <c r="G237" s="7">
        <v>0</v>
      </c>
      <c r="H237" s="7">
        <f t="shared" si="28"/>
        <v>0</v>
      </c>
      <c r="I237" s="7">
        <f t="shared" si="29"/>
        <v>0</v>
      </c>
      <c r="J237" s="7">
        <v>0</v>
      </c>
      <c r="K237" s="7">
        <f t="shared" si="30"/>
        <v>0</v>
      </c>
      <c r="L237" s="7">
        <f t="shared" si="31"/>
        <v>0</v>
      </c>
      <c r="M237" s="7">
        <v>0</v>
      </c>
      <c r="N237" s="7">
        <f t="shared" si="32"/>
        <v>0</v>
      </c>
      <c r="O237" s="7">
        <f t="shared" si="33"/>
        <v>0</v>
      </c>
    </row>
    <row r="238" spans="3:15" x14ac:dyDescent="0.2">
      <c r="C238">
        <v>219</v>
      </c>
      <c r="D238" s="7">
        <v>2713.9499780422011</v>
      </c>
      <c r="E238" s="7">
        <f t="shared" si="26"/>
        <v>81.158791209395972</v>
      </c>
      <c r="F238" s="7">
        <f t="shared" si="27"/>
        <v>219.15824058657853</v>
      </c>
      <c r="G238" s="7">
        <v>0</v>
      </c>
      <c r="H238" s="7">
        <f t="shared" si="28"/>
        <v>0</v>
      </c>
      <c r="I238" s="7">
        <f t="shared" si="29"/>
        <v>0</v>
      </c>
      <c r="J238" s="7">
        <v>0</v>
      </c>
      <c r="K238" s="7">
        <f t="shared" si="30"/>
        <v>0</v>
      </c>
      <c r="L238" s="7">
        <f t="shared" si="31"/>
        <v>0</v>
      </c>
      <c r="M238" s="7">
        <v>0</v>
      </c>
      <c r="N238" s="7">
        <f t="shared" si="32"/>
        <v>0</v>
      </c>
      <c r="O238" s="7">
        <f t="shared" si="33"/>
        <v>0</v>
      </c>
    </row>
    <row r="239" spans="3:15" x14ac:dyDescent="0.2">
      <c r="C239">
        <v>220</v>
      </c>
      <c r="D239" s="7">
        <v>2873.5940943976243</v>
      </c>
      <c r="E239" s="7">
        <f t="shared" si="26"/>
        <v>85.932837751125135</v>
      </c>
      <c r="F239" s="7">
        <f t="shared" si="27"/>
        <v>232.0499017975537</v>
      </c>
      <c r="G239" s="7">
        <v>0</v>
      </c>
      <c r="H239" s="7">
        <f t="shared" si="28"/>
        <v>0</v>
      </c>
      <c r="I239" s="7">
        <f t="shared" si="29"/>
        <v>0</v>
      </c>
      <c r="J239" s="7">
        <v>0</v>
      </c>
      <c r="K239" s="7">
        <f t="shared" si="30"/>
        <v>0</v>
      </c>
      <c r="L239" s="7">
        <f t="shared" si="31"/>
        <v>0</v>
      </c>
      <c r="M239" s="7">
        <v>0</v>
      </c>
      <c r="N239" s="7">
        <f t="shared" si="32"/>
        <v>0</v>
      </c>
      <c r="O239" s="7">
        <f t="shared" si="33"/>
        <v>0</v>
      </c>
    </row>
    <row r="240" spans="3:15" x14ac:dyDescent="0.2">
      <c r="C240">
        <v>221</v>
      </c>
      <c r="D240" s="7">
        <v>3217.4429603939211</v>
      </c>
      <c r="E240" s="7">
        <f t="shared" si="26"/>
        <v>96.215399533311043</v>
      </c>
      <c r="F240" s="7">
        <f t="shared" si="27"/>
        <v>259.81655671350029</v>
      </c>
      <c r="G240" s="7">
        <v>0</v>
      </c>
      <c r="H240" s="7">
        <f t="shared" si="28"/>
        <v>0</v>
      </c>
      <c r="I240" s="7">
        <f t="shared" si="29"/>
        <v>0</v>
      </c>
      <c r="J240" s="7">
        <v>0</v>
      </c>
      <c r="K240" s="7">
        <f t="shared" si="30"/>
        <v>0</v>
      </c>
      <c r="L240" s="7">
        <f t="shared" si="31"/>
        <v>0</v>
      </c>
      <c r="M240" s="7">
        <v>0</v>
      </c>
      <c r="N240" s="7">
        <f t="shared" si="32"/>
        <v>0</v>
      </c>
      <c r="O240" s="7">
        <f t="shared" si="33"/>
        <v>0</v>
      </c>
    </row>
    <row r="241" spans="3:15" x14ac:dyDescent="0.2">
      <c r="C241">
        <v>222</v>
      </c>
      <c r="D241" s="7">
        <v>3227.4339592959332</v>
      </c>
      <c r="E241" s="7">
        <f t="shared" si="26"/>
        <v>96.514173423921449</v>
      </c>
      <c r="F241" s="7">
        <f t="shared" si="27"/>
        <v>260.62335483387204</v>
      </c>
      <c r="G241" s="7">
        <v>0</v>
      </c>
      <c r="H241" s="7">
        <f t="shared" si="28"/>
        <v>0</v>
      </c>
      <c r="I241" s="7">
        <f t="shared" si="29"/>
        <v>0</v>
      </c>
      <c r="J241" s="7">
        <v>211.05470066703629</v>
      </c>
      <c r="K241" s="7">
        <f t="shared" si="30"/>
        <v>3.3661036789001004</v>
      </c>
      <c r="L241" s="7">
        <f t="shared" si="31"/>
        <v>12.670053246474945</v>
      </c>
      <c r="M241" s="7">
        <v>0</v>
      </c>
      <c r="N241" s="7">
        <f t="shared" si="32"/>
        <v>0</v>
      </c>
      <c r="O241" s="7">
        <f t="shared" si="33"/>
        <v>0</v>
      </c>
    </row>
    <row r="242" spans="3:15" x14ac:dyDescent="0.2">
      <c r="C242">
        <v>223</v>
      </c>
      <c r="D242" s="7">
        <v>3225.7001274935024</v>
      </c>
      <c r="E242" s="7">
        <f t="shared" si="26"/>
        <v>96.46232438676742</v>
      </c>
      <c r="F242" s="7">
        <f t="shared" si="27"/>
        <v>260.48334358445027</v>
      </c>
      <c r="G242" s="7">
        <v>2822.5200245244787</v>
      </c>
      <c r="H242" s="7">
        <f t="shared" si="28"/>
        <v>67.524402500585623</v>
      </c>
      <c r="I242" s="7">
        <f t="shared" si="29"/>
        <v>146.7373954096586</v>
      </c>
      <c r="J242" s="7">
        <v>433.83423203851498</v>
      </c>
      <c r="K242" s="7">
        <f t="shared" si="30"/>
        <v>6.9192062526078946</v>
      </c>
      <c r="L242" s="7">
        <f t="shared" si="31"/>
        <v>26.043972499542896</v>
      </c>
      <c r="M242" s="7">
        <v>1142.6541997324098</v>
      </c>
      <c r="N242" s="7">
        <f t="shared" si="32"/>
        <v>91.120749579936984</v>
      </c>
      <c r="O242" s="7">
        <f t="shared" si="33"/>
        <v>34.492391480059275</v>
      </c>
    </row>
    <row r="243" spans="3:15" x14ac:dyDescent="0.2">
      <c r="C243">
        <v>224</v>
      </c>
      <c r="D243" s="7">
        <v>3228.0570985804152</v>
      </c>
      <c r="E243" s="7">
        <f t="shared" si="26"/>
        <v>96.532807971902372</v>
      </c>
      <c r="F243" s="7">
        <f t="shared" si="27"/>
        <v>260.67367488779064</v>
      </c>
      <c r="G243" s="7">
        <v>2822.0261939267775</v>
      </c>
      <c r="H243" s="7">
        <f t="shared" si="28"/>
        <v>67.512588371454015</v>
      </c>
      <c r="I243" s="7">
        <f t="shared" si="29"/>
        <v>146.71172210528854</v>
      </c>
      <c r="J243" s="7">
        <v>652.52296052064958</v>
      </c>
      <c r="K243" s="7">
        <f t="shared" si="30"/>
        <v>10.40706476109489</v>
      </c>
      <c r="L243" s="7">
        <f t="shared" si="31"/>
        <v>39.172312335213313</v>
      </c>
      <c r="M243" s="7">
        <v>1143.1480303301109</v>
      </c>
      <c r="N243" s="7">
        <f t="shared" si="32"/>
        <v>91.160130010375681</v>
      </c>
      <c r="O243" s="7">
        <f t="shared" si="33"/>
        <v>34.507298350663469</v>
      </c>
    </row>
    <row r="244" spans="3:15" x14ac:dyDescent="0.2">
      <c r="C244">
        <v>225</v>
      </c>
      <c r="D244" s="7">
        <v>3226.324939103311</v>
      </c>
      <c r="E244" s="7">
        <f t="shared" si="26"/>
        <v>96.481008944477011</v>
      </c>
      <c r="F244" s="7">
        <f t="shared" si="27"/>
        <v>260.53379868281672</v>
      </c>
      <c r="G244" s="7">
        <v>0</v>
      </c>
      <c r="H244" s="7">
        <f t="shared" si="28"/>
        <v>0</v>
      </c>
      <c r="I244" s="7">
        <f t="shared" si="29"/>
        <v>0</v>
      </c>
      <c r="J244" s="7">
        <v>875.30081956680215</v>
      </c>
      <c r="K244" s="7">
        <f t="shared" si="30"/>
        <v>13.960140662947403</v>
      </c>
      <c r="L244" s="7">
        <f t="shared" si="31"/>
        <v>52.54613119510897</v>
      </c>
      <c r="M244" s="7">
        <v>0</v>
      </c>
      <c r="N244" s="7">
        <f t="shared" si="32"/>
        <v>0</v>
      </c>
      <c r="O244" s="7">
        <f t="shared" si="33"/>
        <v>0</v>
      </c>
    </row>
    <row r="245" spans="3:15" x14ac:dyDescent="0.2">
      <c r="C245">
        <v>226</v>
      </c>
      <c r="D245" s="7">
        <v>3222.3549600924935</v>
      </c>
      <c r="E245" s="7">
        <f t="shared" si="26"/>
        <v>96.362289476450172</v>
      </c>
      <c r="F245" s="7">
        <f t="shared" si="27"/>
        <v>260.21321296008205</v>
      </c>
      <c r="G245" s="7">
        <v>0</v>
      </c>
      <c r="H245" s="7">
        <f t="shared" si="28"/>
        <v>0</v>
      </c>
      <c r="I245" s="7">
        <f t="shared" si="29"/>
        <v>0</v>
      </c>
      <c r="J245" s="7">
        <v>1100.3164981466671</v>
      </c>
      <c r="K245" s="7">
        <f t="shared" si="30"/>
        <v>17.548907466454022</v>
      </c>
      <c r="L245" s="7">
        <f t="shared" si="31"/>
        <v>66.054291022339299</v>
      </c>
      <c r="M245" s="7">
        <v>0</v>
      </c>
      <c r="N245" s="7">
        <f t="shared" si="32"/>
        <v>0</v>
      </c>
      <c r="O245" s="7">
        <f t="shared" si="33"/>
        <v>0</v>
      </c>
    </row>
    <row r="246" spans="3:15" x14ac:dyDescent="0.2">
      <c r="C246">
        <v>227</v>
      </c>
      <c r="D246" s="7">
        <v>3218.4089715081432</v>
      </c>
      <c r="E246" s="7">
        <f t="shared" si="26"/>
        <v>96.244287425482753</v>
      </c>
      <c r="F246" s="7">
        <f t="shared" si="27"/>
        <v>259.89456452421638</v>
      </c>
      <c r="G246" s="7">
        <v>0</v>
      </c>
      <c r="H246" s="7">
        <f t="shared" si="28"/>
        <v>0</v>
      </c>
      <c r="I246" s="7">
        <f t="shared" si="29"/>
        <v>0</v>
      </c>
      <c r="J246" s="7">
        <v>1325.3081863000657</v>
      </c>
      <c r="K246" s="7">
        <f t="shared" si="30"/>
        <v>21.137291647528961</v>
      </c>
      <c r="L246" s="7">
        <f t="shared" si="31"/>
        <v>79.561010654303786</v>
      </c>
      <c r="M246" s="7">
        <v>0</v>
      </c>
      <c r="N246" s="7">
        <f t="shared" si="32"/>
        <v>0</v>
      </c>
      <c r="O246" s="7">
        <f t="shared" si="33"/>
        <v>0</v>
      </c>
    </row>
    <row r="247" spans="3:15" x14ac:dyDescent="0.2">
      <c r="C247">
        <v>228</v>
      </c>
      <c r="D247" s="7">
        <v>3214.4868882979431</v>
      </c>
      <c r="E247" s="7">
        <f t="shared" si="26"/>
        <v>96.127000248144242</v>
      </c>
      <c r="F247" s="7">
        <f t="shared" si="27"/>
        <v>259.57784650703252</v>
      </c>
      <c r="G247" s="7">
        <v>0</v>
      </c>
      <c r="H247" s="7">
        <f t="shared" si="28"/>
        <v>0</v>
      </c>
      <c r="I247" s="7">
        <f t="shared" si="29"/>
        <v>0</v>
      </c>
      <c r="J247" s="7">
        <v>1550.2759690793141</v>
      </c>
      <c r="K247" s="7">
        <f t="shared" si="30"/>
        <v>24.725294562668488</v>
      </c>
      <c r="L247" s="7">
        <f t="shared" si="31"/>
        <v>93.066295196870087</v>
      </c>
      <c r="M247" s="7">
        <v>0</v>
      </c>
      <c r="N247" s="7">
        <f t="shared" si="32"/>
        <v>0</v>
      </c>
      <c r="O247" s="7">
        <f t="shared" si="33"/>
        <v>0</v>
      </c>
    </row>
    <row r="248" spans="3:15" x14ac:dyDescent="0.2">
      <c r="C248">
        <v>229</v>
      </c>
      <c r="D248" s="7">
        <v>3210.5886256484368</v>
      </c>
      <c r="E248" s="7">
        <f t="shared" si="26"/>
        <v>96.010425408147043</v>
      </c>
      <c r="F248" s="7">
        <f t="shared" si="27"/>
        <v>259.26305205963212</v>
      </c>
      <c r="G248" s="7">
        <v>0</v>
      </c>
      <c r="H248" s="7">
        <f t="shared" si="28"/>
        <v>0</v>
      </c>
      <c r="I248" s="7">
        <f t="shared" si="29"/>
        <v>0</v>
      </c>
      <c r="J248" s="7">
        <v>1775.2199312978678</v>
      </c>
      <c r="K248" s="7">
        <f t="shared" si="30"/>
        <v>28.312917564559296</v>
      </c>
      <c r="L248" s="7">
        <f t="shared" si="31"/>
        <v>106.57014974156662</v>
      </c>
      <c r="M248" s="7">
        <v>0</v>
      </c>
      <c r="N248" s="7">
        <f t="shared" si="32"/>
        <v>0</v>
      </c>
      <c r="O248" s="7">
        <f t="shared" si="33"/>
        <v>0</v>
      </c>
    </row>
    <row r="249" spans="3:15" x14ac:dyDescent="0.2">
      <c r="C249">
        <v>230</v>
      </c>
      <c r="D249" s="7">
        <v>3206.7140989844665</v>
      </c>
      <c r="E249" s="7">
        <f t="shared" si="26"/>
        <v>95.89456037632975</v>
      </c>
      <c r="F249" s="7">
        <f t="shared" si="27"/>
        <v>258.95017435235985</v>
      </c>
      <c r="G249" s="7">
        <v>0</v>
      </c>
      <c r="H249" s="7">
        <f t="shared" si="28"/>
        <v>0</v>
      </c>
      <c r="I249" s="7">
        <f t="shared" si="29"/>
        <v>0</v>
      </c>
      <c r="J249" s="7">
        <v>2000.1401575308873</v>
      </c>
      <c r="K249" s="7">
        <f t="shared" si="30"/>
        <v>31.900162002087519</v>
      </c>
      <c r="L249" s="7">
        <f t="shared" si="31"/>
        <v>120.07257936561641</v>
      </c>
      <c r="M249" s="7">
        <v>0</v>
      </c>
      <c r="N249" s="7">
        <f t="shared" si="32"/>
        <v>0</v>
      </c>
      <c r="O249" s="7">
        <f t="shared" si="33"/>
        <v>0</v>
      </c>
    </row>
    <row r="250" spans="3:15" x14ac:dyDescent="0.2">
      <c r="C250">
        <v>231</v>
      </c>
      <c r="D250" s="7">
        <v>3202.863223968619</v>
      </c>
      <c r="E250" s="7">
        <f t="shared" si="26"/>
        <v>95.779402630640533</v>
      </c>
      <c r="F250" s="7">
        <f t="shared" si="27"/>
        <v>258.63920657475887</v>
      </c>
      <c r="G250" s="7">
        <v>0</v>
      </c>
      <c r="H250" s="7">
        <f t="shared" si="28"/>
        <v>0</v>
      </c>
      <c r="I250" s="7">
        <f t="shared" si="29"/>
        <v>0</v>
      </c>
      <c r="J250" s="7">
        <v>2225.0367321157833</v>
      </c>
      <c r="K250" s="7">
        <f t="shared" si="30"/>
        <v>35.487029220347424</v>
      </c>
      <c r="L250" s="7">
        <f t="shared" si="31"/>
        <v>133.57358913196981</v>
      </c>
      <c r="M250" s="7">
        <v>0</v>
      </c>
      <c r="N250" s="7">
        <f t="shared" si="32"/>
        <v>0</v>
      </c>
      <c r="O250" s="7">
        <f t="shared" si="33"/>
        <v>0</v>
      </c>
    </row>
    <row r="251" spans="3:15" x14ac:dyDescent="0.2">
      <c r="C251">
        <v>232</v>
      </c>
      <c r="D251" s="7">
        <v>3201.2569213563775</v>
      </c>
      <c r="E251" s="7">
        <f t="shared" si="26"/>
        <v>95.731367265441918</v>
      </c>
      <c r="F251" s="7">
        <f t="shared" si="27"/>
        <v>258.50949362603222</v>
      </c>
      <c r="G251" s="7">
        <v>2798.2243684470786</v>
      </c>
      <c r="H251" s="7">
        <f t="shared" si="28"/>
        <v>66.943166709260254</v>
      </c>
      <c r="I251" s="7">
        <f t="shared" si="29"/>
        <v>145.47431091013689</v>
      </c>
      <c r="J251" s="7">
        <v>2066.9989183725993</v>
      </c>
      <c r="K251" s="7">
        <f t="shared" si="30"/>
        <v>32.96648992619776</v>
      </c>
      <c r="L251" s="7">
        <f t="shared" si="31"/>
        <v>124.08625002625823</v>
      </c>
      <c r="M251" s="7">
        <v>1166.9498558098098</v>
      </c>
      <c r="N251" s="7">
        <f t="shared" si="32"/>
        <v>93.058202217688191</v>
      </c>
      <c r="O251" s="7">
        <f t="shared" si="33"/>
        <v>35.225785083200826</v>
      </c>
    </row>
    <row r="252" spans="3:15" x14ac:dyDescent="0.2">
      <c r="C252">
        <v>233</v>
      </c>
      <c r="D252" s="7">
        <v>3203.7217660768883</v>
      </c>
      <c r="E252" s="7">
        <f t="shared" si="26"/>
        <v>95.805076736749058</v>
      </c>
      <c r="F252" s="7">
        <f t="shared" si="27"/>
        <v>258.70853599477033</v>
      </c>
      <c r="G252" s="7">
        <v>2795.7717551971778</v>
      </c>
      <c r="H252" s="7">
        <f t="shared" si="28"/>
        <v>66.884491751128664</v>
      </c>
      <c r="I252" s="7">
        <f t="shared" si="29"/>
        <v>145.34680425753191</v>
      </c>
      <c r="J252" s="7">
        <v>2351.8934830918524</v>
      </c>
      <c r="K252" s="7">
        <f t="shared" si="30"/>
        <v>37.510262888227317</v>
      </c>
      <c r="L252" s="7">
        <f t="shared" si="31"/>
        <v>141.18906409870505</v>
      </c>
      <c r="M252" s="7">
        <v>1169.4024690597107</v>
      </c>
      <c r="N252" s="7">
        <f t="shared" si="32"/>
        <v>93.253785411460186</v>
      </c>
      <c r="O252" s="7">
        <f t="shared" si="33"/>
        <v>35.299820164316849</v>
      </c>
    </row>
    <row r="253" spans="3:15" x14ac:dyDescent="0.2">
      <c r="C253">
        <v>234</v>
      </c>
      <c r="D253" s="7">
        <v>3206.1753334205032</v>
      </c>
      <c r="E253" s="7">
        <f t="shared" si="26"/>
        <v>95.87844896592415</v>
      </c>
      <c r="F253" s="7">
        <f t="shared" si="27"/>
        <v>258.90666768715147</v>
      </c>
      <c r="G253" s="7">
        <v>2792.9836018547212</v>
      </c>
      <c r="H253" s="7">
        <f t="shared" si="28"/>
        <v>66.817789518055534</v>
      </c>
      <c r="I253" s="7">
        <f t="shared" si="29"/>
        <v>145.20185351992154</v>
      </c>
      <c r="J253" s="7">
        <v>2636.7993251879998</v>
      </c>
      <c r="K253" s="7">
        <f t="shared" si="30"/>
        <v>42.05421571272727</v>
      </c>
      <c r="L253" s="7">
        <f t="shared" si="31"/>
        <v>158.29255517557431</v>
      </c>
      <c r="M253" s="7">
        <v>1172.190622402167</v>
      </c>
      <c r="N253" s="7">
        <f t="shared" si="32"/>
        <v>93.476126188370586</v>
      </c>
      <c r="O253" s="7">
        <f t="shared" si="33"/>
        <v>35.383983926736803</v>
      </c>
    </row>
    <row r="254" spans="3:15" x14ac:dyDescent="0.2">
      <c r="C254">
        <v>235</v>
      </c>
      <c r="D254" s="7">
        <v>3208.6167780700689</v>
      </c>
      <c r="E254" s="7">
        <f t="shared" si="26"/>
        <v>95.951458674344167</v>
      </c>
      <c r="F254" s="7">
        <f t="shared" si="27"/>
        <v>259.10382044170387</v>
      </c>
      <c r="G254" s="7">
        <v>2789.6883262635688</v>
      </c>
      <c r="H254" s="7">
        <f t="shared" si="28"/>
        <v>66.738955173769597</v>
      </c>
      <c r="I254" s="7">
        <f t="shared" si="29"/>
        <v>145.0305384705326</v>
      </c>
      <c r="J254" s="7">
        <v>3177.1478761468743</v>
      </c>
      <c r="K254" s="7">
        <f t="shared" si="30"/>
        <v>50.67221493057216</v>
      </c>
      <c r="L254" s="7">
        <f t="shared" si="31"/>
        <v>190.73080407819069</v>
      </c>
      <c r="M254" s="7">
        <v>1175.4858979933197</v>
      </c>
      <c r="N254" s="7">
        <f t="shared" si="32"/>
        <v>93.738907335990405</v>
      </c>
      <c r="O254" s="7">
        <f t="shared" si="33"/>
        <v>35.483455784234316</v>
      </c>
    </row>
    <row r="255" spans="3:15" x14ac:dyDescent="0.2">
      <c r="C255">
        <v>236</v>
      </c>
      <c r="D255" s="7">
        <v>3211.0450192736225</v>
      </c>
      <c r="E255" s="7">
        <f t="shared" si="26"/>
        <v>96.024073542871491</v>
      </c>
      <c r="F255" s="7">
        <f t="shared" si="27"/>
        <v>259.29990698500654</v>
      </c>
      <c r="G255" s="7">
        <v>2786.0809329076947</v>
      </c>
      <c r="H255" s="7">
        <f t="shared" si="28"/>
        <v>66.652653897313272</v>
      </c>
      <c r="I255" s="7">
        <f t="shared" si="29"/>
        <v>144.84299701797963</v>
      </c>
      <c r="J255" s="7">
        <v>3174.7196349433207</v>
      </c>
      <c r="K255" s="7">
        <f t="shared" si="30"/>
        <v>50.63348700069092</v>
      </c>
      <c r="L255" s="7">
        <f t="shared" si="31"/>
        <v>190.58503170142259</v>
      </c>
      <c r="M255" s="7">
        <v>1179.0932913491938</v>
      </c>
      <c r="N255" s="7">
        <f t="shared" si="32"/>
        <v>94.026578257511474</v>
      </c>
      <c r="O255" s="7">
        <f t="shared" si="33"/>
        <v>35.592349291896141</v>
      </c>
    </row>
    <row r="256" spans="3:15" x14ac:dyDescent="0.2">
      <c r="C256">
        <v>237</v>
      </c>
      <c r="D256" s="7">
        <v>3213.4597893674077</v>
      </c>
      <c r="E256" s="7">
        <f t="shared" si="26"/>
        <v>96.096285567207175</v>
      </c>
      <c r="F256" s="7">
        <f t="shared" si="27"/>
        <v>259.4949057025425</v>
      </c>
      <c r="G256" s="7">
        <v>2782.3128072872396</v>
      </c>
      <c r="H256" s="7">
        <f t="shared" si="28"/>
        <v>66.562507351369376</v>
      </c>
      <c r="I256" s="7">
        <f t="shared" si="29"/>
        <v>144.64709940367837</v>
      </c>
      <c r="J256" s="7">
        <v>3491.5930975603828</v>
      </c>
      <c r="K256" s="7">
        <f t="shared" si="30"/>
        <v>55.687290232223013</v>
      </c>
      <c r="L256" s="7">
        <f t="shared" si="31"/>
        <v>209.60760561739946</v>
      </c>
      <c r="M256" s="7">
        <v>1182.8614169696489</v>
      </c>
      <c r="N256" s="7">
        <f t="shared" si="32"/>
        <v>94.327066743991139</v>
      </c>
      <c r="O256" s="7">
        <f t="shared" si="33"/>
        <v>35.706094696303886</v>
      </c>
    </row>
    <row r="257" spans="3:15" x14ac:dyDescent="0.2">
      <c r="C257">
        <v>238</v>
      </c>
      <c r="D257" s="7">
        <v>3215.8610331430941</v>
      </c>
      <c r="E257" s="7">
        <f t="shared" si="26"/>
        <v>96.168093096384396</v>
      </c>
      <c r="F257" s="7">
        <f t="shared" si="27"/>
        <v>259.68881213610121</v>
      </c>
      <c r="G257" s="7">
        <v>2778.9446916699007</v>
      </c>
      <c r="H257" s="7">
        <f t="shared" si="28"/>
        <v>66.481930422724901</v>
      </c>
      <c r="I257" s="7">
        <f t="shared" si="29"/>
        <v>144.47199754121763</v>
      </c>
      <c r="J257" s="7">
        <v>2659.042448736494</v>
      </c>
      <c r="K257" s="7">
        <f t="shared" si="30"/>
        <v>42.408970474266255</v>
      </c>
      <c r="L257" s="7">
        <f t="shared" si="31"/>
        <v>159.62785620813435</v>
      </c>
      <c r="M257" s="7">
        <v>1186.2295325869877</v>
      </c>
      <c r="N257" s="7">
        <f t="shared" si="32"/>
        <v>94.595656506139377</v>
      </c>
      <c r="O257" s="7">
        <f t="shared" si="33"/>
        <v>35.807765317608713</v>
      </c>
    </row>
    <row r="258" spans="3:15" x14ac:dyDescent="0.2">
      <c r="C258">
        <v>239</v>
      </c>
      <c r="D258" s="7">
        <v>3214.197249851095</v>
      </c>
      <c r="E258" s="7">
        <f t="shared" si="26"/>
        <v>96.118338811336585</v>
      </c>
      <c r="F258" s="7">
        <f t="shared" si="27"/>
        <v>259.55445747888865</v>
      </c>
      <c r="G258" s="7">
        <v>0</v>
      </c>
      <c r="H258" s="7">
        <f t="shared" si="28"/>
        <v>0</v>
      </c>
      <c r="I258" s="7">
        <f t="shared" si="29"/>
        <v>0</v>
      </c>
      <c r="J258" s="7">
        <v>1830.5568269802907</v>
      </c>
      <c r="K258" s="7">
        <f t="shared" si="30"/>
        <v>29.195483683896185</v>
      </c>
      <c r="L258" s="7">
        <f t="shared" si="31"/>
        <v>109.89213884000907</v>
      </c>
      <c r="M258" s="7">
        <v>0</v>
      </c>
      <c r="N258" s="7">
        <f t="shared" si="32"/>
        <v>0</v>
      </c>
      <c r="O258" s="7">
        <f t="shared" si="33"/>
        <v>0</v>
      </c>
    </row>
    <row r="259" spans="3:15" x14ac:dyDescent="0.2">
      <c r="C259">
        <v>240</v>
      </c>
      <c r="D259" s="7">
        <v>3210.3649466884899</v>
      </c>
      <c r="E259" s="7">
        <f t="shared" si="26"/>
        <v>96.003736444033791</v>
      </c>
      <c r="F259" s="7">
        <f t="shared" si="27"/>
        <v>259.24498942483234</v>
      </c>
      <c r="G259" s="7">
        <v>0</v>
      </c>
      <c r="H259" s="7">
        <f t="shared" si="28"/>
        <v>0</v>
      </c>
      <c r="I259" s="7">
        <f t="shared" si="29"/>
        <v>0</v>
      </c>
      <c r="J259" s="7">
        <v>1004.2397250946924</v>
      </c>
      <c r="K259" s="7">
        <f t="shared" si="30"/>
        <v>16.016582537395415</v>
      </c>
      <c r="L259" s="7">
        <f t="shared" si="31"/>
        <v>60.286602236111129</v>
      </c>
      <c r="M259" s="7">
        <v>0</v>
      </c>
      <c r="N259" s="7">
        <f t="shared" si="32"/>
        <v>0</v>
      </c>
      <c r="O259" s="7">
        <f t="shared" si="33"/>
        <v>0</v>
      </c>
    </row>
    <row r="260" spans="3:15" x14ac:dyDescent="0.2">
      <c r="C260">
        <v>241</v>
      </c>
      <c r="D260" s="7">
        <v>2713.9499780422011</v>
      </c>
      <c r="E260" s="7">
        <f t="shared" si="26"/>
        <v>81.158791209395972</v>
      </c>
      <c r="F260" s="7">
        <f t="shared" si="27"/>
        <v>219.15824058657853</v>
      </c>
      <c r="G260" s="7">
        <v>0</v>
      </c>
      <c r="H260" s="7">
        <f t="shared" si="28"/>
        <v>0</v>
      </c>
      <c r="I260" s="7">
        <f t="shared" si="29"/>
        <v>0</v>
      </c>
      <c r="J260" s="7">
        <v>0</v>
      </c>
      <c r="K260" s="7">
        <f t="shared" si="30"/>
        <v>0</v>
      </c>
      <c r="L260" s="7">
        <f t="shared" si="31"/>
        <v>0</v>
      </c>
      <c r="M260" s="7">
        <v>0</v>
      </c>
      <c r="N260" s="7">
        <f t="shared" si="32"/>
        <v>0</v>
      </c>
      <c r="O260" s="7">
        <f t="shared" si="33"/>
        <v>0</v>
      </c>
    </row>
    <row r="261" spans="3:15" x14ac:dyDescent="0.2">
      <c r="C261">
        <v>242</v>
      </c>
      <c r="D261" s="7">
        <v>2554.3058616867775</v>
      </c>
      <c r="E261" s="7">
        <f t="shared" si="26"/>
        <v>76.384744667666794</v>
      </c>
      <c r="F261" s="7">
        <f t="shared" si="27"/>
        <v>206.2665793756033</v>
      </c>
      <c r="G261" s="7">
        <v>0</v>
      </c>
      <c r="H261" s="7">
        <f t="shared" si="28"/>
        <v>0</v>
      </c>
      <c r="I261" s="7">
        <f t="shared" si="29"/>
        <v>0</v>
      </c>
      <c r="J261" s="7">
        <v>0</v>
      </c>
      <c r="K261" s="7">
        <f t="shared" si="30"/>
        <v>0</v>
      </c>
      <c r="L261" s="7">
        <f t="shared" si="31"/>
        <v>0</v>
      </c>
      <c r="M261" s="7">
        <v>0</v>
      </c>
      <c r="N261" s="7">
        <f t="shared" si="32"/>
        <v>0</v>
      </c>
      <c r="O261" s="7">
        <f t="shared" si="33"/>
        <v>0</v>
      </c>
    </row>
    <row r="262" spans="3:15" x14ac:dyDescent="0.2">
      <c r="C262">
        <v>243</v>
      </c>
      <c r="D262" s="7">
        <v>2713.9499780422011</v>
      </c>
      <c r="E262" s="7">
        <f t="shared" si="26"/>
        <v>81.158791209395972</v>
      </c>
      <c r="F262" s="7">
        <f t="shared" si="27"/>
        <v>219.15824058657853</v>
      </c>
      <c r="G262" s="7">
        <v>0</v>
      </c>
      <c r="H262" s="7">
        <f t="shared" si="28"/>
        <v>0</v>
      </c>
      <c r="I262" s="7">
        <f t="shared" si="29"/>
        <v>0</v>
      </c>
      <c r="J262" s="7">
        <v>0</v>
      </c>
      <c r="K262" s="7">
        <f t="shared" si="30"/>
        <v>0</v>
      </c>
      <c r="L262" s="7">
        <f t="shared" si="31"/>
        <v>0</v>
      </c>
      <c r="M262" s="7">
        <v>0</v>
      </c>
      <c r="N262" s="7">
        <f t="shared" si="32"/>
        <v>0</v>
      </c>
      <c r="O262" s="7">
        <f t="shared" si="33"/>
        <v>0</v>
      </c>
    </row>
    <row r="263" spans="3:15" x14ac:dyDescent="0.2">
      <c r="C263">
        <v>244</v>
      </c>
      <c r="D263" s="7">
        <v>2873.5940943976243</v>
      </c>
      <c r="E263" s="7">
        <f t="shared" si="26"/>
        <v>85.932837751125135</v>
      </c>
      <c r="F263" s="7">
        <f t="shared" si="27"/>
        <v>232.0499017975537</v>
      </c>
      <c r="G263" s="7">
        <v>0</v>
      </c>
      <c r="H263" s="7">
        <f t="shared" si="28"/>
        <v>0</v>
      </c>
      <c r="I263" s="7">
        <f t="shared" si="29"/>
        <v>0</v>
      </c>
      <c r="J263" s="7">
        <v>0</v>
      </c>
      <c r="K263" s="7">
        <f t="shared" si="30"/>
        <v>0</v>
      </c>
      <c r="L263" s="7">
        <f t="shared" si="31"/>
        <v>0</v>
      </c>
      <c r="M263" s="7">
        <v>0</v>
      </c>
      <c r="N263" s="7">
        <f t="shared" si="32"/>
        <v>0</v>
      </c>
      <c r="O263" s="7">
        <f t="shared" si="33"/>
        <v>0</v>
      </c>
    </row>
    <row r="264" spans="3:15" x14ac:dyDescent="0.2">
      <c r="C264">
        <v>245</v>
      </c>
      <c r="D264" s="7">
        <v>3192.8823271084716</v>
      </c>
      <c r="E264" s="7">
        <f t="shared" si="26"/>
        <v>95.480930834583489</v>
      </c>
      <c r="F264" s="7">
        <f t="shared" si="27"/>
        <v>257.83322421950413</v>
      </c>
      <c r="G264" s="7">
        <v>0</v>
      </c>
      <c r="H264" s="7">
        <f t="shared" si="28"/>
        <v>0</v>
      </c>
      <c r="I264" s="7">
        <f t="shared" si="29"/>
        <v>0</v>
      </c>
      <c r="J264" s="7">
        <v>0</v>
      </c>
      <c r="K264" s="7">
        <f t="shared" si="30"/>
        <v>0</v>
      </c>
      <c r="L264" s="7">
        <f t="shared" si="31"/>
        <v>0</v>
      </c>
      <c r="M264" s="7">
        <v>0</v>
      </c>
      <c r="N264" s="7">
        <f t="shared" si="32"/>
        <v>0</v>
      </c>
      <c r="O264" s="7">
        <f t="shared" si="33"/>
        <v>0</v>
      </c>
    </row>
    <row r="265" spans="3:15" x14ac:dyDescent="0.2">
      <c r="C265">
        <v>246</v>
      </c>
      <c r="D265" s="7">
        <v>3191.8275834842561</v>
      </c>
      <c r="E265" s="7">
        <f t="shared" si="26"/>
        <v>95.449389458261251</v>
      </c>
      <c r="F265" s="7">
        <f t="shared" si="27"/>
        <v>257.74805103693876</v>
      </c>
      <c r="G265" s="7">
        <v>0</v>
      </c>
      <c r="H265" s="7">
        <f t="shared" si="28"/>
        <v>0</v>
      </c>
      <c r="I265" s="7">
        <f t="shared" si="29"/>
        <v>0</v>
      </c>
      <c r="J265" s="7">
        <v>213.91356543144684</v>
      </c>
      <c r="K265" s="7">
        <f t="shared" si="30"/>
        <v>3.411699608157047</v>
      </c>
      <c r="L265" s="7">
        <f t="shared" si="31"/>
        <v>12.841676852464641</v>
      </c>
      <c r="M265" s="7">
        <v>0</v>
      </c>
      <c r="N265" s="7">
        <f t="shared" si="32"/>
        <v>0</v>
      </c>
      <c r="O265" s="7">
        <f t="shared" si="33"/>
        <v>0</v>
      </c>
    </row>
    <row r="266" spans="3:15" x14ac:dyDescent="0.2">
      <c r="C266">
        <v>247</v>
      </c>
      <c r="D266" s="7">
        <v>3190.3144009819034</v>
      </c>
      <c r="E266" s="7">
        <f t="shared" si="26"/>
        <v>95.404138785344003</v>
      </c>
      <c r="F266" s="7">
        <f t="shared" si="27"/>
        <v>257.62585776971383</v>
      </c>
      <c r="G266" s="7">
        <v>2770.4911370337236</v>
      </c>
      <c r="H266" s="7">
        <f t="shared" si="28"/>
        <v>66.279692273534067</v>
      </c>
      <c r="I266" s="7">
        <f t="shared" si="29"/>
        <v>144.0325134707814</v>
      </c>
      <c r="J266" s="7">
        <v>428.28556974103049</v>
      </c>
      <c r="K266" s="7">
        <f t="shared" si="30"/>
        <v>6.8307108411647608</v>
      </c>
      <c r="L266" s="7">
        <f t="shared" si="31"/>
        <v>25.710874745578412</v>
      </c>
      <c r="M266" s="7">
        <v>1194.6830872231649</v>
      </c>
      <c r="N266" s="7">
        <f t="shared" si="32"/>
        <v>95.269783670108851</v>
      </c>
      <c r="O266" s="7">
        <f t="shared" si="33"/>
        <v>36.062946032804419</v>
      </c>
    </row>
    <row r="267" spans="3:15" x14ac:dyDescent="0.2">
      <c r="C267">
        <v>248</v>
      </c>
      <c r="D267" s="7">
        <v>3192.8590023527186</v>
      </c>
      <c r="E267" s="7">
        <f t="shared" si="26"/>
        <v>95.480233323944944</v>
      </c>
      <c r="F267" s="7">
        <f t="shared" si="27"/>
        <v>257.8313406872083</v>
      </c>
      <c r="G267" s="7">
        <v>2771.0414979748252</v>
      </c>
      <c r="H267" s="7">
        <f t="shared" si="28"/>
        <v>66.292858803225485</v>
      </c>
      <c r="I267" s="7">
        <f t="shared" si="29"/>
        <v>144.06112567913803</v>
      </c>
      <c r="J267" s="7">
        <v>638.59979017744718</v>
      </c>
      <c r="K267" s="7">
        <f t="shared" si="30"/>
        <v>10.185004628029461</v>
      </c>
      <c r="L267" s="7">
        <f t="shared" si="31"/>
        <v>38.336475421604746</v>
      </c>
      <c r="M267" s="7">
        <v>1194.1327262820632</v>
      </c>
      <c r="N267" s="7">
        <f t="shared" si="32"/>
        <v>95.225895237804096</v>
      </c>
      <c r="O267" s="7">
        <f t="shared" si="33"/>
        <v>36.046332725786201</v>
      </c>
    </row>
    <row r="268" spans="3:15" x14ac:dyDescent="0.2">
      <c r="C268">
        <v>249</v>
      </c>
      <c r="D268" s="7">
        <v>3195.3988810698424</v>
      </c>
      <c r="E268" s="7">
        <f t="shared" si="26"/>
        <v>95.556186634863721</v>
      </c>
      <c r="F268" s="7">
        <f t="shared" si="27"/>
        <v>258.0364422386192</v>
      </c>
      <c r="G268" s="7">
        <v>2771.3546677024224</v>
      </c>
      <c r="H268" s="7">
        <f t="shared" si="28"/>
        <v>66.300350901971825</v>
      </c>
      <c r="I268" s="7">
        <f t="shared" si="29"/>
        <v>144.07740677183156</v>
      </c>
      <c r="J268" s="7">
        <v>848.91873326755422</v>
      </c>
      <c r="K268" s="7">
        <f t="shared" si="30"/>
        <v>13.539373736324629</v>
      </c>
      <c r="L268" s="7">
        <f t="shared" si="31"/>
        <v>50.962359608368018</v>
      </c>
      <c r="M268" s="7">
        <v>1193.8195565544663</v>
      </c>
      <c r="N268" s="7">
        <f t="shared" si="32"/>
        <v>95.200921575316301</v>
      </c>
      <c r="O268" s="7">
        <f t="shared" si="33"/>
        <v>36.036879320857125</v>
      </c>
    </row>
    <row r="269" spans="3:15" x14ac:dyDescent="0.2">
      <c r="C269">
        <v>250</v>
      </c>
      <c r="D269" s="7">
        <v>3197.9335106351978</v>
      </c>
      <c r="E269" s="7">
        <f t="shared" si="26"/>
        <v>95.631982973540616</v>
      </c>
      <c r="F269" s="7">
        <f t="shared" si="27"/>
        <v>258.2411199079117</v>
      </c>
      <c r="G269" s="7">
        <v>2771.430968401678</v>
      </c>
      <c r="H269" s="7">
        <f t="shared" si="28"/>
        <v>66.302176277552107</v>
      </c>
      <c r="I269" s="7">
        <f t="shared" si="29"/>
        <v>144.08137349864998</v>
      </c>
      <c r="J269" s="7">
        <v>1059.2429255094307</v>
      </c>
      <c r="K269" s="7">
        <f t="shared" si="30"/>
        <v>16.893826563148817</v>
      </c>
      <c r="L269" s="7">
        <f t="shared" si="31"/>
        <v>63.58855891264448</v>
      </c>
      <c r="M269" s="7">
        <v>1193.7432558552102</v>
      </c>
      <c r="N269" s="7">
        <f t="shared" si="32"/>
        <v>95.194836990048671</v>
      </c>
      <c r="O269" s="7">
        <f t="shared" si="33"/>
        <v>36.034576092470481</v>
      </c>
    </row>
    <row r="270" spans="3:15" x14ac:dyDescent="0.2">
      <c r="C270">
        <v>251</v>
      </c>
      <c r="D270" s="7">
        <v>3200.4623677440973</v>
      </c>
      <c r="E270" s="7">
        <f t="shared" si="26"/>
        <v>95.707606690912002</v>
      </c>
      <c r="F270" s="7">
        <f t="shared" si="27"/>
        <v>258.44533143692485</v>
      </c>
      <c r="G270" s="7">
        <v>2771.2707427588098</v>
      </c>
      <c r="H270" s="7">
        <f t="shared" si="28"/>
        <v>66.298343128201196</v>
      </c>
      <c r="I270" s="7">
        <f t="shared" si="29"/>
        <v>144.07304367519149</v>
      </c>
      <c r="J270" s="7">
        <v>1269.5728902077631</v>
      </c>
      <c r="K270" s="7">
        <f t="shared" si="30"/>
        <v>20.248371454669268</v>
      </c>
      <c r="L270" s="7">
        <f t="shared" si="31"/>
        <v>76.215104749504306</v>
      </c>
      <c r="M270" s="7">
        <v>1193.9034814980787</v>
      </c>
      <c r="N270" s="7">
        <f t="shared" si="32"/>
        <v>95.207614154551734</v>
      </c>
      <c r="O270" s="7">
        <f t="shared" si="33"/>
        <v>36.039412696230613</v>
      </c>
    </row>
    <row r="271" spans="3:15" x14ac:dyDescent="0.2">
      <c r="C271">
        <v>252</v>
      </c>
      <c r="D271" s="7">
        <v>3202.9849323198773</v>
      </c>
      <c r="E271" s="7">
        <f t="shared" si="26"/>
        <v>95.7830422344461</v>
      </c>
      <c r="F271" s="7">
        <f t="shared" si="27"/>
        <v>258.64903482816896</v>
      </c>
      <c r="G271" s="7">
        <v>2770.8743539031211</v>
      </c>
      <c r="H271" s="7">
        <f t="shared" si="28"/>
        <v>66.288860141222997</v>
      </c>
      <c r="I271" s="7">
        <f t="shared" si="29"/>
        <v>144.05243617985124</v>
      </c>
      <c r="J271" s="7">
        <v>1479.9091474392139</v>
      </c>
      <c r="K271" s="7">
        <f t="shared" si="30"/>
        <v>23.603016705569601</v>
      </c>
      <c r="L271" s="7">
        <f t="shared" si="31"/>
        <v>88.842028340232758</v>
      </c>
      <c r="M271" s="7">
        <v>1194.2998703537676</v>
      </c>
      <c r="N271" s="7">
        <f t="shared" si="32"/>
        <v>95.239224111145745</v>
      </c>
      <c r="O271" s="7">
        <f t="shared" si="33"/>
        <v>36.0513781706427</v>
      </c>
    </row>
    <row r="272" spans="3:15" x14ac:dyDescent="0.2">
      <c r="C272">
        <v>253</v>
      </c>
      <c r="D272" s="7">
        <v>3205.5006875481877</v>
      </c>
      <c r="E272" s="7">
        <f t="shared" si="26"/>
        <v>95.858274149168295</v>
      </c>
      <c r="F272" s="7">
        <f t="shared" si="27"/>
        <v>258.85218834759405</v>
      </c>
      <c r="G272" s="7">
        <v>2770.2421853473033</v>
      </c>
      <c r="H272" s="7">
        <f t="shared" si="28"/>
        <v>66.273736491562289</v>
      </c>
      <c r="I272" s="7">
        <f t="shared" si="29"/>
        <v>144.01957095071748</v>
      </c>
      <c r="J272" s="7">
        <v>1690.2522140181345</v>
      </c>
      <c r="K272" s="7">
        <f t="shared" si="30"/>
        <v>26.957770558502943</v>
      </c>
      <c r="L272" s="7">
        <f t="shared" si="31"/>
        <v>101.46936071027172</v>
      </c>
      <c r="M272" s="7">
        <v>1194.9320389095851</v>
      </c>
      <c r="N272" s="7">
        <f t="shared" si="32"/>
        <v>95.289636276681435</v>
      </c>
      <c r="O272" s="7">
        <f t="shared" si="33"/>
        <v>36.070460938914806</v>
      </c>
    </row>
    <row r="273" spans="3:15" x14ac:dyDescent="0.2">
      <c r="C273">
        <v>254</v>
      </c>
      <c r="D273" s="7">
        <v>3208.0091199110179</v>
      </c>
      <c r="E273" s="7">
        <f t="shared" si="26"/>
        <v>95.933287078678774</v>
      </c>
      <c r="F273" s="7">
        <f t="shared" si="27"/>
        <v>259.054750527338</v>
      </c>
      <c r="G273" s="7">
        <v>2769.3746409260011</v>
      </c>
      <c r="H273" s="7">
        <f t="shared" si="28"/>
        <v>66.252981840334954</v>
      </c>
      <c r="I273" s="7">
        <f t="shared" si="29"/>
        <v>143.97446898237783</v>
      </c>
      <c r="J273" s="7">
        <v>1900.602603462537</v>
      </c>
      <c r="K273" s="7">
        <f t="shared" si="30"/>
        <v>30.312641203549237</v>
      </c>
      <c r="L273" s="7">
        <f t="shared" si="31"/>
        <v>114.09713268717694</v>
      </c>
      <c r="M273" s="7">
        <v>1195.7995833308873</v>
      </c>
      <c r="N273" s="7">
        <f t="shared" si="32"/>
        <v>95.358818447439191</v>
      </c>
      <c r="O273" s="7">
        <f t="shared" si="33"/>
        <v>36.096648810812447</v>
      </c>
    </row>
    <row r="274" spans="3:15" x14ac:dyDescent="0.2">
      <c r="C274">
        <v>255</v>
      </c>
      <c r="D274" s="7">
        <v>3210.5099075115813</v>
      </c>
      <c r="E274" s="7">
        <f t="shared" si="26"/>
        <v>96.00807139687744</v>
      </c>
      <c r="F274" s="7">
        <f t="shared" si="27"/>
        <v>259.25669537343117</v>
      </c>
      <c r="G274" s="7">
        <v>2768.5234559538203</v>
      </c>
      <c r="H274" s="7">
        <f t="shared" si="28"/>
        <v>66.232618563488529</v>
      </c>
      <c r="I274" s="7">
        <f t="shared" si="29"/>
        <v>143.93021751037963</v>
      </c>
      <c r="J274" s="7">
        <v>1738.457699506549</v>
      </c>
      <c r="K274" s="7">
        <f t="shared" si="30"/>
        <v>27.726598078254373</v>
      </c>
      <c r="L274" s="7">
        <f t="shared" si="31"/>
        <v>104.36323640211874</v>
      </c>
      <c r="M274" s="7">
        <v>1196.6507683030682</v>
      </c>
      <c r="N274" s="7">
        <f t="shared" si="32"/>
        <v>95.426696036927297</v>
      </c>
      <c r="O274" s="7">
        <f t="shared" si="33"/>
        <v>36.122342853060118</v>
      </c>
    </row>
    <row r="275" spans="3:15" x14ac:dyDescent="0.2">
      <c r="C275">
        <v>256</v>
      </c>
      <c r="D275" s="7">
        <v>3213.0032136770765</v>
      </c>
      <c r="E275" s="7">
        <f t="shared" si="26"/>
        <v>96.082631987950862</v>
      </c>
      <c r="F275" s="7">
        <f t="shared" si="27"/>
        <v>259.45803607495276</v>
      </c>
      <c r="G275" s="7">
        <v>2767.5808424122197</v>
      </c>
      <c r="H275" s="7">
        <f t="shared" si="28"/>
        <v>66.210068000292338</v>
      </c>
      <c r="I275" s="7">
        <f t="shared" si="29"/>
        <v>143.88121284264636</v>
      </c>
      <c r="J275" s="7">
        <v>2108.4673315037103</v>
      </c>
      <c r="K275" s="7">
        <f t="shared" si="30"/>
        <v>33.627868126055986</v>
      </c>
      <c r="L275" s="7">
        <f t="shared" si="31"/>
        <v>126.57568523313802</v>
      </c>
      <c r="M275" s="7">
        <v>1197.5933818446686</v>
      </c>
      <c r="N275" s="7">
        <f t="shared" si="32"/>
        <v>95.501864580914571</v>
      </c>
      <c r="O275" s="7">
        <f t="shared" si="33"/>
        <v>36.150796776652136</v>
      </c>
    </row>
    <row r="276" spans="3:15" x14ac:dyDescent="0.2">
      <c r="C276">
        <v>257</v>
      </c>
      <c r="D276" s="7">
        <v>3215.4883143783727</v>
      </c>
      <c r="E276" s="7">
        <f t="shared" si="26"/>
        <v>96.156947200310199</v>
      </c>
      <c r="F276" s="7">
        <f t="shared" si="27"/>
        <v>259.65871416474181</v>
      </c>
      <c r="G276" s="7">
        <v>2766.1881785565847</v>
      </c>
      <c r="H276" s="7">
        <f t="shared" si="28"/>
        <v>66.176750683171889</v>
      </c>
      <c r="I276" s="7">
        <f t="shared" si="29"/>
        <v>143.80881092341056</v>
      </c>
      <c r="J276" s="7">
        <v>2478.4851689650686</v>
      </c>
      <c r="K276" s="7">
        <f t="shared" si="30"/>
        <v>39.529269042505085</v>
      </c>
      <c r="L276" s="7">
        <f t="shared" si="31"/>
        <v>148.78862665526262</v>
      </c>
      <c r="M276" s="7">
        <v>1198.9860457003037</v>
      </c>
      <c r="N276" s="7">
        <f t="shared" si="32"/>
        <v>95.61292230464943</v>
      </c>
      <c r="O276" s="7">
        <f t="shared" si="33"/>
        <v>36.192836010324015</v>
      </c>
    </row>
    <row r="277" spans="3:15" x14ac:dyDescent="0.2">
      <c r="C277">
        <v>258</v>
      </c>
      <c r="D277" s="7">
        <v>3217.9642221248232</v>
      </c>
      <c r="E277" s="7">
        <f t="shared" ref="E277:E340" si="34">D277/($C$3*($D$8-$D$6))</f>
        <v>96.230987503732763</v>
      </c>
      <c r="F277" s="7">
        <f t="shared" ref="F277:F340" si="35">E277*$C$3*((($D$8)-($D$6))-$C$2*LN(($D$8)/($D$6)))</f>
        <v>259.85864990046167</v>
      </c>
      <c r="G277" s="7">
        <v>2764.3462587110994</v>
      </c>
      <c r="H277" s="7">
        <f t="shared" ref="H277:H340" si="36">G277/($C$3*($D$6-$D$9))</f>
        <v>66.132685615098069</v>
      </c>
      <c r="I277" s="7">
        <f t="shared" ref="I277:I340" si="37">ABS(H277*$C$3*(($D$9-$D$6)-$C$2*(LN($D$9/$D$6))))</f>
        <v>143.71305304806106</v>
      </c>
      <c r="J277" s="7">
        <v>2848.5121993812727</v>
      </c>
      <c r="K277" s="7">
        <f t="shared" ref="K277:K340" si="38">J277/($C$3*($D$10-$D$7))</f>
        <v>45.430816577053797</v>
      </c>
      <c r="L277" s="7">
        <f t="shared" ref="L277:L340" si="39">K277*$C$3*(($D$10-$D$7)-$C$2*LN($D$10/$D$7))</f>
        <v>171.00211994961288</v>
      </c>
      <c r="M277" s="7">
        <v>1200.8279655457891</v>
      </c>
      <c r="N277" s="7">
        <f t="shared" ref="N277:N340" si="40">M277/($C$3*($D$7-$D$11))</f>
        <v>95.759805864895469</v>
      </c>
      <c r="O277" s="7">
        <f t="shared" ref="O277:O340" si="41">ABS(N277*$C$3*(($D$11-$D$7)-$C$2*LN($D$11/$D$7)))</f>
        <v>36.248436576444753</v>
      </c>
    </row>
    <row r="278" spans="3:15" x14ac:dyDescent="0.2">
      <c r="C278">
        <v>259</v>
      </c>
      <c r="D278" s="7">
        <v>3220.4303660438209</v>
      </c>
      <c r="E278" s="7">
        <f t="shared" si="34"/>
        <v>96.304735826669287</v>
      </c>
      <c r="F278" s="7">
        <f t="shared" si="35"/>
        <v>260.05779718272322</v>
      </c>
      <c r="G278" s="7">
        <v>2762.6034152681441</v>
      </c>
      <c r="H278" s="7">
        <f t="shared" si="36"/>
        <v>66.090990795888615</v>
      </c>
      <c r="I278" s="7">
        <f t="shared" si="37"/>
        <v>143.62244596460232</v>
      </c>
      <c r="J278" s="7">
        <v>2407.0247354848607</v>
      </c>
      <c r="K278" s="7">
        <f t="shared" si="38"/>
        <v>38.389549210284862</v>
      </c>
      <c r="L278" s="7">
        <f t="shared" si="39"/>
        <v>144.49870800218889</v>
      </c>
      <c r="M278" s="7">
        <v>1202.5708089887441</v>
      </c>
      <c r="N278" s="7">
        <f t="shared" si="40"/>
        <v>95.898788595593643</v>
      </c>
      <c r="O278" s="7">
        <f t="shared" si="41"/>
        <v>36.301046402179388</v>
      </c>
    </row>
    <row r="279" spans="3:15" x14ac:dyDescent="0.2">
      <c r="C279">
        <v>260</v>
      </c>
      <c r="D279" s="7">
        <v>3222.8878175144328</v>
      </c>
      <c r="E279" s="7">
        <f t="shared" si="34"/>
        <v>96.378224207967492</v>
      </c>
      <c r="F279" s="7">
        <f t="shared" si="35"/>
        <v>260.2562425280625</v>
      </c>
      <c r="G279" s="7">
        <v>2761.5068699268177</v>
      </c>
      <c r="H279" s="7">
        <f t="shared" si="36"/>
        <v>66.064757653751627</v>
      </c>
      <c r="I279" s="7">
        <f t="shared" si="37"/>
        <v>143.56543867822816</v>
      </c>
      <c r="J279" s="7">
        <v>1965.5459640368335</v>
      </c>
      <c r="K279" s="7">
        <f t="shared" si="38"/>
        <v>31.348420479056358</v>
      </c>
      <c r="L279" s="7">
        <f t="shared" si="39"/>
        <v>117.99581788054526</v>
      </c>
      <c r="M279" s="7">
        <v>1203.6673543300706</v>
      </c>
      <c r="N279" s="7">
        <f t="shared" si="40"/>
        <v>95.986232402716951</v>
      </c>
      <c r="O279" s="7">
        <f t="shared" si="41"/>
        <v>36.334146942305622</v>
      </c>
    </row>
    <row r="280" spans="3:15" x14ac:dyDescent="0.2">
      <c r="C280">
        <v>261</v>
      </c>
      <c r="D280" s="7">
        <v>3225.3380507086035</v>
      </c>
      <c r="E280" s="7">
        <f t="shared" si="34"/>
        <v>96.451496731716617</v>
      </c>
      <c r="F280" s="7">
        <f t="shared" si="35"/>
        <v>260.45410497954686</v>
      </c>
      <c r="G280" s="7">
        <v>2761.05573801624</v>
      </c>
      <c r="H280" s="7">
        <f t="shared" si="36"/>
        <v>66.053965024311964</v>
      </c>
      <c r="I280" s="7">
        <f t="shared" si="37"/>
        <v>143.54198519659855</v>
      </c>
      <c r="J280" s="7">
        <v>1524.0744108652475</v>
      </c>
      <c r="K280" s="7">
        <f t="shared" si="38"/>
        <v>24.307406871854027</v>
      </c>
      <c r="L280" s="7">
        <f t="shared" si="39"/>
        <v>91.493361087069957</v>
      </c>
      <c r="M280" s="7">
        <v>1204.1184862406485</v>
      </c>
      <c r="N280" s="7">
        <f t="shared" si="40"/>
        <v>96.02220783418251</v>
      </c>
      <c r="O280" s="7">
        <f t="shared" si="41"/>
        <v>36.347764901678161</v>
      </c>
    </row>
    <row r="281" spans="3:15" x14ac:dyDescent="0.2">
      <c r="C281">
        <v>262</v>
      </c>
      <c r="D281" s="7">
        <v>3227.7825310363773</v>
      </c>
      <c r="E281" s="7">
        <f t="shared" si="34"/>
        <v>96.524597219987371</v>
      </c>
      <c r="F281" s="7">
        <f t="shared" si="35"/>
        <v>260.65150287269813</v>
      </c>
      <c r="G281" s="7">
        <v>2761.2490790684924</v>
      </c>
      <c r="H281" s="7">
        <f t="shared" si="36"/>
        <v>66.058590408337139</v>
      </c>
      <c r="I281" s="7">
        <f t="shared" si="37"/>
        <v>143.55203662659261</v>
      </c>
      <c r="J281" s="7">
        <v>1082.6086105600602</v>
      </c>
      <c r="K281" s="7">
        <f t="shared" si="38"/>
        <v>17.266485016906863</v>
      </c>
      <c r="L281" s="7">
        <f t="shared" si="39"/>
        <v>64.991249650146131</v>
      </c>
      <c r="M281" s="7">
        <v>1203.9251451883963</v>
      </c>
      <c r="N281" s="7">
        <f t="shared" si="40"/>
        <v>96.006789887431935</v>
      </c>
      <c r="O281" s="7">
        <f t="shared" si="41"/>
        <v>36.341928669452336</v>
      </c>
    </row>
    <row r="282" spans="3:15" x14ac:dyDescent="0.2">
      <c r="C282">
        <v>263</v>
      </c>
      <c r="D282" s="7">
        <v>3226.1796597097164</v>
      </c>
      <c r="E282" s="7">
        <f t="shared" si="34"/>
        <v>96.476664465003481</v>
      </c>
      <c r="F282" s="7">
        <f t="shared" si="35"/>
        <v>260.52206700885398</v>
      </c>
      <c r="G282" s="7">
        <v>0</v>
      </c>
      <c r="H282" s="7">
        <f t="shared" si="36"/>
        <v>0</v>
      </c>
      <c r="I282" s="7">
        <f t="shared" si="37"/>
        <v>0</v>
      </c>
      <c r="J282" s="7">
        <v>645.19016190930643</v>
      </c>
      <c r="K282" s="7">
        <f t="shared" si="38"/>
        <v>10.290114225028811</v>
      </c>
      <c r="L282" s="7">
        <f t="shared" si="39"/>
        <v>38.732109162491902</v>
      </c>
      <c r="M282" s="7">
        <v>0</v>
      </c>
      <c r="N282" s="7">
        <f t="shared" si="40"/>
        <v>0</v>
      </c>
      <c r="O282" s="7">
        <f t="shared" si="41"/>
        <v>0</v>
      </c>
    </row>
    <row r="283" spans="3:15" x14ac:dyDescent="0.2">
      <c r="C283">
        <v>264</v>
      </c>
      <c r="D283" s="7">
        <v>3192.8823271084716</v>
      </c>
      <c r="E283" s="7">
        <f t="shared" si="34"/>
        <v>95.480930834583489</v>
      </c>
      <c r="F283" s="7">
        <f t="shared" si="35"/>
        <v>257.83322421950413</v>
      </c>
      <c r="G283" s="7">
        <v>0</v>
      </c>
      <c r="H283" s="7">
        <f t="shared" si="36"/>
        <v>0</v>
      </c>
      <c r="I283" s="7">
        <f t="shared" si="37"/>
        <v>0</v>
      </c>
      <c r="J283" s="7">
        <v>0</v>
      </c>
      <c r="K283" s="7">
        <f t="shared" si="38"/>
        <v>0</v>
      </c>
      <c r="L283" s="7">
        <f t="shared" si="39"/>
        <v>0</v>
      </c>
      <c r="M283" s="7">
        <v>0</v>
      </c>
      <c r="N283" s="7">
        <f t="shared" si="40"/>
        <v>0</v>
      </c>
      <c r="O283" s="7">
        <f t="shared" si="41"/>
        <v>0</v>
      </c>
    </row>
    <row r="284" spans="3:15" x14ac:dyDescent="0.2">
      <c r="C284">
        <v>265</v>
      </c>
      <c r="D284" s="7">
        <v>2713.9499780422011</v>
      </c>
      <c r="E284" s="7">
        <f t="shared" si="34"/>
        <v>81.158791209395972</v>
      </c>
      <c r="F284" s="7">
        <f t="shared" si="35"/>
        <v>219.15824058657853</v>
      </c>
      <c r="G284" s="7">
        <v>0</v>
      </c>
      <c r="H284" s="7">
        <f t="shared" si="36"/>
        <v>0</v>
      </c>
      <c r="I284" s="7">
        <f t="shared" si="37"/>
        <v>0</v>
      </c>
      <c r="J284" s="7">
        <v>0</v>
      </c>
      <c r="K284" s="7">
        <f t="shared" si="38"/>
        <v>0</v>
      </c>
      <c r="L284" s="7">
        <f t="shared" si="39"/>
        <v>0</v>
      </c>
      <c r="M284" s="7">
        <v>0</v>
      </c>
      <c r="N284" s="7">
        <f t="shared" si="40"/>
        <v>0</v>
      </c>
      <c r="O284" s="7">
        <f t="shared" si="41"/>
        <v>0</v>
      </c>
    </row>
    <row r="285" spans="3:15" x14ac:dyDescent="0.2">
      <c r="C285">
        <v>266</v>
      </c>
      <c r="D285" s="7">
        <v>2554.3058616867775</v>
      </c>
      <c r="E285" s="7">
        <f t="shared" si="34"/>
        <v>76.384744667666794</v>
      </c>
      <c r="F285" s="7">
        <f t="shared" si="35"/>
        <v>206.2665793756033</v>
      </c>
      <c r="G285" s="7">
        <v>0</v>
      </c>
      <c r="H285" s="7">
        <f t="shared" si="36"/>
        <v>0</v>
      </c>
      <c r="I285" s="7">
        <f t="shared" si="37"/>
        <v>0</v>
      </c>
      <c r="J285" s="7">
        <v>0</v>
      </c>
      <c r="K285" s="7">
        <f t="shared" si="38"/>
        <v>0</v>
      </c>
      <c r="L285" s="7">
        <f t="shared" si="39"/>
        <v>0</v>
      </c>
      <c r="M285" s="7">
        <v>0</v>
      </c>
      <c r="N285" s="7">
        <f t="shared" si="40"/>
        <v>0</v>
      </c>
      <c r="O285" s="7">
        <f t="shared" si="41"/>
        <v>0</v>
      </c>
    </row>
    <row r="286" spans="3:15" x14ac:dyDescent="0.2">
      <c r="C286">
        <v>267</v>
      </c>
      <c r="D286" s="7">
        <v>2713.9499780422011</v>
      </c>
      <c r="E286" s="7">
        <f t="shared" si="34"/>
        <v>81.158791209395972</v>
      </c>
      <c r="F286" s="7">
        <f t="shared" si="35"/>
        <v>219.15824058657853</v>
      </c>
      <c r="G286" s="7">
        <v>0</v>
      </c>
      <c r="H286" s="7">
        <f t="shared" si="36"/>
        <v>0</v>
      </c>
      <c r="I286" s="7">
        <f t="shared" si="37"/>
        <v>0</v>
      </c>
      <c r="J286" s="7">
        <v>0</v>
      </c>
      <c r="K286" s="7">
        <f t="shared" si="38"/>
        <v>0</v>
      </c>
      <c r="L286" s="7">
        <f t="shared" si="39"/>
        <v>0</v>
      </c>
      <c r="M286" s="7">
        <v>0</v>
      </c>
      <c r="N286" s="7">
        <f t="shared" si="40"/>
        <v>0</v>
      </c>
      <c r="O286" s="7">
        <f t="shared" si="41"/>
        <v>0</v>
      </c>
    </row>
    <row r="287" spans="3:15" x14ac:dyDescent="0.2">
      <c r="C287">
        <v>268</v>
      </c>
      <c r="D287" s="7">
        <v>2873.5940943976243</v>
      </c>
      <c r="E287" s="7">
        <f t="shared" si="34"/>
        <v>85.932837751125135</v>
      </c>
      <c r="F287" s="7">
        <f t="shared" si="35"/>
        <v>232.0499017975537</v>
      </c>
      <c r="G287" s="7">
        <v>0</v>
      </c>
      <c r="H287" s="7">
        <f t="shared" si="36"/>
        <v>0</v>
      </c>
      <c r="I287" s="7">
        <f t="shared" si="37"/>
        <v>0</v>
      </c>
      <c r="J287" s="7">
        <v>0</v>
      </c>
      <c r="K287" s="7">
        <f t="shared" si="38"/>
        <v>0</v>
      </c>
      <c r="L287" s="7">
        <f t="shared" si="39"/>
        <v>0</v>
      </c>
      <c r="M287" s="7">
        <v>0</v>
      </c>
      <c r="N287" s="7">
        <f t="shared" si="40"/>
        <v>0</v>
      </c>
      <c r="O287" s="7">
        <f t="shared" si="41"/>
        <v>0</v>
      </c>
    </row>
    <row r="288" spans="3:15" x14ac:dyDescent="0.2">
      <c r="C288">
        <v>269</v>
      </c>
      <c r="D288" s="7">
        <v>3163.8561241347584</v>
      </c>
      <c r="E288" s="7">
        <f t="shared" si="34"/>
        <v>94.61292237245091</v>
      </c>
      <c r="F288" s="7">
        <f t="shared" si="35"/>
        <v>255.48928581750863</v>
      </c>
      <c r="G288" s="7">
        <v>0</v>
      </c>
      <c r="H288" s="7">
        <f t="shared" si="36"/>
        <v>0</v>
      </c>
      <c r="I288" s="7">
        <f t="shared" si="37"/>
        <v>0</v>
      </c>
      <c r="J288" s="7">
        <v>0</v>
      </c>
      <c r="K288" s="7">
        <f t="shared" si="38"/>
        <v>0</v>
      </c>
      <c r="L288" s="7">
        <f t="shared" si="39"/>
        <v>0</v>
      </c>
      <c r="M288" s="7">
        <v>0</v>
      </c>
      <c r="N288" s="7">
        <f t="shared" si="40"/>
        <v>0</v>
      </c>
      <c r="O288" s="7">
        <f t="shared" si="41"/>
        <v>0</v>
      </c>
    </row>
    <row r="289" spans="3:15" x14ac:dyDescent="0.2">
      <c r="C289">
        <v>270</v>
      </c>
      <c r="D289" s="7">
        <v>3204.9710194973286</v>
      </c>
      <c r="E289" s="7">
        <f t="shared" si="34"/>
        <v>95.842434793580409</v>
      </c>
      <c r="F289" s="7">
        <f t="shared" si="35"/>
        <v>258.80941632929586</v>
      </c>
      <c r="G289" s="7">
        <v>0</v>
      </c>
      <c r="H289" s="7">
        <f t="shared" si="36"/>
        <v>0</v>
      </c>
      <c r="I289" s="7">
        <f t="shared" si="37"/>
        <v>0</v>
      </c>
      <c r="J289" s="7">
        <v>162.06852545342326</v>
      </c>
      <c r="K289" s="7">
        <f t="shared" si="38"/>
        <v>2.5848249673592227</v>
      </c>
      <c r="L289" s="7">
        <f t="shared" si="39"/>
        <v>9.729311124475073</v>
      </c>
      <c r="M289" s="7">
        <v>0</v>
      </c>
      <c r="N289" s="7">
        <f t="shared" si="40"/>
        <v>0</v>
      </c>
      <c r="O289" s="7">
        <f t="shared" si="41"/>
        <v>0</v>
      </c>
    </row>
    <row r="290" spans="3:15" x14ac:dyDescent="0.2">
      <c r="C290">
        <v>271</v>
      </c>
      <c r="D290" s="7">
        <v>3203.5322311610453</v>
      </c>
      <c r="E290" s="7">
        <f t="shared" si="34"/>
        <v>95.799408826586287</v>
      </c>
      <c r="F290" s="7">
        <f t="shared" si="35"/>
        <v>258.69323057682897</v>
      </c>
      <c r="G290" s="7">
        <v>2767.0863223819433</v>
      </c>
      <c r="H290" s="7">
        <f t="shared" si="36"/>
        <v>66.198237377558456</v>
      </c>
      <c r="I290" s="7">
        <f t="shared" si="37"/>
        <v>143.85550369600077</v>
      </c>
      <c r="J290" s="7">
        <v>366.69073460570007</v>
      </c>
      <c r="K290" s="7">
        <f t="shared" si="38"/>
        <v>5.8483370750510382</v>
      </c>
      <c r="L290" s="7">
        <f t="shared" si="39"/>
        <v>22.013208508313834</v>
      </c>
      <c r="M290" s="7">
        <v>1198.0879018749451</v>
      </c>
      <c r="N290" s="7">
        <f t="shared" si="40"/>
        <v>95.541299990027525</v>
      </c>
      <c r="O290" s="7">
        <f t="shared" si="41"/>
        <v>36.165724458607905</v>
      </c>
    </row>
    <row r="291" spans="3:15" x14ac:dyDescent="0.2">
      <c r="C291">
        <v>272</v>
      </c>
      <c r="D291" s="7">
        <v>3206.1504977692193</v>
      </c>
      <c r="E291" s="7">
        <f t="shared" si="34"/>
        <v>95.877706273002971</v>
      </c>
      <c r="F291" s="7">
        <f t="shared" si="35"/>
        <v>258.90466214626707</v>
      </c>
      <c r="G291" s="7">
        <v>2768.8791402701581</v>
      </c>
      <c r="H291" s="7">
        <f t="shared" si="36"/>
        <v>66.241127757659285</v>
      </c>
      <c r="I291" s="7">
        <f t="shared" si="37"/>
        <v>143.94870885489232</v>
      </c>
      <c r="J291" s="7">
        <v>567.25588881351996</v>
      </c>
      <c r="K291" s="7">
        <f t="shared" si="38"/>
        <v>9.0471433622570974</v>
      </c>
      <c r="L291" s="7">
        <f t="shared" si="39"/>
        <v>34.053552434173767</v>
      </c>
      <c r="M291" s="7">
        <v>1196.2950839867301</v>
      </c>
      <c r="N291" s="7">
        <f t="shared" si="40"/>
        <v>95.398332056358072</v>
      </c>
      <c r="O291" s="7">
        <f t="shared" si="41"/>
        <v>36.111606094130494</v>
      </c>
    </row>
    <row r="292" spans="3:15" x14ac:dyDescent="0.2">
      <c r="C292">
        <v>273</v>
      </c>
      <c r="D292" s="7">
        <v>3208.7664219993421</v>
      </c>
      <c r="E292" s="7">
        <f t="shared" si="34"/>
        <v>95.955933672229136</v>
      </c>
      <c r="F292" s="7">
        <f t="shared" si="35"/>
        <v>259.11590456282596</v>
      </c>
      <c r="G292" s="7">
        <v>2770.4462446595962</v>
      </c>
      <c r="H292" s="7">
        <f t="shared" si="36"/>
        <v>66.278618293291785</v>
      </c>
      <c r="I292" s="7">
        <f t="shared" si="37"/>
        <v>144.03017960246657</v>
      </c>
      <c r="J292" s="7">
        <v>767.8233853993911</v>
      </c>
      <c r="K292" s="7">
        <f t="shared" si="38"/>
        <v>12.245987007964771</v>
      </c>
      <c r="L292" s="7">
        <f t="shared" si="39"/>
        <v>46.094036977866608</v>
      </c>
      <c r="M292" s="7">
        <v>1194.7279795972922</v>
      </c>
      <c r="N292" s="7">
        <f t="shared" si="40"/>
        <v>95.273363604249781</v>
      </c>
      <c r="O292" s="7">
        <f t="shared" si="41"/>
        <v>36.064301163117008</v>
      </c>
    </row>
    <row r="293" spans="3:15" x14ac:dyDescent="0.2">
      <c r="C293">
        <v>274</v>
      </c>
      <c r="D293" s="7">
        <v>3211.3794915803678</v>
      </c>
      <c r="E293" s="7">
        <f t="shared" si="34"/>
        <v>96.034075705154549</v>
      </c>
      <c r="F293" s="7">
        <f t="shared" si="35"/>
        <v>259.32691645933886</v>
      </c>
      <c r="G293" s="7">
        <v>2771.7878288038864</v>
      </c>
      <c r="H293" s="7">
        <f t="shared" si="36"/>
        <v>66.310713607748482</v>
      </c>
      <c r="I293" s="7">
        <f t="shared" si="37"/>
        <v>144.09992598560839</v>
      </c>
      <c r="J293" s="7">
        <v>968.39373663435845</v>
      </c>
      <c r="K293" s="7">
        <f t="shared" si="38"/>
        <v>15.444876182366164</v>
      </c>
      <c r="L293" s="7">
        <f t="shared" si="39"/>
        <v>58.134692892090087</v>
      </c>
      <c r="M293" s="7">
        <v>1193.386395453002</v>
      </c>
      <c r="N293" s="7">
        <f t="shared" si="40"/>
        <v>95.166379222727443</v>
      </c>
      <c r="O293" s="7">
        <f t="shared" si="41"/>
        <v>36.023803831974185</v>
      </c>
    </row>
    <row r="294" spans="3:15" x14ac:dyDescent="0.2">
      <c r="C294">
        <v>275</v>
      </c>
      <c r="D294" s="7">
        <v>3213.989197063916</v>
      </c>
      <c r="E294" s="7">
        <f t="shared" si="34"/>
        <v>96.11211713707884</v>
      </c>
      <c r="F294" s="7">
        <f t="shared" si="35"/>
        <v>259.53765669657645</v>
      </c>
      <c r="G294" s="7">
        <v>2772.904105631595</v>
      </c>
      <c r="H294" s="7">
        <f t="shared" si="36"/>
        <v>66.337418795014244</v>
      </c>
      <c r="I294" s="7">
        <f t="shared" si="37"/>
        <v>144.15795907406513</v>
      </c>
      <c r="J294" s="7">
        <v>1168.9674519668038</v>
      </c>
      <c r="K294" s="7">
        <f t="shared" si="38"/>
        <v>18.643819010634829</v>
      </c>
      <c r="L294" s="7">
        <f t="shared" si="39"/>
        <v>70.17555076009161</v>
      </c>
      <c r="M294" s="7">
        <v>1192.2701186252934</v>
      </c>
      <c r="N294" s="7">
        <f t="shared" si="40"/>
        <v>95.077361931841594</v>
      </c>
      <c r="O294" s="7">
        <f t="shared" si="41"/>
        <v>35.990107673197144</v>
      </c>
    </row>
    <row r="295" spans="3:15" x14ac:dyDescent="0.2">
      <c r="C295">
        <v>276</v>
      </c>
      <c r="D295" s="7">
        <v>3216.5950318586742</v>
      </c>
      <c r="E295" s="7">
        <f t="shared" si="34"/>
        <v>96.190042818740267</v>
      </c>
      <c r="F295" s="7">
        <f t="shared" si="35"/>
        <v>259.74808436602473</v>
      </c>
      <c r="G295" s="7">
        <v>2773.7953077008924</v>
      </c>
      <c r="H295" s="7">
        <f t="shared" si="36"/>
        <v>66.358739418681637</v>
      </c>
      <c r="I295" s="7">
        <f t="shared" si="37"/>
        <v>144.20429095808936</v>
      </c>
      <c r="J295" s="7">
        <v>1369.5450379880399</v>
      </c>
      <c r="K295" s="7">
        <f t="shared" si="38"/>
        <v>21.842823572377032</v>
      </c>
      <c r="L295" s="7">
        <f t="shared" si="39"/>
        <v>82.216640993602752</v>
      </c>
      <c r="M295" s="7">
        <v>1191.3789165559958</v>
      </c>
      <c r="N295" s="7">
        <f t="shared" si="40"/>
        <v>95.006293186283571</v>
      </c>
      <c r="O295" s="7">
        <f t="shared" si="41"/>
        <v>35.96320566673775</v>
      </c>
    </row>
    <row r="296" spans="3:15" x14ac:dyDescent="0.2">
      <c r="C296">
        <v>277</v>
      </c>
      <c r="D296" s="7">
        <v>3219.1964922645061</v>
      </c>
      <c r="E296" s="7">
        <f t="shared" si="34"/>
        <v>96.267837687335714</v>
      </c>
      <c r="F296" s="7">
        <f t="shared" si="35"/>
        <v>259.95815879263927</v>
      </c>
      <c r="G296" s="7">
        <v>2774.4616871525359</v>
      </c>
      <c r="H296" s="7">
        <f t="shared" si="36"/>
        <v>66.374681510826221</v>
      </c>
      <c r="I296" s="7">
        <f t="shared" si="37"/>
        <v>144.2389347459949</v>
      </c>
      <c r="J296" s="7">
        <v>1570.1269983982024</v>
      </c>
      <c r="K296" s="7">
        <f t="shared" si="38"/>
        <v>25.041897901087761</v>
      </c>
      <c r="L296" s="7">
        <f t="shared" si="39"/>
        <v>94.257993830791747</v>
      </c>
      <c r="M296" s="7">
        <v>1190.7125371043524</v>
      </c>
      <c r="N296" s="7">
        <f t="shared" si="40"/>
        <v>94.953152879134961</v>
      </c>
      <c r="O296" s="7">
        <f t="shared" si="41"/>
        <v>35.943090201423978</v>
      </c>
    </row>
    <row r="297" spans="3:15" x14ac:dyDescent="0.2">
      <c r="C297">
        <v>278</v>
      </c>
      <c r="D297" s="7">
        <v>3221.7932263227344</v>
      </c>
      <c r="E297" s="7">
        <f t="shared" si="34"/>
        <v>96.345491217785124</v>
      </c>
      <c r="F297" s="7">
        <f t="shared" si="35"/>
        <v>260.16785155487764</v>
      </c>
      <c r="G297" s="7">
        <v>2775.1021401142625</v>
      </c>
      <c r="H297" s="7">
        <f t="shared" si="36"/>
        <v>66.390003352015853</v>
      </c>
      <c r="I297" s="7">
        <f t="shared" si="37"/>
        <v>144.27223066548157</v>
      </c>
      <c r="J297" s="7">
        <v>1476.3050549940167</v>
      </c>
      <c r="K297" s="7">
        <f t="shared" si="38"/>
        <v>23.545535167368691</v>
      </c>
      <c r="L297" s="7">
        <f t="shared" si="39"/>
        <v>88.62566716447337</v>
      </c>
      <c r="M297" s="7">
        <v>1190.0720841426257</v>
      </c>
      <c r="N297" s="7">
        <f t="shared" si="40"/>
        <v>94.902080075169522</v>
      </c>
      <c r="O297" s="7">
        <f t="shared" si="41"/>
        <v>35.923757358394468</v>
      </c>
    </row>
    <row r="298" spans="3:15" x14ac:dyDescent="0.2">
      <c r="C298">
        <v>279</v>
      </c>
      <c r="D298" s="7">
        <v>3224.3854784678947</v>
      </c>
      <c r="E298" s="7">
        <f t="shared" si="34"/>
        <v>96.423010719733696</v>
      </c>
      <c r="F298" s="7">
        <f t="shared" si="35"/>
        <v>260.37718239143931</v>
      </c>
      <c r="G298" s="7">
        <v>2775.9151652888863</v>
      </c>
      <c r="H298" s="7">
        <f t="shared" si="36"/>
        <v>66.409453715045132</v>
      </c>
      <c r="I298" s="7">
        <f t="shared" si="37"/>
        <v>144.31449828289092</v>
      </c>
      <c r="J298" s="7">
        <v>1382.4875935029008</v>
      </c>
      <c r="K298" s="7">
        <f t="shared" si="38"/>
        <v>22.049243915516762</v>
      </c>
      <c r="L298" s="7">
        <f t="shared" si="39"/>
        <v>82.993609556731087</v>
      </c>
      <c r="M298" s="7">
        <v>1189.2590589680021</v>
      </c>
      <c r="N298" s="7">
        <f t="shared" si="40"/>
        <v>94.837245531738617</v>
      </c>
      <c r="O298" s="7">
        <f t="shared" si="41"/>
        <v>35.899215215537225</v>
      </c>
    </row>
    <row r="299" spans="3:15" x14ac:dyDescent="0.2">
      <c r="C299">
        <v>280</v>
      </c>
      <c r="D299" s="7">
        <v>3226.9736398814803</v>
      </c>
      <c r="E299" s="7">
        <f t="shared" si="34"/>
        <v>96.500407891192594</v>
      </c>
      <c r="F299" s="7">
        <f t="shared" si="35"/>
        <v>260.5861828912071</v>
      </c>
      <c r="G299" s="7">
        <v>2776.9004222558688</v>
      </c>
      <c r="H299" s="7">
        <f t="shared" si="36"/>
        <v>66.433024455882034</v>
      </c>
      <c r="I299" s="7">
        <f t="shared" si="37"/>
        <v>144.36571990041287</v>
      </c>
      <c r="J299" s="7">
        <v>1288.6742227433588</v>
      </c>
      <c r="K299" s="7">
        <f t="shared" si="38"/>
        <v>20.553017906592647</v>
      </c>
      <c r="L299" s="7">
        <f t="shared" si="39"/>
        <v>77.361797524124995</v>
      </c>
      <c r="M299" s="7">
        <v>1188.2738020010197</v>
      </c>
      <c r="N299" s="7">
        <f t="shared" si="40"/>
        <v>94.758676395615609</v>
      </c>
      <c r="O299" s="7">
        <f t="shared" si="41"/>
        <v>35.869474048855672</v>
      </c>
    </row>
    <row r="300" spans="3:15" x14ac:dyDescent="0.2">
      <c r="C300">
        <v>281</v>
      </c>
      <c r="D300" s="7">
        <v>3229.5580991965803</v>
      </c>
      <c r="E300" s="7">
        <f t="shared" si="34"/>
        <v>96.577694353964731</v>
      </c>
      <c r="F300" s="7">
        <f t="shared" si="35"/>
        <v>260.79488443727371</v>
      </c>
      <c r="G300" s="7">
        <v>2778.057555859139</v>
      </c>
      <c r="H300" s="7">
        <f t="shared" si="36"/>
        <v>66.460707077969843</v>
      </c>
      <c r="I300" s="7">
        <f t="shared" si="37"/>
        <v>144.4258770541654</v>
      </c>
      <c r="J300" s="7">
        <v>1194.8645540823022</v>
      </c>
      <c r="K300" s="7">
        <f t="shared" si="38"/>
        <v>19.056850942301473</v>
      </c>
      <c r="L300" s="7">
        <f t="shared" si="39"/>
        <v>71.730207736201365</v>
      </c>
      <c r="M300" s="7">
        <v>1187.1166683977494</v>
      </c>
      <c r="N300" s="7">
        <f t="shared" si="40"/>
        <v>94.666400988656264</v>
      </c>
      <c r="O300" s="7">
        <f t="shared" si="41"/>
        <v>35.83454457916303</v>
      </c>
    </row>
    <row r="301" spans="3:15" x14ac:dyDescent="0.2">
      <c r="C301">
        <v>282</v>
      </c>
      <c r="D301" s="7">
        <v>3232.1392424740757</v>
      </c>
      <c r="E301" s="7">
        <f t="shared" si="34"/>
        <v>96.654881652932886</v>
      </c>
      <c r="F301" s="7">
        <f t="shared" si="35"/>
        <v>261.00331820501981</v>
      </c>
      <c r="G301" s="7">
        <v>2779.3861962583874</v>
      </c>
      <c r="H301" s="7">
        <f t="shared" si="36"/>
        <v>66.492492733454242</v>
      </c>
      <c r="I301" s="7">
        <f t="shared" si="37"/>
        <v>144.49495051686105</v>
      </c>
      <c r="J301" s="7">
        <v>1101.0582014588504</v>
      </c>
      <c r="K301" s="7">
        <f t="shared" si="38"/>
        <v>17.560736865372416</v>
      </c>
      <c r="L301" s="7">
        <f t="shared" si="39"/>
        <v>66.098817016921501</v>
      </c>
      <c r="M301" s="7">
        <v>1185.7880279985011</v>
      </c>
      <c r="N301" s="7">
        <f t="shared" si="40"/>
        <v>94.560448803708226</v>
      </c>
      <c r="O301" s="7">
        <f t="shared" si="41"/>
        <v>35.794437970533899</v>
      </c>
    </row>
    <row r="302" spans="3:15" x14ac:dyDescent="0.2">
      <c r="C302">
        <v>283</v>
      </c>
      <c r="D302" s="7">
        <v>3235.5989616747784</v>
      </c>
      <c r="E302" s="7">
        <f t="shared" si="34"/>
        <v>96.758342155346256</v>
      </c>
      <c r="F302" s="7">
        <f t="shared" si="35"/>
        <v>261.2826991733811</v>
      </c>
      <c r="G302" s="7">
        <v>2780.8865538837777</v>
      </c>
      <c r="H302" s="7">
        <f t="shared" si="36"/>
        <v>66.528386456549711</v>
      </c>
      <c r="I302" s="7">
        <f t="shared" si="37"/>
        <v>144.57295122835995</v>
      </c>
      <c r="J302" s="7">
        <v>1006.3732729121912</v>
      </c>
      <c r="K302" s="7">
        <f t="shared" si="38"/>
        <v>16.050610413272587</v>
      </c>
      <c r="L302" s="7">
        <f t="shared" si="39"/>
        <v>60.414683555153886</v>
      </c>
      <c r="M302" s="7">
        <v>1184.2876703731108</v>
      </c>
      <c r="N302" s="7">
        <f t="shared" si="40"/>
        <v>94.440803060056695</v>
      </c>
      <c r="O302" s="7">
        <f t="shared" si="41"/>
        <v>35.749147870880677</v>
      </c>
    </row>
    <row r="303" spans="3:15" x14ac:dyDescent="0.2">
      <c r="C303">
        <v>284</v>
      </c>
      <c r="D303" s="7">
        <v>3239.0544624188715</v>
      </c>
      <c r="E303" s="7">
        <f t="shared" si="34"/>
        <v>96.861676507741379</v>
      </c>
      <c r="F303" s="7">
        <f t="shared" si="35"/>
        <v>261.56173949083285</v>
      </c>
      <c r="G303" s="7">
        <v>2782.5588218368575</v>
      </c>
      <c r="H303" s="7">
        <f t="shared" si="36"/>
        <v>66.568392866910472</v>
      </c>
      <c r="I303" s="7">
        <f t="shared" si="37"/>
        <v>144.65988922764069</v>
      </c>
      <c r="J303" s="7">
        <v>911.69256282214155</v>
      </c>
      <c r="K303" s="7">
        <f t="shared" si="38"/>
        <v>14.540551241182483</v>
      </c>
      <c r="L303" s="7">
        <f t="shared" si="39"/>
        <v>54.730803336122371</v>
      </c>
      <c r="M303" s="7">
        <v>1182.6154024200309</v>
      </c>
      <c r="N303" s="7">
        <f t="shared" si="40"/>
        <v>94.307448358854145</v>
      </c>
      <c r="O303" s="7">
        <f t="shared" si="41"/>
        <v>35.698668451200867</v>
      </c>
    </row>
    <row r="304" spans="3:15" x14ac:dyDescent="0.2">
      <c r="C304">
        <v>285</v>
      </c>
      <c r="D304" s="7">
        <v>3242.5059201464273</v>
      </c>
      <c r="E304" s="7">
        <f t="shared" si="34"/>
        <v>96.96488995653192</v>
      </c>
      <c r="F304" s="7">
        <f t="shared" si="35"/>
        <v>261.84045332459914</v>
      </c>
      <c r="G304" s="7">
        <v>2784.125627123336</v>
      </c>
      <c r="H304" s="7">
        <f t="shared" si="36"/>
        <v>66.605876246969771</v>
      </c>
      <c r="I304" s="7">
        <f t="shared" si="37"/>
        <v>144.74134442542646</v>
      </c>
      <c r="J304" s="7">
        <v>1227.529337805433</v>
      </c>
      <c r="K304" s="7">
        <f t="shared" si="38"/>
        <v>19.57782037967198</v>
      </c>
      <c r="L304" s="7">
        <f t="shared" si="39"/>
        <v>73.691142734325751</v>
      </c>
      <c r="M304" s="7">
        <v>1181.0485971335527</v>
      </c>
      <c r="N304" s="7">
        <f t="shared" si="40"/>
        <v>94.182503758656523</v>
      </c>
      <c r="O304" s="7">
        <f t="shared" si="41"/>
        <v>35.651372548970002</v>
      </c>
    </row>
    <row r="305" spans="3:15" x14ac:dyDescent="0.2">
      <c r="C305">
        <v>286</v>
      </c>
      <c r="D305" s="7">
        <v>3245.9530836277704</v>
      </c>
      <c r="E305" s="7">
        <f t="shared" si="34"/>
        <v>97.067974988868741</v>
      </c>
      <c r="F305" s="7">
        <f t="shared" si="35"/>
        <v>262.11882038725611</v>
      </c>
      <c r="G305" s="7">
        <v>2785.848687554902</v>
      </c>
      <c r="H305" s="7">
        <f t="shared" si="36"/>
        <v>66.647097788394788</v>
      </c>
      <c r="I305" s="7">
        <f t="shared" si="37"/>
        <v>144.83092302811647</v>
      </c>
      <c r="J305" s="7">
        <v>745.14982525781852</v>
      </c>
      <c r="K305" s="7">
        <f t="shared" si="38"/>
        <v>11.884367228992321</v>
      </c>
      <c r="L305" s="7">
        <f t="shared" si="39"/>
        <v>44.732895940150094</v>
      </c>
      <c r="M305" s="7">
        <v>1179.3255367019865</v>
      </c>
      <c r="N305" s="7">
        <f t="shared" si="40"/>
        <v>94.045098620573086</v>
      </c>
      <c r="O305" s="7">
        <f t="shared" si="41"/>
        <v>35.599359897230485</v>
      </c>
    </row>
    <row r="306" spans="3:15" x14ac:dyDescent="0.2">
      <c r="C306">
        <v>287</v>
      </c>
      <c r="D306" s="7">
        <v>3245.336389618094</v>
      </c>
      <c r="E306" s="7">
        <f t="shared" si="34"/>
        <v>97.049533182359284</v>
      </c>
      <c r="F306" s="7">
        <f t="shared" si="35"/>
        <v>262.06902080537935</v>
      </c>
      <c r="G306" s="7">
        <v>0</v>
      </c>
      <c r="H306" s="7">
        <f t="shared" si="36"/>
        <v>0</v>
      </c>
      <c r="I306" s="7">
        <f t="shared" si="37"/>
        <v>0</v>
      </c>
      <c r="J306" s="7">
        <v>266.83417020122488</v>
      </c>
      <c r="K306" s="7">
        <f t="shared" si="38"/>
        <v>4.2557283923640332</v>
      </c>
      <c r="L306" s="7">
        <f t="shared" si="39"/>
        <v>16.018610974991237</v>
      </c>
      <c r="M306" s="7">
        <v>0</v>
      </c>
      <c r="N306" s="7">
        <f t="shared" si="40"/>
        <v>0</v>
      </c>
      <c r="O306" s="7">
        <f t="shared" si="41"/>
        <v>0</v>
      </c>
    </row>
    <row r="307" spans="3:15" x14ac:dyDescent="0.2">
      <c r="C307">
        <v>288</v>
      </c>
      <c r="D307" s="7">
        <v>3033.238210753048</v>
      </c>
      <c r="E307" s="7">
        <f t="shared" si="34"/>
        <v>90.706884292854312</v>
      </c>
      <c r="F307" s="7">
        <f t="shared" si="35"/>
        <v>244.9415630085289</v>
      </c>
      <c r="G307" s="7">
        <v>0</v>
      </c>
      <c r="H307" s="7">
        <f t="shared" si="36"/>
        <v>0</v>
      </c>
      <c r="I307" s="7">
        <f t="shared" si="37"/>
        <v>0</v>
      </c>
      <c r="J307" s="7">
        <v>0</v>
      </c>
      <c r="K307" s="7">
        <f t="shared" si="38"/>
        <v>0</v>
      </c>
      <c r="L307" s="7">
        <f t="shared" si="39"/>
        <v>0</v>
      </c>
      <c r="M307" s="7">
        <v>0</v>
      </c>
      <c r="N307" s="7">
        <f t="shared" si="40"/>
        <v>0</v>
      </c>
      <c r="O307" s="7">
        <f t="shared" si="41"/>
        <v>0</v>
      </c>
    </row>
    <row r="308" spans="3:15" x14ac:dyDescent="0.2">
      <c r="C308">
        <v>289</v>
      </c>
      <c r="D308" s="7">
        <v>2554.3058616867775</v>
      </c>
      <c r="E308" s="7">
        <f t="shared" si="34"/>
        <v>76.384744667666794</v>
      </c>
      <c r="F308" s="7">
        <f t="shared" si="35"/>
        <v>206.2665793756033</v>
      </c>
      <c r="G308" s="7">
        <v>0</v>
      </c>
      <c r="H308" s="7">
        <f t="shared" si="36"/>
        <v>0</v>
      </c>
      <c r="I308" s="7">
        <f t="shared" si="37"/>
        <v>0</v>
      </c>
      <c r="J308" s="7">
        <v>0</v>
      </c>
      <c r="K308" s="7">
        <f t="shared" si="38"/>
        <v>0</v>
      </c>
      <c r="L308" s="7">
        <f t="shared" si="39"/>
        <v>0</v>
      </c>
      <c r="M308" s="7">
        <v>0</v>
      </c>
      <c r="N308" s="7">
        <f t="shared" si="40"/>
        <v>0</v>
      </c>
      <c r="O308" s="7">
        <f t="shared" si="41"/>
        <v>0</v>
      </c>
    </row>
    <row r="309" spans="3:15" x14ac:dyDescent="0.2">
      <c r="C309">
        <v>290</v>
      </c>
      <c r="D309" s="7">
        <v>2554.3058616867775</v>
      </c>
      <c r="E309" s="7">
        <f t="shared" si="34"/>
        <v>76.384744667666794</v>
      </c>
      <c r="F309" s="7">
        <f t="shared" si="35"/>
        <v>206.2665793756033</v>
      </c>
      <c r="G309" s="7">
        <v>0</v>
      </c>
      <c r="H309" s="7">
        <f t="shared" si="36"/>
        <v>0</v>
      </c>
      <c r="I309" s="7">
        <f t="shared" si="37"/>
        <v>0</v>
      </c>
      <c r="J309" s="7">
        <v>0</v>
      </c>
      <c r="K309" s="7">
        <f t="shared" si="38"/>
        <v>0</v>
      </c>
      <c r="L309" s="7">
        <f t="shared" si="39"/>
        <v>0</v>
      </c>
      <c r="M309" s="7">
        <v>0</v>
      </c>
      <c r="N309" s="7">
        <f t="shared" si="40"/>
        <v>0</v>
      </c>
      <c r="O309" s="7">
        <f t="shared" si="41"/>
        <v>0</v>
      </c>
    </row>
    <row r="310" spans="3:15" x14ac:dyDescent="0.2">
      <c r="C310">
        <v>291</v>
      </c>
      <c r="D310" s="7">
        <v>2736.7562803786905</v>
      </c>
      <c r="E310" s="7">
        <f t="shared" si="34"/>
        <v>81.84079785821443</v>
      </c>
      <c r="F310" s="7">
        <f t="shared" si="35"/>
        <v>220.9999064738607</v>
      </c>
      <c r="G310" s="7">
        <v>0</v>
      </c>
      <c r="H310" s="7">
        <f t="shared" si="36"/>
        <v>0</v>
      </c>
      <c r="I310" s="7">
        <f t="shared" si="37"/>
        <v>0</v>
      </c>
      <c r="J310" s="7">
        <v>0</v>
      </c>
      <c r="K310" s="7">
        <f t="shared" si="38"/>
        <v>0</v>
      </c>
      <c r="L310" s="7">
        <f t="shared" si="39"/>
        <v>0</v>
      </c>
      <c r="M310" s="7">
        <v>0</v>
      </c>
      <c r="N310" s="7">
        <f t="shared" si="40"/>
        <v>0</v>
      </c>
      <c r="O310" s="7">
        <f t="shared" si="41"/>
        <v>0</v>
      </c>
    </row>
    <row r="311" spans="3:15" x14ac:dyDescent="0.2">
      <c r="C311">
        <v>292</v>
      </c>
      <c r="D311" s="7">
        <v>2919.2066990706026</v>
      </c>
      <c r="E311" s="7">
        <f t="shared" si="34"/>
        <v>87.296851048762051</v>
      </c>
      <c r="F311" s="7">
        <f t="shared" si="35"/>
        <v>235.73323357211805</v>
      </c>
      <c r="G311" s="7">
        <v>0</v>
      </c>
      <c r="H311" s="7">
        <f t="shared" si="36"/>
        <v>0</v>
      </c>
      <c r="I311" s="7">
        <f t="shared" si="37"/>
        <v>0</v>
      </c>
      <c r="J311" s="7">
        <v>0</v>
      </c>
      <c r="K311" s="7">
        <f t="shared" si="38"/>
        <v>0</v>
      </c>
      <c r="L311" s="7">
        <f t="shared" si="39"/>
        <v>0</v>
      </c>
      <c r="M311" s="7">
        <v>0</v>
      </c>
      <c r="N311" s="7">
        <f t="shared" si="40"/>
        <v>0</v>
      </c>
      <c r="O311" s="7">
        <f t="shared" si="41"/>
        <v>0</v>
      </c>
    </row>
    <row r="312" spans="3:15" x14ac:dyDescent="0.2">
      <c r="C312">
        <v>293</v>
      </c>
      <c r="D312" s="7">
        <v>3101.6571177625156</v>
      </c>
      <c r="E312" s="7">
        <f t="shared" si="34"/>
        <v>92.752904239309686</v>
      </c>
      <c r="F312" s="7">
        <f t="shared" si="35"/>
        <v>250.46656067037546</v>
      </c>
      <c r="G312" s="7">
        <v>0</v>
      </c>
      <c r="H312" s="7">
        <f t="shared" si="36"/>
        <v>0</v>
      </c>
      <c r="I312" s="7">
        <f t="shared" si="37"/>
        <v>0</v>
      </c>
      <c r="J312" s="7">
        <v>0</v>
      </c>
      <c r="K312" s="7">
        <f t="shared" si="38"/>
        <v>0</v>
      </c>
      <c r="L312" s="7">
        <f t="shared" si="39"/>
        <v>0</v>
      </c>
      <c r="M312" s="7">
        <v>0</v>
      </c>
      <c r="N312" s="7">
        <f t="shared" si="40"/>
        <v>0</v>
      </c>
      <c r="O312" s="7">
        <f t="shared" si="41"/>
        <v>0</v>
      </c>
    </row>
    <row r="313" spans="3:15" x14ac:dyDescent="0.2">
      <c r="C313">
        <v>294</v>
      </c>
      <c r="D313" s="7">
        <v>3231.5900287023228</v>
      </c>
      <c r="E313" s="7">
        <f t="shared" si="34"/>
        <v>96.638457796122097</v>
      </c>
      <c r="F313" s="7">
        <f t="shared" si="35"/>
        <v>260.95896782093126</v>
      </c>
      <c r="G313" s="7">
        <v>0</v>
      </c>
      <c r="H313" s="7">
        <f t="shared" si="36"/>
        <v>0</v>
      </c>
      <c r="I313" s="7">
        <f t="shared" si="37"/>
        <v>0</v>
      </c>
      <c r="J313" s="7">
        <v>52.517507752105757</v>
      </c>
      <c r="K313" s="7">
        <f t="shared" si="38"/>
        <v>0.83759980465878403</v>
      </c>
      <c r="L313" s="7">
        <f t="shared" si="39"/>
        <v>3.1527353690221145</v>
      </c>
      <c r="M313" s="7">
        <v>0</v>
      </c>
      <c r="N313" s="7">
        <f t="shared" si="40"/>
        <v>0</v>
      </c>
      <c r="O313" s="7">
        <f t="shared" si="41"/>
        <v>0</v>
      </c>
    </row>
    <row r="314" spans="3:15" x14ac:dyDescent="0.2">
      <c r="C314">
        <v>295</v>
      </c>
      <c r="D314" s="7">
        <v>3231.1331401654138</v>
      </c>
      <c r="E314" s="7">
        <f t="shared" si="34"/>
        <v>96.624794861405917</v>
      </c>
      <c r="F314" s="7">
        <f t="shared" si="35"/>
        <v>260.92207293019885</v>
      </c>
      <c r="G314" s="7">
        <v>2802.745504023741</v>
      </c>
      <c r="H314" s="7">
        <f t="shared" si="36"/>
        <v>67.051327847457927</v>
      </c>
      <c r="I314" s="7">
        <f t="shared" si="37"/>
        <v>145.70935606590163</v>
      </c>
      <c r="J314" s="7">
        <v>235.42481498092729</v>
      </c>
      <c r="K314" s="7">
        <f t="shared" si="38"/>
        <v>3.7547817381328121</v>
      </c>
      <c r="L314" s="7">
        <f t="shared" si="39"/>
        <v>14.133041964583633</v>
      </c>
      <c r="M314" s="7">
        <v>1162.4287202331473</v>
      </c>
      <c r="N314" s="7">
        <f t="shared" si="40"/>
        <v>92.697665090362634</v>
      </c>
      <c r="O314" s="7">
        <f t="shared" si="41"/>
        <v>35.089309167494051</v>
      </c>
    </row>
    <row r="315" spans="3:15" x14ac:dyDescent="0.2">
      <c r="C315">
        <v>296</v>
      </c>
      <c r="D315" s="7">
        <v>3234.7565289095178</v>
      </c>
      <c r="E315" s="7">
        <f t="shared" si="34"/>
        <v>96.733149787964052</v>
      </c>
      <c r="F315" s="7">
        <f t="shared" si="35"/>
        <v>261.21467062306118</v>
      </c>
      <c r="G315" s="7">
        <v>2805.7853689626249</v>
      </c>
      <c r="H315" s="7">
        <f t="shared" si="36"/>
        <v>67.124051889058023</v>
      </c>
      <c r="I315" s="7">
        <f t="shared" si="37"/>
        <v>145.8673928059967</v>
      </c>
      <c r="J315" s="7">
        <v>414.25184492873586</v>
      </c>
      <c r="K315" s="7">
        <f t="shared" si="38"/>
        <v>6.6068874789272076</v>
      </c>
      <c r="L315" s="7">
        <f t="shared" si="39"/>
        <v>24.868401016937501</v>
      </c>
      <c r="M315" s="7">
        <v>1159.3888552942635</v>
      </c>
      <c r="N315" s="7">
        <f t="shared" si="40"/>
        <v>92.455251618362325</v>
      </c>
      <c r="O315" s="7">
        <f t="shared" si="41"/>
        <v>34.99754718776034</v>
      </c>
    </row>
    <row r="316" spans="3:15" x14ac:dyDescent="0.2">
      <c r="C316">
        <v>297</v>
      </c>
      <c r="D316" s="7">
        <v>3234.3039631829297</v>
      </c>
      <c r="E316" s="7">
        <f t="shared" si="34"/>
        <v>96.719616123891441</v>
      </c>
      <c r="F316" s="7">
        <f t="shared" si="35"/>
        <v>261.17812481006121</v>
      </c>
      <c r="G316" s="7">
        <v>0</v>
      </c>
      <c r="H316" s="7">
        <f t="shared" si="36"/>
        <v>0</v>
      </c>
      <c r="I316" s="7">
        <f t="shared" si="37"/>
        <v>0</v>
      </c>
      <c r="J316" s="7">
        <v>597.15482934723696</v>
      </c>
      <c r="K316" s="7">
        <f t="shared" si="38"/>
        <v>9.5240004680580057</v>
      </c>
      <c r="L316" s="7">
        <f t="shared" si="39"/>
        <v>35.848448105192325</v>
      </c>
      <c r="M316" s="7">
        <v>0</v>
      </c>
      <c r="N316" s="7">
        <f t="shared" si="40"/>
        <v>0</v>
      </c>
      <c r="O316" s="7">
        <f t="shared" si="41"/>
        <v>0</v>
      </c>
    </row>
    <row r="317" spans="3:15" x14ac:dyDescent="0.2">
      <c r="C317">
        <v>298</v>
      </c>
      <c r="D317" s="7">
        <v>3231.6338337157958</v>
      </c>
      <c r="E317" s="7">
        <f t="shared" si="34"/>
        <v>96.639767754658976</v>
      </c>
      <c r="F317" s="7">
        <f t="shared" si="35"/>
        <v>260.96250518520077</v>
      </c>
      <c r="G317" s="7">
        <v>0</v>
      </c>
      <c r="H317" s="7">
        <f t="shared" si="36"/>
        <v>0</v>
      </c>
      <c r="I317" s="7">
        <f t="shared" si="37"/>
        <v>0</v>
      </c>
      <c r="J317" s="7">
        <v>782.27537750628335</v>
      </c>
      <c r="K317" s="7">
        <f t="shared" si="38"/>
        <v>12.476481299940724</v>
      </c>
      <c r="L317" s="7">
        <f t="shared" si="39"/>
        <v>46.961620163331091</v>
      </c>
      <c r="M317" s="7">
        <v>0</v>
      </c>
      <c r="N317" s="7">
        <f t="shared" si="40"/>
        <v>0</v>
      </c>
      <c r="O317" s="7">
        <f t="shared" si="41"/>
        <v>0</v>
      </c>
    </row>
    <row r="318" spans="3:15" x14ac:dyDescent="0.2">
      <c r="C318">
        <v>299</v>
      </c>
      <c r="D318" s="7">
        <v>3228.9840541613771</v>
      </c>
      <c r="E318" s="7">
        <f t="shared" si="34"/>
        <v>96.560527935447894</v>
      </c>
      <c r="F318" s="7">
        <f t="shared" si="35"/>
        <v>260.74852886662933</v>
      </c>
      <c r="G318" s="7">
        <v>0</v>
      </c>
      <c r="H318" s="7">
        <f t="shared" si="36"/>
        <v>0</v>
      </c>
      <c r="I318" s="7">
        <f t="shared" si="37"/>
        <v>0</v>
      </c>
      <c r="J318" s="7">
        <v>967.37557575261462</v>
      </c>
      <c r="K318" s="7">
        <f t="shared" si="38"/>
        <v>15.428637571812036</v>
      </c>
      <c r="L318" s="7">
        <f t="shared" si="39"/>
        <v>58.073570573826615</v>
      </c>
      <c r="M318" s="7">
        <v>0</v>
      </c>
      <c r="N318" s="7">
        <f t="shared" si="40"/>
        <v>0</v>
      </c>
      <c r="O318" s="7">
        <f t="shared" si="41"/>
        <v>0</v>
      </c>
    </row>
    <row r="319" spans="3:15" x14ac:dyDescent="0.2">
      <c r="C319">
        <v>300</v>
      </c>
      <c r="D319" s="7">
        <v>3226.3545479659442</v>
      </c>
      <c r="E319" s="7">
        <f t="shared" si="34"/>
        <v>96.481894376972022</v>
      </c>
      <c r="F319" s="7">
        <f t="shared" si="35"/>
        <v>260.53618967244182</v>
      </c>
      <c r="G319" s="7">
        <v>0</v>
      </c>
      <c r="H319" s="7">
        <f t="shared" si="36"/>
        <v>0</v>
      </c>
      <c r="I319" s="7">
        <f t="shared" si="37"/>
        <v>0</v>
      </c>
      <c r="J319" s="7">
        <v>1152.4555006399605</v>
      </c>
      <c r="K319" s="7">
        <f t="shared" si="38"/>
        <v>18.380470504624572</v>
      </c>
      <c r="L319" s="7">
        <f t="shared" si="39"/>
        <v>69.184303932358759</v>
      </c>
      <c r="M319" s="7">
        <v>0</v>
      </c>
      <c r="N319" s="7">
        <f t="shared" si="40"/>
        <v>0</v>
      </c>
      <c r="O319" s="7">
        <f t="shared" si="41"/>
        <v>0</v>
      </c>
    </row>
    <row r="320" spans="3:15" x14ac:dyDescent="0.2">
      <c r="C320">
        <v>301</v>
      </c>
      <c r="D320" s="7">
        <v>3223.7452387986136</v>
      </c>
      <c r="E320" s="7">
        <f t="shared" si="34"/>
        <v>96.40386479660927</v>
      </c>
      <c r="F320" s="7">
        <f t="shared" si="35"/>
        <v>260.32548143872884</v>
      </c>
      <c r="G320" s="7">
        <v>0</v>
      </c>
      <c r="H320" s="7">
        <f t="shared" si="36"/>
        <v>0</v>
      </c>
      <c r="I320" s="7">
        <f t="shared" si="37"/>
        <v>0</v>
      </c>
      <c r="J320" s="7">
        <v>1246.2900191532467</v>
      </c>
      <c r="K320" s="7">
        <f t="shared" si="38"/>
        <v>19.877033798297397</v>
      </c>
      <c r="L320" s="7">
        <f t="shared" si="39"/>
        <v>74.817385508666732</v>
      </c>
      <c r="M320" s="7">
        <v>0</v>
      </c>
      <c r="N320" s="7">
        <f t="shared" si="40"/>
        <v>0</v>
      </c>
      <c r="O320" s="7">
        <f t="shared" si="41"/>
        <v>0</v>
      </c>
    </row>
    <row r="321" spans="3:15" x14ac:dyDescent="0.2">
      <c r="C321">
        <v>302</v>
      </c>
      <c r="D321" s="7">
        <v>3221.1560505508219</v>
      </c>
      <c r="E321" s="7">
        <f t="shared" si="34"/>
        <v>96.326436918385824</v>
      </c>
      <c r="F321" s="7">
        <f t="shared" si="35"/>
        <v>260.11639801953379</v>
      </c>
      <c r="G321" s="7">
        <v>0</v>
      </c>
      <c r="H321" s="7">
        <f t="shared" si="36"/>
        <v>0</v>
      </c>
      <c r="I321" s="7">
        <f t="shared" si="37"/>
        <v>0</v>
      </c>
      <c r="J321" s="7">
        <v>1248.8792074010385</v>
      </c>
      <c r="K321" s="7">
        <f t="shared" si="38"/>
        <v>19.91832866668323</v>
      </c>
      <c r="L321" s="7">
        <f t="shared" si="39"/>
        <v>74.972819871706207</v>
      </c>
      <c r="M321" s="7">
        <v>0</v>
      </c>
      <c r="N321" s="7">
        <f t="shared" si="40"/>
        <v>0</v>
      </c>
      <c r="O321" s="7">
        <f t="shared" si="41"/>
        <v>0</v>
      </c>
    </row>
    <row r="322" spans="3:15" x14ac:dyDescent="0.2">
      <c r="C322">
        <v>303</v>
      </c>
      <c r="D322" s="7">
        <v>3218.5869073357712</v>
      </c>
      <c r="E322" s="7">
        <f t="shared" si="34"/>
        <v>96.249608472959679</v>
      </c>
      <c r="F322" s="7">
        <f t="shared" si="35"/>
        <v>259.90893328680806</v>
      </c>
      <c r="G322" s="7">
        <v>0</v>
      </c>
      <c r="H322" s="7">
        <f t="shared" si="36"/>
        <v>0</v>
      </c>
      <c r="I322" s="7">
        <f t="shared" si="37"/>
        <v>0</v>
      </c>
      <c r="J322" s="7">
        <v>1707.5743973458707</v>
      </c>
      <c r="K322" s="7">
        <f t="shared" si="38"/>
        <v>27.234041424974016</v>
      </c>
      <c r="L322" s="7">
        <f t="shared" si="39"/>
        <v>102.5092474524953</v>
      </c>
      <c r="M322" s="7">
        <v>0</v>
      </c>
      <c r="N322" s="7">
        <f t="shared" si="40"/>
        <v>0</v>
      </c>
      <c r="O322" s="7">
        <f t="shared" si="41"/>
        <v>0</v>
      </c>
    </row>
    <row r="323" spans="3:15" x14ac:dyDescent="0.2">
      <c r="C323">
        <v>304</v>
      </c>
      <c r="D323" s="7">
        <v>3218.2808803057992</v>
      </c>
      <c r="E323" s="7">
        <f t="shared" si="34"/>
        <v>96.240456946943766</v>
      </c>
      <c r="F323" s="7">
        <f t="shared" si="35"/>
        <v>259.88422083963576</v>
      </c>
      <c r="G323" s="7">
        <v>2813.3583191126691</v>
      </c>
      <c r="H323" s="7">
        <f t="shared" si="36"/>
        <v>67.305222945279169</v>
      </c>
      <c r="I323" s="7">
        <f t="shared" si="37"/>
        <v>146.26109594040469</v>
      </c>
      <c r="J323" s="7">
        <v>1890.3308430677557</v>
      </c>
      <c r="K323" s="7">
        <f t="shared" si="38"/>
        <v>30.148817273807907</v>
      </c>
      <c r="L323" s="7">
        <f t="shared" si="39"/>
        <v>113.48049751759486</v>
      </c>
      <c r="M323" s="7">
        <v>1151.8159051442194</v>
      </c>
      <c r="N323" s="7">
        <f t="shared" si="40"/>
        <v>91.851348097625163</v>
      </c>
      <c r="O323" s="7">
        <f t="shared" si="41"/>
        <v>34.768948578228716</v>
      </c>
    </row>
    <row r="324" spans="3:15" x14ac:dyDescent="0.2">
      <c r="C324">
        <v>305</v>
      </c>
      <c r="D324" s="7">
        <v>3222.058422606297</v>
      </c>
      <c r="E324" s="7">
        <f t="shared" si="34"/>
        <v>96.35342172865721</v>
      </c>
      <c r="F324" s="7">
        <f t="shared" si="35"/>
        <v>260.18926681727595</v>
      </c>
      <c r="G324" s="7">
        <v>2814.8389553080242</v>
      </c>
      <c r="H324" s="7">
        <f t="shared" si="36"/>
        <v>67.340644863828331</v>
      </c>
      <c r="I324" s="7">
        <f t="shared" si="37"/>
        <v>146.33807137263116</v>
      </c>
      <c r="J324" s="7">
        <v>1631.1227145985799</v>
      </c>
      <c r="K324" s="7">
        <f t="shared" si="38"/>
        <v>26.014716341285169</v>
      </c>
      <c r="L324" s="7">
        <f t="shared" si="39"/>
        <v>97.919693710600967</v>
      </c>
      <c r="M324" s="7">
        <v>1150.335268948864</v>
      </c>
      <c r="N324" s="7">
        <f t="shared" si="40"/>
        <v>91.733275035794591</v>
      </c>
      <c r="O324" s="7">
        <f t="shared" si="41"/>
        <v>34.724253793663358</v>
      </c>
    </row>
    <row r="325" spans="3:15" x14ac:dyDescent="0.2">
      <c r="C325">
        <v>306</v>
      </c>
      <c r="D325" s="7">
        <v>3225.8305764849997</v>
      </c>
      <c r="E325" s="7">
        <f t="shared" si="34"/>
        <v>96.466225373355257</v>
      </c>
      <c r="F325" s="7">
        <f t="shared" si="35"/>
        <v>260.49387766639512</v>
      </c>
      <c r="G325" s="7">
        <v>2816.710358169853</v>
      </c>
      <c r="H325" s="7">
        <f t="shared" si="36"/>
        <v>67.385415267221362</v>
      </c>
      <c r="I325" s="7">
        <f t="shared" si="37"/>
        <v>146.4353620133781</v>
      </c>
      <c r="J325" s="7">
        <v>1371.9199745511992</v>
      </c>
      <c r="K325" s="7">
        <f t="shared" si="38"/>
        <v>21.880701348503976</v>
      </c>
      <c r="L325" s="7">
        <f t="shared" si="39"/>
        <v>82.359213381789928</v>
      </c>
      <c r="M325" s="7">
        <v>1148.4638660870353</v>
      </c>
      <c r="N325" s="7">
        <f t="shared" si="40"/>
        <v>91.584040357817813</v>
      </c>
      <c r="O325" s="7">
        <f t="shared" si="41"/>
        <v>34.667763247230141</v>
      </c>
    </row>
    <row r="326" spans="3:15" x14ac:dyDescent="0.2">
      <c r="C326">
        <v>307</v>
      </c>
      <c r="D326" s="7">
        <v>3229.5981546001176</v>
      </c>
      <c r="E326" s="7">
        <f t="shared" si="34"/>
        <v>96.578892183017871</v>
      </c>
      <c r="F326" s="7">
        <f t="shared" si="35"/>
        <v>260.79811901117381</v>
      </c>
      <c r="G326" s="7">
        <v>2818.8855966440406</v>
      </c>
      <c r="H326" s="7">
        <f t="shared" si="36"/>
        <v>67.437454465168443</v>
      </c>
      <c r="I326" s="7">
        <f t="shared" si="37"/>
        <v>146.54844848409354</v>
      </c>
      <c r="J326" s="7">
        <v>1240.4371033517427</v>
      </c>
      <c r="K326" s="7">
        <f t="shared" si="38"/>
        <v>19.783685858879469</v>
      </c>
      <c r="L326" s="7">
        <f t="shared" si="39"/>
        <v>74.46602278318457</v>
      </c>
      <c r="M326" s="7">
        <v>1146.2886276128479</v>
      </c>
      <c r="N326" s="7">
        <f t="shared" si="40"/>
        <v>91.410576364660926</v>
      </c>
      <c r="O326" s="7">
        <f t="shared" si="41"/>
        <v>34.60210105736401</v>
      </c>
    </row>
    <row r="327" spans="3:15" x14ac:dyDescent="0.2">
      <c r="C327">
        <v>308</v>
      </c>
      <c r="D327" s="7">
        <v>3233.361835537045</v>
      </c>
      <c r="E327" s="7">
        <f t="shared" si="34"/>
        <v>96.691442450270486</v>
      </c>
      <c r="F327" s="7">
        <f t="shared" si="35"/>
        <v>261.10204564907792</v>
      </c>
      <c r="G327" s="7">
        <v>2821.450214843062</v>
      </c>
      <c r="H327" s="7">
        <f t="shared" si="36"/>
        <v>67.498808967537371</v>
      </c>
      <c r="I327" s="7">
        <f t="shared" si="37"/>
        <v>146.68177805889718</v>
      </c>
      <c r="J327" s="7">
        <v>853.52754316179789</v>
      </c>
      <c r="K327" s="7">
        <f t="shared" si="38"/>
        <v>13.61287947626472</v>
      </c>
      <c r="L327" s="7">
        <f t="shared" si="39"/>
        <v>51.239036065127308</v>
      </c>
      <c r="M327" s="7">
        <v>1143.7240094138265</v>
      </c>
      <c r="N327" s="7">
        <f t="shared" si="40"/>
        <v>91.206061356764479</v>
      </c>
      <c r="O327" s="7">
        <f t="shared" si="41"/>
        <v>34.524684972131702</v>
      </c>
    </row>
    <row r="328" spans="3:15" x14ac:dyDescent="0.2">
      <c r="C328">
        <v>309</v>
      </c>
      <c r="D328" s="7">
        <v>3237.1226800229292</v>
      </c>
      <c r="E328" s="7">
        <f t="shared" si="34"/>
        <v>96.803907895422526</v>
      </c>
      <c r="F328" s="7">
        <f t="shared" si="35"/>
        <v>261.40574323647439</v>
      </c>
      <c r="G328" s="7">
        <v>2824.489463453157</v>
      </c>
      <c r="H328" s="7">
        <f t="shared" si="36"/>
        <v>67.571518264429599</v>
      </c>
      <c r="I328" s="7">
        <f t="shared" si="37"/>
        <v>146.8397827572422</v>
      </c>
      <c r="J328" s="7">
        <v>594.33611250723607</v>
      </c>
      <c r="K328" s="7">
        <f t="shared" si="38"/>
        <v>9.4790448565747383</v>
      </c>
      <c r="L328" s="7">
        <f t="shared" si="39"/>
        <v>35.67923466272137</v>
      </c>
      <c r="M328" s="7">
        <v>1140.6847608037315</v>
      </c>
      <c r="N328" s="7">
        <f t="shared" si="40"/>
        <v>90.963697033790396</v>
      </c>
      <c r="O328" s="7">
        <f t="shared" si="41"/>
        <v>34.432941597023841</v>
      </c>
    </row>
    <row r="329" spans="3:15" x14ac:dyDescent="0.2">
      <c r="C329">
        <v>310</v>
      </c>
      <c r="D329" s="7">
        <v>3240.8816126312163</v>
      </c>
      <c r="E329" s="7">
        <f t="shared" si="34"/>
        <v>96.916316167201444</v>
      </c>
      <c r="F329" s="7">
        <f t="shared" si="35"/>
        <v>261.70928643497876</v>
      </c>
      <c r="G329" s="7">
        <v>2827.9162248631055</v>
      </c>
      <c r="H329" s="7">
        <f t="shared" si="36"/>
        <v>67.65349820246665</v>
      </c>
      <c r="I329" s="7">
        <f t="shared" si="37"/>
        <v>147.01793350183115</v>
      </c>
      <c r="J329" s="7">
        <v>335.14659373027143</v>
      </c>
      <c r="K329" s="7">
        <f t="shared" si="38"/>
        <v>5.3452407293504223</v>
      </c>
      <c r="L329" s="7">
        <f t="shared" si="39"/>
        <v>20.119548034309478</v>
      </c>
      <c r="M329" s="7">
        <v>1137.2579993937827</v>
      </c>
      <c r="N329" s="7">
        <f t="shared" si="40"/>
        <v>90.690430573666887</v>
      </c>
      <c r="O329" s="7">
        <f t="shared" si="41"/>
        <v>34.329500681926007</v>
      </c>
    </row>
    <row r="330" spans="3:15" x14ac:dyDescent="0.2">
      <c r="C330">
        <v>311</v>
      </c>
      <c r="D330" s="7">
        <v>2873.5940943976243</v>
      </c>
      <c r="E330" s="7">
        <f t="shared" si="34"/>
        <v>85.932837751125135</v>
      </c>
      <c r="F330" s="7">
        <f t="shared" si="35"/>
        <v>232.0499017975537</v>
      </c>
      <c r="G330" s="7">
        <v>0</v>
      </c>
      <c r="H330" s="7">
        <f t="shared" si="36"/>
        <v>0</v>
      </c>
      <c r="I330" s="7">
        <f t="shared" si="37"/>
        <v>0</v>
      </c>
      <c r="J330" s="7">
        <v>0</v>
      </c>
      <c r="K330" s="7">
        <f t="shared" si="38"/>
        <v>0</v>
      </c>
      <c r="L330" s="7">
        <f t="shared" si="39"/>
        <v>0</v>
      </c>
      <c r="M330" s="7">
        <v>0</v>
      </c>
      <c r="N330" s="7">
        <f t="shared" si="40"/>
        <v>0</v>
      </c>
      <c r="O330" s="7">
        <f t="shared" si="41"/>
        <v>0</v>
      </c>
    </row>
    <row r="331" spans="3:15" x14ac:dyDescent="0.2">
      <c r="C331">
        <v>312</v>
      </c>
      <c r="D331" s="7">
        <v>2713.9499780422011</v>
      </c>
      <c r="E331" s="7">
        <f t="shared" si="34"/>
        <v>81.158791209395972</v>
      </c>
      <c r="F331" s="7">
        <f t="shared" si="35"/>
        <v>219.15824058657853</v>
      </c>
      <c r="G331" s="7">
        <v>0</v>
      </c>
      <c r="H331" s="7">
        <f t="shared" si="36"/>
        <v>0</v>
      </c>
      <c r="I331" s="7">
        <f t="shared" si="37"/>
        <v>0</v>
      </c>
      <c r="J331" s="7">
        <v>0</v>
      </c>
      <c r="K331" s="7">
        <f t="shared" si="38"/>
        <v>0</v>
      </c>
      <c r="L331" s="7">
        <f t="shared" si="39"/>
        <v>0</v>
      </c>
      <c r="M331" s="7">
        <v>0</v>
      </c>
      <c r="N331" s="7">
        <f t="shared" si="40"/>
        <v>0</v>
      </c>
      <c r="O331" s="7">
        <f t="shared" si="41"/>
        <v>0</v>
      </c>
    </row>
    <row r="332" spans="3:15" x14ac:dyDescent="0.2">
      <c r="C332">
        <v>313</v>
      </c>
      <c r="D332" s="7">
        <v>2554.3058616867775</v>
      </c>
      <c r="E332" s="7">
        <f t="shared" si="34"/>
        <v>76.384744667666794</v>
      </c>
      <c r="F332" s="7">
        <f t="shared" si="35"/>
        <v>206.2665793756033</v>
      </c>
      <c r="G332" s="7">
        <v>0</v>
      </c>
      <c r="H332" s="7">
        <f t="shared" si="36"/>
        <v>0</v>
      </c>
      <c r="I332" s="7">
        <f t="shared" si="37"/>
        <v>0</v>
      </c>
      <c r="J332" s="7">
        <v>0</v>
      </c>
      <c r="K332" s="7">
        <f t="shared" si="38"/>
        <v>0</v>
      </c>
      <c r="L332" s="7">
        <f t="shared" si="39"/>
        <v>0</v>
      </c>
      <c r="M332" s="7">
        <v>0</v>
      </c>
      <c r="N332" s="7">
        <f t="shared" si="40"/>
        <v>0</v>
      </c>
      <c r="O332" s="7">
        <f t="shared" si="41"/>
        <v>0</v>
      </c>
    </row>
    <row r="333" spans="3:15" x14ac:dyDescent="0.2">
      <c r="C333">
        <v>314</v>
      </c>
      <c r="D333" s="7">
        <v>2554.3058616867775</v>
      </c>
      <c r="E333" s="7">
        <f t="shared" si="34"/>
        <v>76.384744667666794</v>
      </c>
      <c r="F333" s="7">
        <f t="shared" si="35"/>
        <v>206.2665793756033</v>
      </c>
      <c r="G333" s="7">
        <v>0</v>
      </c>
      <c r="H333" s="7">
        <f t="shared" si="36"/>
        <v>0</v>
      </c>
      <c r="I333" s="7">
        <f t="shared" si="37"/>
        <v>0</v>
      </c>
      <c r="J333" s="7">
        <v>0</v>
      </c>
      <c r="K333" s="7">
        <f t="shared" si="38"/>
        <v>0</v>
      </c>
      <c r="L333" s="7">
        <f t="shared" si="39"/>
        <v>0</v>
      </c>
      <c r="M333" s="7">
        <v>0</v>
      </c>
      <c r="N333" s="7">
        <f t="shared" si="40"/>
        <v>0</v>
      </c>
      <c r="O333" s="7">
        <f t="shared" si="41"/>
        <v>0</v>
      </c>
    </row>
    <row r="334" spans="3:15" x14ac:dyDescent="0.2">
      <c r="C334">
        <v>315</v>
      </c>
      <c r="D334" s="7">
        <v>2713.9499780422016</v>
      </c>
      <c r="E334" s="7">
        <f t="shared" si="34"/>
        <v>81.158791209395986</v>
      </c>
      <c r="F334" s="7">
        <f t="shared" si="35"/>
        <v>219.15824058657856</v>
      </c>
      <c r="G334" s="7">
        <v>0</v>
      </c>
      <c r="H334" s="7">
        <f t="shared" si="36"/>
        <v>0</v>
      </c>
      <c r="I334" s="7">
        <f t="shared" si="37"/>
        <v>0</v>
      </c>
      <c r="J334" s="7">
        <v>0</v>
      </c>
      <c r="K334" s="7">
        <f t="shared" si="38"/>
        <v>0</v>
      </c>
      <c r="L334" s="7">
        <f t="shared" si="39"/>
        <v>0</v>
      </c>
      <c r="M334" s="7">
        <v>0</v>
      </c>
      <c r="N334" s="7">
        <f t="shared" si="40"/>
        <v>0</v>
      </c>
      <c r="O334" s="7">
        <f t="shared" si="41"/>
        <v>0</v>
      </c>
    </row>
    <row r="335" spans="3:15" x14ac:dyDescent="0.2">
      <c r="C335">
        <v>316</v>
      </c>
      <c r="D335" s="7">
        <v>2873.5940943976243</v>
      </c>
      <c r="E335" s="7">
        <f t="shared" si="34"/>
        <v>85.932837751125135</v>
      </c>
      <c r="F335" s="7">
        <f t="shared" si="35"/>
        <v>232.0499017975537</v>
      </c>
      <c r="G335" s="7">
        <v>0</v>
      </c>
      <c r="H335" s="7">
        <f t="shared" si="36"/>
        <v>0</v>
      </c>
      <c r="I335" s="7">
        <f t="shared" si="37"/>
        <v>0</v>
      </c>
      <c r="J335" s="7">
        <v>0</v>
      </c>
      <c r="K335" s="7">
        <f t="shared" si="38"/>
        <v>0</v>
      </c>
      <c r="L335" s="7">
        <f t="shared" si="39"/>
        <v>0</v>
      </c>
      <c r="M335" s="7">
        <v>0</v>
      </c>
      <c r="N335" s="7">
        <f t="shared" si="40"/>
        <v>0</v>
      </c>
      <c r="O335" s="7">
        <f t="shared" si="41"/>
        <v>0</v>
      </c>
    </row>
    <row r="336" spans="3:15" x14ac:dyDescent="0.2">
      <c r="C336">
        <v>317</v>
      </c>
      <c r="D336" s="7">
        <v>3033.238210753048</v>
      </c>
      <c r="E336" s="7">
        <f t="shared" si="34"/>
        <v>90.706884292854312</v>
      </c>
      <c r="F336" s="7">
        <f t="shared" si="35"/>
        <v>244.9415630085289</v>
      </c>
      <c r="G336" s="7">
        <v>0</v>
      </c>
      <c r="H336" s="7">
        <f t="shared" si="36"/>
        <v>0</v>
      </c>
      <c r="I336" s="7">
        <f t="shared" si="37"/>
        <v>0</v>
      </c>
      <c r="J336" s="7">
        <v>0</v>
      </c>
      <c r="K336" s="7">
        <f t="shared" si="38"/>
        <v>0</v>
      </c>
      <c r="L336" s="7">
        <f t="shared" si="39"/>
        <v>0</v>
      </c>
      <c r="M336" s="7">
        <v>0</v>
      </c>
      <c r="N336" s="7">
        <f t="shared" si="40"/>
        <v>0</v>
      </c>
      <c r="O336" s="7">
        <f t="shared" si="41"/>
        <v>0</v>
      </c>
    </row>
    <row r="337" spans="3:15" x14ac:dyDescent="0.2">
      <c r="C337">
        <v>318</v>
      </c>
      <c r="D337" s="7">
        <v>3192.8823271084716</v>
      </c>
      <c r="E337" s="7">
        <f t="shared" si="34"/>
        <v>95.480930834583489</v>
      </c>
      <c r="F337" s="7">
        <f t="shared" si="35"/>
        <v>257.83322421950413</v>
      </c>
      <c r="G337" s="7">
        <v>0</v>
      </c>
      <c r="H337" s="7">
        <f t="shared" si="36"/>
        <v>0</v>
      </c>
      <c r="I337" s="7">
        <f t="shared" si="37"/>
        <v>0</v>
      </c>
      <c r="J337" s="7">
        <v>0</v>
      </c>
      <c r="K337" s="7">
        <f t="shared" si="38"/>
        <v>0</v>
      </c>
      <c r="L337" s="7">
        <f t="shared" si="39"/>
        <v>0</v>
      </c>
      <c r="M337" s="7">
        <v>0</v>
      </c>
      <c r="N337" s="7">
        <f t="shared" si="40"/>
        <v>0</v>
      </c>
      <c r="O337" s="7">
        <f t="shared" si="41"/>
        <v>0</v>
      </c>
    </row>
    <row r="338" spans="3:15" x14ac:dyDescent="0.2">
      <c r="C338">
        <v>319</v>
      </c>
      <c r="D338" s="7">
        <v>3229.9261412507763</v>
      </c>
      <c r="E338" s="7">
        <f t="shared" si="34"/>
        <v>96.588700396255277</v>
      </c>
      <c r="F338" s="7">
        <f t="shared" si="35"/>
        <v>260.82460475257506</v>
      </c>
      <c r="G338" s="7">
        <v>2854.841999169249</v>
      </c>
      <c r="H338" s="7">
        <f t="shared" si="36"/>
        <v>68.297655482517925</v>
      </c>
      <c r="I338" s="7">
        <f t="shared" si="37"/>
        <v>148.41775279690856</v>
      </c>
      <c r="J338" s="7">
        <v>122.60030221311899</v>
      </c>
      <c r="K338" s="7">
        <f t="shared" si="38"/>
        <v>1.9553477226972729</v>
      </c>
      <c r="L338" s="7">
        <f t="shared" si="39"/>
        <v>7.3599514825530203</v>
      </c>
      <c r="M338" s="7">
        <v>1110.3322250876397</v>
      </c>
      <c r="N338" s="7">
        <f t="shared" si="40"/>
        <v>88.543239640162668</v>
      </c>
      <c r="O338" s="7">
        <f t="shared" si="41"/>
        <v>33.516713796367192</v>
      </c>
    </row>
    <row r="339" spans="3:15" x14ac:dyDescent="0.2">
      <c r="C339">
        <v>320</v>
      </c>
      <c r="D339" s="7">
        <v>3233.8679333950695</v>
      </c>
      <c r="E339" s="7">
        <f t="shared" si="34"/>
        <v>96.706576955594187</v>
      </c>
      <c r="F339" s="7">
        <f t="shared" si="35"/>
        <v>261.14291431542279</v>
      </c>
      <c r="G339" s="7">
        <v>2858.9887534267637</v>
      </c>
      <c r="H339" s="7">
        <f t="shared" si="36"/>
        <v>68.396860129826891</v>
      </c>
      <c r="I339" s="7">
        <f t="shared" si="37"/>
        <v>148.63333458689218</v>
      </c>
      <c r="J339" s="7">
        <v>278.30262642424941</v>
      </c>
      <c r="K339" s="7">
        <f t="shared" si="38"/>
        <v>4.4386383799720805</v>
      </c>
      <c r="L339" s="7">
        <f t="shared" si="39"/>
        <v>16.707086287511398</v>
      </c>
      <c r="M339" s="7">
        <v>1106.1854708301246</v>
      </c>
      <c r="N339" s="7">
        <f t="shared" si="40"/>
        <v>88.212557482466082</v>
      </c>
      <c r="O339" s="7">
        <f t="shared" si="41"/>
        <v>33.391539031109851</v>
      </c>
    </row>
    <row r="340" spans="3:15" x14ac:dyDescent="0.2">
      <c r="C340">
        <v>321</v>
      </c>
      <c r="D340" s="7">
        <v>3233.6993308451406</v>
      </c>
      <c r="E340" s="7">
        <f t="shared" si="34"/>
        <v>96.701535013311627</v>
      </c>
      <c r="F340" s="7">
        <f t="shared" si="35"/>
        <v>261.12929923832127</v>
      </c>
      <c r="G340" s="7">
        <v>0</v>
      </c>
      <c r="H340" s="7">
        <f t="shared" si="36"/>
        <v>0</v>
      </c>
      <c r="I340" s="7">
        <f t="shared" si="37"/>
        <v>0</v>
      </c>
      <c r="J340" s="7">
        <v>438.11534532960241</v>
      </c>
      <c r="K340" s="7">
        <f t="shared" si="38"/>
        <v>6.9874855714450153</v>
      </c>
      <c r="L340" s="7">
        <f t="shared" si="39"/>
        <v>26.300976646718198</v>
      </c>
      <c r="M340" s="7">
        <v>0</v>
      </c>
      <c r="N340" s="7">
        <f t="shared" si="40"/>
        <v>0</v>
      </c>
      <c r="O340" s="7">
        <f t="shared" si="41"/>
        <v>0</v>
      </c>
    </row>
    <row r="341" spans="3:15" x14ac:dyDescent="0.2">
      <c r="C341">
        <v>322</v>
      </c>
      <c r="D341" s="7">
        <v>3231.2266655761555</v>
      </c>
      <c r="E341" s="7">
        <f t="shared" ref="E341:E404" si="42">D341/($C$3*($D$8-$D$6))</f>
        <v>96.627591673928094</v>
      </c>
      <c r="F341" s="7">
        <f t="shared" ref="F341:F404" si="43">E341*$C$3*((($D$8)-($D$6))-$C$2*LN(($D$8)/($D$6)))</f>
        <v>260.9296253407569</v>
      </c>
      <c r="G341" s="7">
        <v>0</v>
      </c>
      <c r="H341" s="7">
        <f t="shared" ref="H341:H404" si="44">G341/($C$3*($D$6-$D$9))</f>
        <v>0</v>
      </c>
      <c r="I341" s="7">
        <f t="shared" ref="I341:I404" si="45">ABS(H341*$C$3*(($D$9-$D$6)-$C$2*(LN($D$9/$D$6))))</f>
        <v>0</v>
      </c>
      <c r="J341" s="7">
        <v>600.23212695401116</v>
      </c>
      <c r="K341" s="7">
        <f t="shared" ref="K341:K404" si="46">J341/($C$3*($D$10-$D$7))</f>
        <v>9.5730801747051224</v>
      </c>
      <c r="L341" s="7">
        <f t="shared" ref="L341:L404" si="47">K341*$C$3*(($D$10-$D$7)-$C$2*LN($D$10/$D$7))</f>
        <v>36.033184689641068</v>
      </c>
      <c r="M341" s="7">
        <v>0</v>
      </c>
      <c r="N341" s="7">
        <f t="shared" ref="N341:N404" si="48">M341/($C$3*($D$7-$D$11))</f>
        <v>0</v>
      </c>
      <c r="O341" s="7">
        <f t="shared" ref="O341:O404" si="49">ABS(N341*$C$3*(($D$11-$D$7)-$C$2*LN($D$11/$D$7)))</f>
        <v>0</v>
      </c>
    </row>
    <row r="342" spans="3:15" x14ac:dyDescent="0.2">
      <c r="C342">
        <v>323</v>
      </c>
      <c r="D342" s="7">
        <v>3228.773447446149</v>
      </c>
      <c r="E342" s="7">
        <f t="shared" si="42"/>
        <v>96.554229887743702</v>
      </c>
      <c r="F342" s="7">
        <f t="shared" si="43"/>
        <v>260.73152184824704</v>
      </c>
      <c r="G342" s="7">
        <v>0</v>
      </c>
      <c r="H342" s="7">
        <f t="shared" si="44"/>
        <v>0</v>
      </c>
      <c r="I342" s="7">
        <f t="shared" si="45"/>
        <v>0</v>
      </c>
      <c r="J342" s="7">
        <v>762.32946143944082</v>
      </c>
      <c r="K342" s="7">
        <f t="shared" si="46"/>
        <v>12.158364616259025</v>
      </c>
      <c r="L342" s="7">
        <f t="shared" si="47"/>
        <v>45.764225280308303</v>
      </c>
      <c r="M342" s="7">
        <v>0</v>
      </c>
      <c r="N342" s="7">
        <f t="shared" si="48"/>
        <v>0</v>
      </c>
      <c r="O342" s="7">
        <f t="shared" si="49"/>
        <v>0</v>
      </c>
    </row>
    <row r="343" spans="3:15" x14ac:dyDescent="0.2">
      <c r="C343">
        <v>324</v>
      </c>
      <c r="D343" s="7">
        <v>3226.339602798118</v>
      </c>
      <c r="E343" s="7">
        <f t="shared" si="42"/>
        <v>96.48144745209683</v>
      </c>
      <c r="F343" s="7">
        <f t="shared" si="43"/>
        <v>260.53498281280451</v>
      </c>
      <c r="G343" s="7">
        <v>0</v>
      </c>
      <c r="H343" s="7">
        <f t="shared" si="44"/>
        <v>0</v>
      </c>
      <c r="I343" s="7">
        <f t="shared" si="45"/>
        <v>0</v>
      </c>
      <c r="J343" s="7">
        <v>924.40742244289595</v>
      </c>
      <c r="K343" s="7">
        <f t="shared" si="46"/>
        <v>14.743340070859585</v>
      </c>
      <c r="L343" s="7">
        <f t="shared" si="47"/>
        <v>55.494102840503288</v>
      </c>
      <c r="M343" s="7">
        <v>0</v>
      </c>
      <c r="N343" s="7">
        <f t="shared" si="48"/>
        <v>0</v>
      </c>
      <c r="O343" s="7">
        <f t="shared" si="49"/>
        <v>0</v>
      </c>
    </row>
    <row r="344" spans="3:15" x14ac:dyDescent="0.2">
      <c r="C344">
        <v>325</v>
      </c>
      <c r="D344" s="7">
        <v>3223.9250581903275</v>
      </c>
      <c r="E344" s="7">
        <f t="shared" si="42"/>
        <v>96.409242170763392</v>
      </c>
      <c r="F344" s="7">
        <f t="shared" si="43"/>
        <v>260.34000230382594</v>
      </c>
      <c r="G344" s="7">
        <v>0</v>
      </c>
      <c r="H344" s="7">
        <f t="shared" si="44"/>
        <v>0</v>
      </c>
      <c r="I344" s="7">
        <f t="shared" si="45"/>
        <v>0</v>
      </c>
      <c r="J344" s="7">
        <v>1086.4660834061101</v>
      </c>
      <c r="K344" s="7">
        <f t="shared" si="46"/>
        <v>17.32800770982632</v>
      </c>
      <c r="L344" s="7">
        <f t="shared" si="47"/>
        <v>65.22282177908626</v>
      </c>
      <c r="M344" s="7">
        <v>0</v>
      </c>
      <c r="N344" s="7">
        <f t="shared" si="48"/>
        <v>0</v>
      </c>
      <c r="O344" s="7">
        <f t="shared" si="49"/>
        <v>0</v>
      </c>
    </row>
    <row r="345" spans="3:15" x14ac:dyDescent="0.2">
      <c r="C345">
        <v>326</v>
      </c>
      <c r="D345" s="7">
        <v>3221.5297403957647</v>
      </c>
      <c r="E345" s="7">
        <f t="shared" si="42"/>
        <v>96.337611853940345</v>
      </c>
      <c r="F345" s="7">
        <f t="shared" si="43"/>
        <v>260.14657440804694</v>
      </c>
      <c r="G345" s="7">
        <v>0</v>
      </c>
      <c r="H345" s="7">
        <f t="shared" si="44"/>
        <v>0</v>
      </c>
      <c r="I345" s="7">
        <f t="shared" si="45"/>
        <v>0</v>
      </c>
      <c r="J345" s="7">
        <v>1248.5055175560974</v>
      </c>
      <c r="K345" s="7">
        <f t="shared" si="46"/>
        <v>19.912368701054188</v>
      </c>
      <c r="L345" s="7">
        <f t="shared" si="47"/>
        <v>74.950386492027363</v>
      </c>
      <c r="M345" s="7">
        <v>0</v>
      </c>
      <c r="N345" s="7">
        <f t="shared" si="48"/>
        <v>0</v>
      </c>
      <c r="O345" s="7">
        <f t="shared" si="49"/>
        <v>0</v>
      </c>
    </row>
    <row r="346" spans="3:15" x14ac:dyDescent="0.2">
      <c r="C346">
        <v>327</v>
      </c>
      <c r="D346" s="7">
        <v>3219.1535764016403</v>
      </c>
      <c r="E346" s="7">
        <f t="shared" si="42"/>
        <v>96.266554318230874</v>
      </c>
      <c r="F346" s="7">
        <f t="shared" si="43"/>
        <v>259.95469322950248</v>
      </c>
      <c r="G346" s="7">
        <v>0</v>
      </c>
      <c r="H346" s="7">
        <f t="shared" si="44"/>
        <v>0</v>
      </c>
      <c r="I346" s="7">
        <f t="shared" si="45"/>
        <v>0</v>
      </c>
      <c r="J346" s="7">
        <v>1091.2375651947973</v>
      </c>
      <c r="K346" s="7">
        <f t="shared" si="46"/>
        <v>17.404107897843659</v>
      </c>
      <c r="L346" s="7">
        <f t="shared" si="47"/>
        <v>65.509263768467136</v>
      </c>
      <c r="M346" s="7">
        <v>0</v>
      </c>
      <c r="N346" s="7">
        <f t="shared" si="48"/>
        <v>0</v>
      </c>
      <c r="O346" s="7">
        <f t="shared" si="49"/>
        <v>0</v>
      </c>
    </row>
    <row r="347" spans="3:15" x14ac:dyDescent="0.2">
      <c r="C347">
        <v>328</v>
      </c>
      <c r="D347" s="7">
        <v>3219.1350375980187</v>
      </c>
      <c r="E347" s="7">
        <f t="shared" si="42"/>
        <v>96.265999928170416</v>
      </c>
      <c r="F347" s="7">
        <f t="shared" si="43"/>
        <v>259.95319617479726</v>
      </c>
      <c r="G347" s="7">
        <v>2874.1153840130146</v>
      </c>
      <c r="H347" s="7">
        <f t="shared" si="44"/>
        <v>68.758741244330494</v>
      </c>
      <c r="I347" s="7">
        <f t="shared" si="45"/>
        <v>149.41973906029341</v>
      </c>
      <c r="J347" s="7">
        <v>1250.9002203538416</v>
      </c>
      <c r="K347" s="7">
        <f t="shared" si="46"/>
        <v>19.950561728131447</v>
      </c>
      <c r="L347" s="7">
        <f t="shared" si="47"/>
        <v>75.094145488443971</v>
      </c>
      <c r="M347" s="7">
        <v>1091.0588402438741</v>
      </c>
      <c r="N347" s="7">
        <f t="shared" si="48"/>
        <v>87.006287100787418</v>
      </c>
      <c r="O347" s="7">
        <f t="shared" si="49"/>
        <v>32.93492349153771</v>
      </c>
    </row>
    <row r="348" spans="3:15" x14ac:dyDescent="0.2">
      <c r="C348">
        <v>329</v>
      </c>
      <c r="D348" s="7">
        <v>3223.2405416824299</v>
      </c>
      <c r="E348" s="7">
        <f t="shared" si="42"/>
        <v>96.388772179498503</v>
      </c>
      <c r="F348" s="7">
        <f t="shared" si="43"/>
        <v>260.28472588578688</v>
      </c>
      <c r="G348" s="7">
        <v>2876.1000892973916</v>
      </c>
      <c r="H348" s="7">
        <f t="shared" si="44"/>
        <v>68.806222231995022</v>
      </c>
      <c r="I348" s="7">
        <f t="shared" si="45"/>
        <v>149.52292007639065</v>
      </c>
      <c r="J348" s="7">
        <v>1885.371181691125</v>
      </c>
      <c r="K348" s="7">
        <f t="shared" si="46"/>
        <v>30.069715816445377</v>
      </c>
      <c r="L348" s="7">
        <f t="shared" si="47"/>
        <v>113.18275871562649</v>
      </c>
      <c r="M348" s="7">
        <v>1089.0741349594971</v>
      </c>
      <c r="N348" s="7">
        <f t="shared" si="48"/>
        <v>86.848017141905672</v>
      </c>
      <c r="O348" s="7">
        <f t="shared" si="49"/>
        <v>32.875012775192111</v>
      </c>
    </row>
    <row r="349" spans="3:15" x14ac:dyDescent="0.2">
      <c r="C349">
        <v>330</v>
      </c>
      <c r="D349" s="7">
        <v>3227.3392498948974</v>
      </c>
      <c r="E349" s="7">
        <f t="shared" si="42"/>
        <v>96.511341204990956</v>
      </c>
      <c r="F349" s="7">
        <f t="shared" si="43"/>
        <v>260.61570681313992</v>
      </c>
      <c r="G349" s="7">
        <v>2877.7401444711131</v>
      </c>
      <c r="H349" s="7">
        <f t="shared" si="44"/>
        <v>68.845458001701274</v>
      </c>
      <c r="I349" s="7">
        <f t="shared" si="45"/>
        <v>149.60818339513736</v>
      </c>
      <c r="J349" s="7">
        <v>1721.6283571232329</v>
      </c>
      <c r="K349" s="7">
        <f t="shared" si="46"/>
        <v>27.458187513927161</v>
      </c>
      <c r="L349" s="7">
        <f t="shared" si="47"/>
        <v>103.35293592823275</v>
      </c>
      <c r="M349" s="7">
        <v>1087.4340797857751</v>
      </c>
      <c r="N349" s="7">
        <f t="shared" si="48"/>
        <v>86.717231242884779</v>
      </c>
      <c r="O349" s="7">
        <f t="shared" si="49"/>
        <v>32.82550573700491</v>
      </c>
    </row>
    <row r="350" spans="3:15" x14ac:dyDescent="0.2">
      <c r="C350">
        <v>331</v>
      </c>
      <c r="D350" s="7">
        <v>3231.4309584665011</v>
      </c>
      <c r="E350" s="7">
        <f t="shared" si="42"/>
        <v>96.633700911079586</v>
      </c>
      <c r="F350" s="7">
        <f t="shared" si="43"/>
        <v>260.94612250200703</v>
      </c>
      <c r="G350" s="7">
        <v>2879.2510483604997</v>
      </c>
      <c r="H350" s="7">
        <f t="shared" si="44"/>
        <v>68.88160402776316</v>
      </c>
      <c r="I350" s="7">
        <f t="shared" si="45"/>
        <v>149.68673238664726</v>
      </c>
      <c r="J350" s="7">
        <v>2036.8248812624756</v>
      </c>
      <c r="K350" s="7">
        <f t="shared" si="46"/>
        <v>32.485245315191001</v>
      </c>
      <c r="L350" s="7">
        <f t="shared" si="47"/>
        <v>122.27483973481198</v>
      </c>
      <c r="M350" s="7">
        <v>1085.9231758963888</v>
      </c>
      <c r="N350" s="7">
        <f t="shared" si="48"/>
        <v>86.596744489345198</v>
      </c>
      <c r="O350" s="7">
        <f t="shared" si="49"/>
        <v>32.779897285687213</v>
      </c>
    </row>
    <row r="351" spans="3:15" x14ac:dyDescent="0.2">
      <c r="C351">
        <v>332</v>
      </c>
      <c r="D351" s="7">
        <v>3235.5152388675783</v>
      </c>
      <c r="E351" s="7">
        <f t="shared" si="42"/>
        <v>96.75583848288214</v>
      </c>
      <c r="F351" s="7">
        <f t="shared" si="43"/>
        <v>261.27593834754748</v>
      </c>
      <c r="G351" s="7">
        <v>2880.7622557270106</v>
      </c>
      <c r="H351" s="7">
        <f t="shared" si="44"/>
        <v>68.917757314043314</v>
      </c>
      <c r="I351" s="7">
        <f t="shared" si="45"/>
        <v>149.76529715535003</v>
      </c>
      <c r="J351" s="7">
        <v>1681.5235448794679</v>
      </c>
      <c r="K351" s="7">
        <f t="shared" si="46"/>
        <v>26.818557334600765</v>
      </c>
      <c r="L351" s="7">
        <f t="shared" si="47"/>
        <v>100.94536052260358</v>
      </c>
      <c r="M351" s="7">
        <v>1084.4119685298781</v>
      </c>
      <c r="N351" s="7">
        <f t="shared" si="48"/>
        <v>86.476233535078009</v>
      </c>
      <c r="O351" s="7">
        <f t="shared" si="49"/>
        <v>32.734279673547476</v>
      </c>
    </row>
    <row r="352" spans="3:15" x14ac:dyDescent="0.2">
      <c r="C352">
        <v>333</v>
      </c>
      <c r="D352" s="7">
        <v>3239.5927771905685</v>
      </c>
      <c r="E352" s="7">
        <f t="shared" si="42"/>
        <v>96.877774437517004</v>
      </c>
      <c r="F352" s="7">
        <f t="shared" si="43"/>
        <v>261.60520975343957</v>
      </c>
      <c r="G352" s="7">
        <v>2882.7257506692945</v>
      </c>
      <c r="H352" s="7">
        <f t="shared" si="44"/>
        <v>68.96473087725586</v>
      </c>
      <c r="I352" s="7">
        <f t="shared" si="45"/>
        <v>149.86737548649643</v>
      </c>
      <c r="J352" s="7">
        <v>1326.2289505745462</v>
      </c>
      <c r="K352" s="7">
        <f t="shared" si="46"/>
        <v>21.151976883166608</v>
      </c>
      <c r="L352" s="7">
        <f t="shared" si="47"/>
        <v>79.616286051384478</v>
      </c>
      <c r="M352" s="7">
        <v>1082.448473587594</v>
      </c>
      <c r="N352" s="7">
        <f t="shared" si="48"/>
        <v>86.319654991036202</v>
      </c>
      <c r="O352" s="7">
        <f t="shared" si="49"/>
        <v>32.675009216891176</v>
      </c>
    </row>
    <row r="353" spans="3:15" x14ac:dyDescent="0.2">
      <c r="C353">
        <v>334</v>
      </c>
      <c r="D353" s="7">
        <v>3243.6645929166243</v>
      </c>
      <c r="E353" s="7">
        <f t="shared" si="42"/>
        <v>96.999539261860775</v>
      </c>
      <c r="F353" s="7">
        <f t="shared" si="43"/>
        <v>261.93401904533329</v>
      </c>
      <c r="G353" s="7">
        <v>2885.1406630655219</v>
      </c>
      <c r="H353" s="7">
        <f t="shared" si="44"/>
        <v>69.022503901089053</v>
      </c>
      <c r="I353" s="7">
        <f t="shared" si="45"/>
        <v>149.99292214412364</v>
      </c>
      <c r="J353" s="7">
        <v>970.940078866558</v>
      </c>
      <c r="K353" s="7">
        <f t="shared" si="46"/>
        <v>15.485487701221022</v>
      </c>
      <c r="L353" s="7">
        <f t="shared" si="47"/>
        <v>58.28755511957781</v>
      </c>
      <c r="M353" s="7">
        <v>1080.0335611913663</v>
      </c>
      <c r="N353" s="7">
        <f t="shared" si="48"/>
        <v>86.127078244925542</v>
      </c>
      <c r="O353" s="7">
        <f t="shared" si="49"/>
        <v>32.602112181392386</v>
      </c>
    </row>
    <row r="354" spans="3:15" x14ac:dyDescent="0.2">
      <c r="C354">
        <v>335</v>
      </c>
      <c r="D354" s="7">
        <v>3243.6057787116233</v>
      </c>
      <c r="E354" s="7">
        <f t="shared" si="42"/>
        <v>96.997780463864345</v>
      </c>
      <c r="F354" s="7">
        <f t="shared" si="43"/>
        <v>261.92926965135268</v>
      </c>
      <c r="G354" s="7">
        <v>0</v>
      </c>
      <c r="H354" s="7">
        <f t="shared" si="44"/>
        <v>0</v>
      </c>
      <c r="I354" s="7">
        <f t="shared" si="45"/>
        <v>0</v>
      </c>
      <c r="J354" s="7">
        <v>619.78183708962752</v>
      </c>
      <c r="K354" s="7">
        <f t="shared" si="46"/>
        <v>9.8848777845235656</v>
      </c>
      <c r="L354" s="7">
        <f t="shared" si="47"/>
        <v>37.206794505430857</v>
      </c>
      <c r="M354" s="7">
        <v>0</v>
      </c>
      <c r="N354" s="7">
        <f t="shared" si="48"/>
        <v>0</v>
      </c>
      <c r="O354" s="7">
        <f t="shared" si="49"/>
        <v>0</v>
      </c>
    </row>
    <row r="355" spans="3:15" x14ac:dyDescent="0.2">
      <c r="C355">
        <v>336</v>
      </c>
      <c r="D355" s="7">
        <v>3241.201381307008</v>
      </c>
      <c r="E355" s="7">
        <f t="shared" si="42"/>
        <v>96.925878627601918</v>
      </c>
      <c r="F355" s="7">
        <f t="shared" si="43"/>
        <v>261.73510855437968</v>
      </c>
      <c r="G355" s="7">
        <v>0</v>
      </c>
      <c r="H355" s="7">
        <f t="shared" si="44"/>
        <v>0</v>
      </c>
      <c r="I355" s="7">
        <f t="shared" si="45"/>
        <v>0</v>
      </c>
      <c r="J355" s="7">
        <v>270.96917851231092</v>
      </c>
      <c r="K355" s="7">
        <f t="shared" si="46"/>
        <v>4.3216774882346245</v>
      </c>
      <c r="L355" s="7">
        <f t="shared" si="47"/>
        <v>16.266844135922955</v>
      </c>
      <c r="M355" s="7">
        <v>0</v>
      </c>
      <c r="N355" s="7">
        <f t="shared" si="48"/>
        <v>0</v>
      </c>
      <c r="O355" s="7">
        <f t="shared" si="49"/>
        <v>0</v>
      </c>
    </row>
    <row r="356" spans="3:15" x14ac:dyDescent="0.2">
      <c r="C356">
        <v>337</v>
      </c>
      <c r="D356" s="7">
        <v>2713.9499780422011</v>
      </c>
      <c r="E356" s="7">
        <f t="shared" si="42"/>
        <v>81.158791209395972</v>
      </c>
      <c r="F356" s="7">
        <f t="shared" si="43"/>
        <v>219.15824058657853</v>
      </c>
      <c r="G356" s="7">
        <v>0</v>
      </c>
      <c r="H356" s="7">
        <f t="shared" si="44"/>
        <v>0</v>
      </c>
      <c r="I356" s="7">
        <f t="shared" si="45"/>
        <v>0</v>
      </c>
      <c r="J356" s="7">
        <v>0</v>
      </c>
      <c r="K356" s="7">
        <f t="shared" si="46"/>
        <v>0</v>
      </c>
      <c r="L356" s="7">
        <f t="shared" si="47"/>
        <v>0</v>
      </c>
      <c r="M356" s="7">
        <v>0</v>
      </c>
      <c r="N356" s="7">
        <f t="shared" si="48"/>
        <v>0</v>
      </c>
      <c r="O356" s="7">
        <f t="shared" si="49"/>
        <v>0</v>
      </c>
    </row>
    <row r="357" spans="3:15" x14ac:dyDescent="0.2">
      <c r="C357">
        <v>338</v>
      </c>
      <c r="D357" s="7">
        <v>2554.3058616867775</v>
      </c>
      <c r="E357" s="7">
        <f t="shared" si="42"/>
        <v>76.384744667666794</v>
      </c>
      <c r="F357" s="7">
        <f t="shared" si="43"/>
        <v>206.2665793756033</v>
      </c>
      <c r="G357" s="7">
        <v>0</v>
      </c>
      <c r="H357" s="7">
        <f t="shared" si="44"/>
        <v>0</v>
      </c>
      <c r="I357" s="7">
        <f t="shared" si="45"/>
        <v>0</v>
      </c>
      <c r="J357" s="7">
        <v>0</v>
      </c>
      <c r="K357" s="7">
        <f t="shared" si="46"/>
        <v>0</v>
      </c>
      <c r="L357" s="7">
        <f t="shared" si="47"/>
        <v>0</v>
      </c>
      <c r="M357" s="7">
        <v>0</v>
      </c>
      <c r="N357" s="7">
        <f t="shared" si="48"/>
        <v>0</v>
      </c>
      <c r="O357" s="7">
        <f t="shared" si="49"/>
        <v>0</v>
      </c>
    </row>
    <row r="358" spans="3:15" x14ac:dyDescent="0.2">
      <c r="C358">
        <v>339</v>
      </c>
      <c r="D358" s="7">
        <v>2713.9499780422011</v>
      </c>
      <c r="E358" s="7">
        <f t="shared" si="42"/>
        <v>81.158791209395972</v>
      </c>
      <c r="F358" s="7">
        <f t="shared" si="43"/>
        <v>219.15824058657853</v>
      </c>
      <c r="G358" s="7">
        <v>0</v>
      </c>
      <c r="H358" s="7">
        <f t="shared" si="44"/>
        <v>0</v>
      </c>
      <c r="I358" s="7">
        <f t="shared" si="45"/>
        <v>0</v>
      </c>
      <c r="J358" s="7">
        <v>0</v>
      </c>
      <c r="K358" s="7">
        <f t="shared" si="46"/>
        <v>0</v>
      </c>
      <c r="L358" s="7">
        <f t="shared" si="47"/>
        <v>0</v>
      </c>
      <c r="M358" s="7">
        <v>0</v>
      </c>
      <c r="N358" s="7">
        <f t="shared" si="48"/>
        <v>0</v>
      </c>
      <c r="O358" s="7">
        <f t="shared" si="49"/>
        <v>0</v>
      </c>
    </row>
    <row r="359" spans="3:15" x14ac:dyDescent="0.2">
      <c r="C359">
        <v>340</v>
      </c>
      <c r="D359" s="7">
        <v>2873.5940943976243</v>
      </c>
      <c r="E359" s="7">
        <f t="shared" si="42"/>
        <v>85.932837751125135</v>
      </c>
      <c r="F359" s="7">
        <f t="shared" si="43"/>
        <v>232.0499017975537</v>
      </c>
      <c r="G359" s="7">
        <v>0</v>
      </c>
      <c r="H359" s="7">
        <f t="shared" si="44"/>
        <v>0</v>
      </c>
      <c r="I359" s="7">
        <f t="shared" si="45"/>
        <v>0</v>
      </c>
      <c r="J359" s="7">
        <v>0</v>
      </c>
      <c r="K359" s="7">
        <f t="shared" si="46"/>
        <v>0</v>
      </c>
      <c r="L359" s="7">
        <f t="shared" si="47"/>
        <v>0</v>
      </c>
      <c r="M359" s="7">
        <v>0</v>
      </c>
      <c r="N359" s="7">
        <f t="shared" si="48"/>
        <v>0</v>
      </c>
      <c r="O359" s="7">
        <f t="shared" si="49"/>
        <v>0</v>
      </c>
    </row>
    <row r="360" spans="3:15" x14ac:dyDescent="0.2">
      <c r="C360">
        <v>341</v>
      </c>
      <c r="D360" s="7">
        <v>3233.883520875117</v>
      </c>
      <c r="E360" s="7">
        <f t="shared" si="42"/>
        <v>96.707043088370725</v>
      </c>
      <c r="F360" s="7">
        <f t="shared" si="43"/>
        <v>261.14417304337655</v>
      </c>
      <c r="G360" s="7">
        <v>0</v>
      </c>
      <c r="H360" s="7">
        <f t="shared" si="44"/>
        <v>0</v>
      </c>
      <c r="I360" s="7">
        <f t="shared" si="45"/>
        <v>0</v>
      </c>
      <c r="J360" s="7">
        <v>38.820864411065941</v>
      </c>
      <c r="K360" s="7">
        <f t="shared" si="46"/>
        <v>0.61915254244124307</v>
      </c>
      <c r="L360" s="7">
        <f t="shared" si="47"/>
        <v>2.3304973431430969</v>
      </c>
      <c r="M360" s="7">
        <v>0</v>
      </c>
      <c r="N360" s="7">
        <f t="shared" si="48"/>
        <v>0</v>
      </c>
      <c r="O360" s="7">
        <f t="shared" si="49"/>
        <v>0</v>
      </c>
    </row>
    <row r="361" spans="3:15" x14ac:dyDescent="0.2">
      <c r="C361">
        <v>342</v>
      </c>
      <c r="D361" s="7">
        <v>3231.5721193332306</v>
      </c>
      <c r="E361" s="7">
        <f t="shared" si="42"/>
        <v>96.637922228864554</v>
      </c>
      <c r="F361" s="7">
        <f t="shared" si="43"/>
        <v>260.95752159463672</v>
      </c>
      <c r="G361" s="7">
        <v>0</v>
      </c>
      <c r="H361" s="7">
        <f t="shared" si="44"/>
        <v>0</v>
      </c>
      <c r="I361" s="7">
        <f t="shared" si="45"/>
        <v>0</v>
      </c>
      <c r="J361" s="7">
        <v>280.59844048608784</v>
      </c>
      <c r="K361" s="7">
        <f t="shared" si="46"/>
        <v>4.4752542342278767</v>
      </c>
      <c r="L361" s="7">
        <f t="shared" si="47"/>
        <v>16.844908787155173</v>
      </c>
      <c r="M361" s="7">
        <v>0</v>
      </c>
      <c r="N361" s="7">
        <f t="shared" si="48"/>
        <v>0</v>
      </c>
      <c r="O361" s="7">
        <f t="shared" si="49"/>
        <v>0</v>
      </c>
    </row>
    <row r="362" spans="3:15" x14ac:dyDescent="0.2">
      <c r="C362">
        <v>343</v>
      </c>
      <c r="D362" s="7">
        <v>3231.6719015877661</v>
      </c>
      <c r="E362" s="7">
        <f t="shared" si="42"/>
        <v>96.640906147959527</v>
      </c>
      <c r="F362" s="7">
        <f t="shared" si="43"/>
        <v>260.96557926096176</v>
      </c>
      <c r="G362" s="7">
        <v>2906.5216132113374</v>
      </c>
      <c r="H362" s="7">
        <f t="shared" si="44"/>
        <v>69.534009885438692</v>
      </c>
      <c r="I362" s="7">
        <f t="shared" si="45"/>
        <v>151.10447667997119</v>
      </c>
      <c r="J362" s="7">
        <v>519.96483276468734</v>
      </c>
      <c r="K362" s="7">
        <f t="shared" si="46"/>
        <v>8.2929000440938978</v>
      </c>
      <c r="L362" s="7">
        <f t="shared" si="47"/>
        <v>31.214571846074865</v>
      </c>
      <c r="M362" s="7">
        <v>1058.6526110455511</v>
      </c>
      <c r="N362" s="7">
        <f t="shared" si="48"/>
        <v>84.4220582970934</v>
      </c>
      <c r="O362" s="7">
        <f t="shared" si="49"/>
        <v>31.956702482799596</v>
      </c>
    </row>
    <row r="363" spans="3:15" x14ac:dyDescent="0.2">
      <c r="C363">
        <v>344</v>
      </c>
      <c r="D363" s="7">
        <v>3235.9147417884169</v>
      </c>
      <c r="E363" s="7">
        <f t="shared" si="42"/>
        <v>96.76778534056271</v>
      </c>
      <c r="F363" s="7">
        <f t="shared" si="43"/>
        <v>261.30819920642415</v>
      </c>
      <c r="G363" s="7">
        <v>2909.3290335926631</v>
      </c>
      <c r="H363" s="7">
        <f t="shared" si="44"/>
        <v>69.601173052456062</v>
      </c>
      <c r="I363" s="7">
        <f t="shared" si="45"/>
        <v>151.25042907392992</v>
      </c>
      <c r="J363" s="7">
        <v>755.18816709717112</v>
      </c>
      <c r="K363" s="7">
        <f t="shared" si="46"/>
        <v>12.044468374755521</v>
      </c>
      <c r="L363" s="7">
        <f t="shared" si="47"/>
        <v>45.335518507706958</v>
      </c>
      <c r="M363" s="7">
        <v>1055.8451906642254</v>
      </c>
      <c r="N363" s="7">
        <f t="shared" si="48"/>
        <v>84.198181073702187</v>
      </c>
      <c r="O363" s="7">
        <f t="shared" si="49"/>
        <v>31.871957121635681</v>
      </c>
    </row>
    <row r="364" spans="3:15" x14ac:dyDescent="0.2">
      <c r="C364">
        <v>345</v>
      </c>
      <c r="D364" s="7">
        <v>3236.0122500161106</v>
      </c>
      <c r="E364" s="7">
        <f t="shared" si="42"/>
        <v>96.770701256462644</v>
      </c>
      <c r="F364" s="7">
        <f t="shared" si="43"/>
        <v>261.31607323940079</v>
      </c>
      <c r="G364" s="7">
        <v>0</v>
      </c>
      <c r="H364" s="7">
        <f t="shared" si="44"/>
        <v>0</v>
      </c>
      <c r="I364" s="7">
        <f t="shared" si="45"/>
        <v>0</v>
      </c>
      <c r="J364" s="7">
        <v>994.55683340261294</v>
      </c>
      <c r="K364" s="7">
        <f t="shared" si="46"/>
        <v>15.862150452992234</v>
      </c>
      <c r="L364" s="7">
        <f t="shared" si="47"/>
        <v>59.705318081194136</v>
      </c>
      <c r="M364" s="7">
        <v>0</v>
      </c>
      <c r="N364" s="7">
        <f t="shared" si="48"/>
        <v>0</v>
      </c>
      <c r="O364" s="7">
        <f t="shared" si="49"/>
        <v>0</v>
      </c>
    </row>
    <row r="365" spans="3:15" x14ac:dyDescent="0.2">
      <c r="C365">
        <v>346</v>
      </c>
      <c r="D365" s="7">
        <v>3233.7234648377453</v>
      </c>
      <c r="E365" s="7">
        <f t="shared" si="42"/>
        <v>96.702256723616784</v>
      </c>
      <c r="F365" s="7">
        <f t="shared" si="43"/>
        <v>261.13124811851446</v>
      </c>
      <c r="G365" s="7">
        <v>0</v>
      </c>
      <c r="H365" s="7">
        <f t="shared" si="44"/>
        <v>0</v>
      </c>
      <c r="I365" s="7">
        <f t="shared" si="45"/>
        <v>0</v>
      </c>
      <c r="J365" s="7">
        <v>1236.3117931141142</v>
      </c>
      <c r="K365" s="7">
        <f t="shared" si="46"/>
        <v>19.717891437226701</v>
      </c>
      <c r="L365" s="7">
        <f t="shared" si="47"/>
        <v>74.218371817800758</v>
      </c>
      <c r="M365" s="7">
        <v>0</v>
      </c>
      <c r="N365" s="7">
        <f t="shared" si="48"/>
        <v>0</v>
      </c>
      <c r="O365" s="7">
        <f t="shared" si="49"/>
        <v>0</v>
      </c>
    </row>
    <row r="366" spans="3:15" x14ac:dyDescent="0.2">
      <c r="C366">
        <v>347</v>
      </c>
      <c r="D366" s="7">
        <v>3231.4532679514323</v>
      </c>
      <c r="E366" s="7">
        <f t="shared" si="42"/>
        <v>96.634368060748585</v>
      </c>
      <c r="F366" s="7">
        <f t="shared" si="43"/>
        <v>260.94792404864768</v>
      </c>
      <c r="G366" s="7">
        <v>0</v>
      </c>
      <c r="H366" s="7">
        <f t="shared" si="44"/>
        <v>0</v>
      </c>
      <c r="I366" s="7">
        <f t="shared" si="45"/>
        <v>0</v>
      </c>
      <c r="J366" s="7">
        <v>1478.0481645335622</v>
      </c>
      <c r="K366" s="7">
        <f t="shared" si="46"/>
        <v>23.573335957473081</v>
      </c>
      <c r="L366" s="7">
        <f t="shared" si="47"/>
        <v>88.730309660521442</v>
      </c>
      <c r="M366" s="7">
        <v>0</v>
      </c>
      <c r="N366" s="7">
        <f t="shared" si="48"/>
        <v>0</v>
      </c>
      <c r="O366" s="7">
        <f t="shared" si="49"/>
        <v>0</v>
      </c>
    </row>
    <row r="367" spans="3:15" x14ac:dyDescent="0.2">
      <c r="C367">
        <v>348</v>
      </c>
      <c r="D367" s="7">
        <v>3229.2015884810885</v>
      </c>
      <c r="E367" s="7">
        <f t="shared" si="42"/>
        <v>96.567033148357922</v>
      </c>
      <c r="F367" s="7">
        <f t="shared" si="43"/>
        <v>260.76609530637978</v>
      </c>
      <c r="G367" s="7">
        <v>0</v>
      </c>
      <c r="H367" s="7">
        <f t="shared" si="44"/>
        <v>0</v>
      </c>
      <c r="I367" s="7">
        <f t="shared" si="45"/>
        <v>0</v>
      </c>
      <c r="J367" s="7">
        <v>1719.766018537041</v>
      </c>
      <c r="K367" s="7">
        <f t="shared" si="46"/>
        <v>27.428485144131436</v>
      </c>
      <c r="L367" s="7">
        <f t="shared" si="47"/>
        <v>103.24113586419512</v>
      </c>
      <c r="M367" s="7">
        <v>0</v>
      </c>
      <c r="N367" s="7">
        <f t="shared" si="48"/>
        <v>0</v>
      </c>
      <c r="O367" s="7">
        <f t="shared" si="49"/>
        <v>0</v>
      </c>
    </row>
    <row r="368" spans="3:15" x14ac:dyDescent="0.2">
      <c r="C368">
        <v>349</v>
      </c>
      <c r="D368" s="7">
        <v>3226.9683557585499</v>
      </c>
      <c r="E368" s="7">
        <f t="shared" si="42"/>
        <v>96.500249873162389</v>
      </c>
      <c r="F368" s="7">
        <f t="shared" si="43"/>
        <v>260.5857561850799</v>
      </c>
      <c r="G368" s="7">
        <v>0</v>
      </c>
      <c r="H368" s="7">
        <f t="shared" si="44"/>
        <v>0</v>
      </c>
      <c r="I368" s="7">
        <f t="shared" si="45"/>
        <v>0</v>
      </c>
      <c r="J368" s="7">
        <v>1961.4654257927164</v>
      </c>
      <c r="K368" s="7">
        <f t="shared" si="46"/>
        <v>31.283340124285751</v>
      </c>
      <c r="L368" s="7">
        <f t="shared" si="47"/>
        <v>117.75085467117896</v>
      </c>
      <c r="M368" s="7">
        <v>0</v>
      </c>
      <c r="N368" s="7">
        <f t="shared" si="48"/>
        <v>0</v>
      </c>
      <c r="O368" s="7">
        <f t="shared" si="49"/>
        <v>0</v>
      </c>
    </row>
    <row r="369" spans="3:15" x14ac:dyDescent="0.2">
      <c r="C369">
        <v>350</v>
      </c>
      <c r="D369" s="7">
        <v>3224.753499323057</v>
      </c>
      <c r="E369" s="7">
        <f t="shared" si="42"/>
        <v>96.434016128081851</v>
      </c>
      <c r="F369" s="7">
        <f t="shared" si="43"/>
        <v>260.40690099486574</v>
      </c>
      <c r="G369" s="7">
        <v>0</v>
      </c>
      <c r="H369" s="7">
        <f t="shared" si="44"/>
        <v>0</v>
      </c>
      <c r="I369" s="7">
        <f t="shared" si="45"/>
        <v>0</v>
      </c>
      <c r="J369" s="7">
        <v>2203.1464567613452</v>
      </c>
      <c r="K369" s="7">
        <f t="shared" si="46"/>
        <v>35.137902021712044</v>
      </c>
      <c r="L369" s="7">
        <f t="shared" si="47"/>
        <v>132.25947031137892</v>
      </c>
      <c r="M369" s="7">
        <v>0</v>
      </c>
      <c r="N369" s="7">
        <f t="shared" si="48"/>
        <v>0</v>
      </c>
      <c r="O369" s="7">
        <f t="shared" si="49"/>
        <v>0</v>
      </c>
    </row>
    <row r="370" spans="3:15" x14ac:dyDescent="0.2">
      <c r="C370">
        <v>351</v>
      </c>
      <c r="D370" s="7">
        <v>3222.5569489207601</v>
      </c>
      <c r="E370" s="7">
        <f t="shared" si="42"/>
        <v>96.368329812223692</v>
      </c>
      <c r="F370" s="7">
        <f t="shared" si="43"/>
        <v>260.22952406256337</v>
      </c>
      <c r="G370" s="7">
        <v>0</v>
      </c>
      <c r="H370" s="7">
        <f t="shared" si="44"/>
        <v>0</v>
      </c>
      <c r="I370" s="7">
        <f t="shared" si="45"/>
        <v>0</v>
      </c>
      <c r="J370" s="7">
        <v>2045.6988908082167</v>
      </c>
      <c r="K370" s="7">
        <f t="shared" si="46"/>
        <v>32.626776567914142</v>
      </c>
      <c r="L370" s="7">
        <f t="shared" si="47"/>
        <v>122.80756500981846</v>
      </c>
      <c r="M370" s="7">
        <v>0</v>
      </c>
      <c r="N370" s="7">
        <f t="shared" si="48"/>
        <v>0</v>
      </c>
      <c r="O370" s="7">
        <f t="shared" si="49"/>
        <v>0</v>
      </c>
    </row>
    <row r="371" spans="3:15" x14ac:dyDescent="0.2">
      <c r="C371">
        <v>352</v>
      </c>
      <c r="D371" s="7">
        <v>3222.7802165107341</v>
      </c>
      <c r="E371" s="7">
        <f t="shared" si="42"/>
        <v>96.375006474603296</v>
      </c>
      <c r="F371" s="7">
        <f t="shared" si="43"/>
        <v>260.24755347821019</v>
      </c>
      <c r="G371" s="7">
        <v>2910.9819777465077</v>
      </c>
      <c r="H371" s="7">
        <f t="shared" si="44"/>
        <v>69.640717170969083</v>
      </c>
      <c r="I371" s="7">
        <f t="shared" si="45"/>
        <v>151.33636246599985</v>
      </c>
      <c r="J371" s="7">
        <v>2258.3344450254754</v>
      </c>
      <c r="K371" s="7">
        <f t="shared" si="46"/>
        <v>36.018093222096901</v>
      </c>
      <c r="L371" s="7">
        <f t="shared" si="47"/>
        <v>135.57252018737051</v>
      </c>
      <c r="M371" s="7">
        <v>1054.1922465103808</v>
      </c>
      <c r="N371" s="7">
        <f t="shared" si="48"/>
        <v>84.066367345325432</v>
      </c>
      <c r="O371" s="7">
        <f t="shared" si="49"/>
        <v>31.822061014079754</v>
      </c>
    </row>
    <row r="372" spans="3:15" x14ac:dyDescent="0.2">
      <c r="C372">
        <v>353</v>
      </c>
      <c r="D372" s="7">
        <v>3227.1437648806832</v>
      </c>
      <c r="E372" s="7">
        <f t="shared" si="42"/>
        <v>96.505495361264451</v>
      </c>
      <c r="F372" s="7">
        <f t="shared" si="43"/>
        <v>260.59992090989084</v>
      </c>
      <c r="G372" s="7">
        <v>2910.8488406018787</v>
      </c>
      <c r="H372" s="7">
        <f t="shared" si="44"/>
        <v>69.637532071815286</v>
      </c>
      <c r="I372" s="7">
        <f t="shared" si="45"/>
        <v>151.32944092154125</v>
      </c>
      <c r="J372" s="7">
        <v>2998.9767729808364</v>
      </c>
      <c r="K372" s="7">
        <f t="shared" si="46"/>
        <v>47.830570541959119</v>
      </c>
      <c r="L372" s="7">
        <f t="shared" si="47"/>
        <v>180.03482167665084</v>
      </c>
      <c r="M372" s="7">
        <v>1054.32538365501</v>
      </c>
      <c r="N372" s="7">
        <f t="shared" si="48"/>
        <v>84.076984342504787</v>
      </c>
      <c r="O372" s="7">
        <f t="shared" si="49"/>
        <v>31.826079918936671</v>
      </c>
    </row>
    <row r="373" spans="3:15" x14ac:dyDescent="0.2">
      <c r="C373">
        <v>354</v>
      </c>
      <c r="D373" s="7">
        <v>3231.4944482482865</v>
      </c>
      <c r="E373" s="7">
        <f t="shared" si="42"/>
        <v>96.63559952895595</v>
      </c>
      <c r="F373" s="7">
        <f t="shared" si="43"/>
        <v>260.95124946049339</v>
      </c>
      <c r="G373" s="7">
        <v>2910.299640539205</v>
      </c>
      <c r="H373" s="7">
        <f t="shared" si="44"/>
        <v>69.624393314335052</v>
      </c>
      <c r="I373" s="7">
        <f t="shared" si="45"/>
        <v>151.30088906502456</v>
      </c>
      <c r="J373" s="7">
        <v>2834.9819732578094</v>
      </c>
      <c r="K373" s="7">
        <f t="shared" si="46"/>
        <v>45.215023496934762</v>
      </c>
      <c r="L373" s="7">
        <f t="shared" si="47"/>
        <v>170.18987229590354</v>
      </c>
      <c r="M373" s="7">
        <v>1054.8745837176832</v>
      </c>
      <c r="N373" s="7">
        <f t="shared" si="48"/>
        <v>84.120780200772188</v>
      </c>
      <c r="O373" s="7">
        <f t="shared" si="49"/>
        <v>31.842658183443142</v>
      </c>
    </row>
    <row r="374" spans="3:15" x14ac:dyDescent="0.2">
      <c r="C374">
        <v>355</v>
      </c>
      <c r="D374" s="7">
        <v>3235.8320366174894</v>
      </c>
      <c r="E374" s="7">
        <f t="shared" si="42"/>
        <v>96.765312099805314</v>
      </c>
      <c r="F374" s="7">
        <f t="shared" si="43"/>
        <v>261.30152055726171</v>
      </c>
      <c r="G374" s="7">
        <v>2909.6219434250952</v>
      </c>
      <c r="H374" s="7">
        <f t="shared" si="44"/>
        <v>69.608180464715204</v>
      </c>
      <c r="I374" s="7">
        <f t="shared" si="45"/>
        <v>151.2656568935831</v>
      </c>
      <c r="J374" s="7">
        <v>3149.9326175994538</v>
      </c>
      <c r="K374" s="7">
        <f t="shared" si="46"/>
        <v>50.23815977032622</v>
      </c>
      <c r="L374" s="7">
        <f t="shared" si="47"/>
        <v>189.09701542613695</v>
      </c>
      <c r="M374" s="7">
        <v>1055.5522808317933</v>
      </c>
      <c r="N374" s="7">
        <f t="shared" si="48"/>
        <v>84.17482303283839</v>
      </c>
      <c r="O374" s="7">
        <f t="shared" si="49"/>
        <v>31.863115286012118</v>
      </c>
    </row>
    <row r="375" spans="3:15" x14ac:dyDescent="0.2">
      <c r="C375">
        <v>356</v>
      </c>
      <c r="D375" s="7">
        <v>3240.1561133952532</v>
      </c>
      <c r="E375" s="7">
        <f t="shared" si="42"/>
        <v>96.894620615886765</v>
      </c>
      <c r="F375" s="7">
        <f t="shared" si="43"/>
        <v>261.65070055926731</v>
      </c>
      <c r="G375" s="7">
        <v>2908.9238543235579</v>
      </c>
      <c r="H375" s="7">
        <f t="shared" si="44"/>
        <v>69.591479768506176</v>
      </c>
      <c r="I375" s="7">
        <f t="shared" si="45"/>
        <v>151.22936458187817</v>
      </c>
      <c r="J375" s="7">
        <v>2826.3203081108427</v>
      </c>
      <c r="K375" s="7">
        <f t="shared" si="46"/>
        <v>45.076878917238325</v>
      </c>
      <c r="L375" s="7">
        <f t="shared" si="47"/>
        <v>169.66989449740694</v>
      </c>
      <c r="M375" s="7">
        <v>1056.2503699333308</v>
      </c>
      <c r="N375" s="7">
        <f t="shared" si="48"/>
        <v>84.230492020201822</v>
      </c>
      <c r="O375" s="7">
        <f t="shared" si="49"/>
        <v>31.884187945250432</v>
      </c>
    </row>
    <row r="376" spans="3:15" x14ac:dyDescent="0.2">
      <c r="C376">
        <v>357</v>
      </c>
      <c r="D376" s="7">
        <v>3244.466909109663</v>
      </c>
      <c r="E376" s="7">
        <f t="shared" si="42"/>
        <v>97.023531970982745</v>
      </c>
      <c r="F376" s="7">
        <f t="shared" si="43"/>
        <v>261.998808082229</v>
      </c>
      <c r="G376" s="7">
        <v>2908.0975284767692</v>
      </c>
      <c r="H376" s="7">
        <f t="shared" si="44"/>
        <v>69.571711207578218</v>
      </c>
      <c r="I376" s="7">
        <f t="shared" si="45"/>
        <v>151.18640548806698</v>
      </c>
      <c r="J376" s="7">
        <v>3300.9418614627029</v>
      </c>
      <c r="K376" s="7">
        <f t="shared" si="46"/>
        <v>52.646600661287131</v>
      </c>
      <c r="L376" s="7">
        <f t="shared" si="47"/>
        <v>198.16241484349339</v>
      </c>
      <c r="M376" s="7">
        <v>1057.0766957801193</v>
      </c>
      <c r="N376" s="7">
        <f t="shared" si="48"/>
        <v>84.296387223295</v>
      </c>
      <c r="O376" s="7">
        <f t="shared" si="49"/>
        <v>31.909131584895913</v>
      </c>
    </row>
    <row r="377" spans="3:15" x14ac:dyDescent="0.2">
      <c r="C377">
        <v>358</v>
      </c>
      <c r="D377" s="7">
        <v>3248.7640090330442</v>
      </c>
      <c r="E377" s="7">
        <f t="shared" si="42"/>
        <v>97.152033762949898</v>
      </c>
      <c r="F377" s="7">
        <f t="shared" si="43"/>
        <v>262.34580963585097</v>
      </c>
      <c r="G377" s="7">
        <v>2907.4666017354421</v>
      </c>
      <c r="H377" s="7">
        <f t="shared" si="44"/>
        <v>69.556617266398135</v>
      </c>
      <c r="I377" s="7">
        <f t="shared" si="45"/>
        <v>151.15360481848367</v>
      </c>
      <c r="J377" s="7">
        <v>2498.4241797622044</v>
      </c>
      <c r="K377" s="7">
        <f t="shared" si="46"/>
        <v>39.847275594293535</v>
      </c>
      <c r="L377" s="7">
        <f t="shared" si="47"/>
        <v>149.98560700056325</v>
      </c>
      <c r="M377" s="7">
        <v>1057.7076225214464</v>
      </c>
      <c r="N377" s="7">
        <f t="shared" si="48"/>
        <v>84.346700360561925</v>
      </c>
      <c r="O377" s="7">
        <f t="shared" si="49"/>
        <v>31.92817686750389</v>
      </c>
    </row>
    <row r="378" spans="3:15" x14ac:dyDescent="0.2">
      <c r="C378">
        <v>359</v>
      </c>
      <c r="D378" s="7">
        <v>3248.9113639930802</v>
      </c>
      <c r="E378" s="7">
        <f t="shared" si="42"/>
        <v>97.156440310797862</v>
      </c>
      <c r="F378" s="7">
        <f t="shared" si="43"/>
        <v>262.357708916989</v>
      </c>
      <c r="G378" s="7">
        <v>0</v>
      </c>
      <c r="H378" s="7">
        <f t="shared" si="44"/>
        <v>0</v>
      </c>
      <c r="I378" s="7">
        <f t="shared" si="45"/>
        <v>0</v>
      </c>
      <c r="J378" s="7">
        <v>1700.0562430250493</v>
      </c>
      <c r="K378" s="7">
        <f t="shared" si="46"/>
        <v>27.114134657496802</v>
      </c>
      <c r="L378" s="7">
        <f t="shared" si="47"/>
        <v>102.05791699049199</v>
      </c>
      <c r="M378" s="7">
        <v>0</v>
      </c>
      <c r="N378" s="7">
        <f t="shared" si="48"/>
        <v>0</v>
      </c>
      <c r="O378" s="7">
        <f t="shared" si="49"/>
        <v>0</v>
      </c>
    </row>
    <row r="379" spans="3:15" x14ac:dyDescent="0.2">
      <c r="C379">
        <v>360</v>
      </c>
      <c r="D379" s="7">
        <v>3246.6767860786294</v>
      </c>
      <c r="E379" s="7">
        <f t="shared" si="42"/>
        <v>97.089616808571463</v>
      </c>
      <c r="F379" s="7">
        <f t="shared" si="43"/>
        <v>262.17726116808171</v>
      </c>
      <c r="G379" s="7">
        <v>0</v>
      </c>
      <c r="H379" s="7">
        <f t="shared" si="44"/>
        <v>0</v>
      </c>
      <c r="I379" s="7">
        <f t="shared" si="45"/>
        <v>0</v>
      </c>
      <c r="J379" s="7">
        <v>904.07023916238268</v>
      </c>
      <c r="K379" s="7">
        <f t="shared" si="46"/>
        <v>14.418983080739757</v>
      </c>
      <c r="L379" s="7">
        <f t="shared" si="47"/>
        <v>54.273219371748269</v>
      </c>
      <c r="M379" s="7">
        <v>0</v>
      </c>
      <c r="N379" s="7">
        <f t="shared" si="48"/>
        <v>0</v>
      </c>
      <c r="O379" s="7">
        <f t="shared" si="49"/>
        <v>0</v>
      </c>
    </row>
    <row r="380" spans="3:15" x14ac:dyDescent="0.2">
      <c r="C380">
        <v>361</v>
      </c>
      <c r="D380" s="7">
        <v>2713.9499780422011</v>
      </c>
      <c r="E380" s="7">
        <f t="shared" si="42"/>
        <v>81.158791209395972</v>
      </c>
      <c r="F380" s="7">
        <f t="shared" si="43"/>
        <v>219.15824058657853</v>
      </c>
      <c r="G380" s="7">
        <v>0</v>
      </c>
      <c r="H380" s="7">
        <f t="shared" si="44"/>
        <v>0</v>
      </c>
      <c r="I380" s="7">
        <f t="shared" si="45"/>
        <v>0</v>
      </c>
      <c r="J380" s="7">
        <v>0</v>
      </c>
      <c r="K380" s="7">
        <f t="shared" si="46"/>
        <v>0</v>
      </c>
      <c r="L380" s="7">
        <f t="shared" si="47"/>
        <v>0</v>
      </c>
      <c r="M380" s="7">
        <v>0</v>
      </c>
      <c r="N380" s="7">
        <f t="shared" si="48"/>
        <v>0</v>
      </c>
      <c r="O380" s="7">
        <f t="shared" si="49"/>
        <v>0</v>
      </c>
    </row>
    <row r="381" spans="3:15" x14ac:dyDescent="0.2">
      <c r="C381">
        <v>362</v>
      </c>
      <c r="D381" s="7">
        <v>2554.3058616867775</v>
      </c>
      <c r="E381" s="7">
        <f t="shared" si="42"/>
        <v>76.384744667666794</v>
      </c>
      <c r="F381" s="7">
        <f t="shared" si="43"/>
        <v>206.2665793756033</v>
      </c>
      <c r="G381" s="7">
        <v>0</v>
      </c>
      <c r="H381" s="7">
        <f t="shared" si="44"/>
        <v>0</v>
      </c>
      <c r="I381" s="7">
        <f t="shared" si="45"/>
        <v>0</v>
      </c>
      <c r="J381" s="7">
        <v>0</v>
      </c>
      <c r="K381" s="7">
        <f t="shared" si="46"/>
        <v>0</v>
      </c>
      <c r="L381" s="7">
        <f t="shared" si="47"/>
        <v>0</v>
      </c>
      <c r="M381" s="7">
        <v>0</v>
      </c>
      <c r="N381" s="7">
        <f t="shared" si="48"/>
        <v>0</v>
      </c>
      <c r="O381" s="7">
        <f t="shared" si="49"/>
        <v>0</v>
      </c>
    </row>
    <row r="382" spans="3:15" x14ac:dyDescent="0.2">
      <c r="C382">
        <v>363</v>
      </c>
      <c r="D382" s="7">
        <v>2745.8788013132853</v>
      </c>
      <c r="E382" s="7">
        <f t="shared" si="42"/>
        <v>82.113600517741787</v>
      </c>
      <c r="F382" s="7">
        <f t="shared" si="43"/>
        <v>221.73657282877352</v>
      </c>
      <c r="G382" s="7">
        <v>0</v>
      </c>
      <c r="H382" s="7">
        <f t="shared" si="44"/>
        <v>0</v>
      </c>
      <c r="I382" s="7">
        <f t="shared" si="45"/>
        <v>0</v>
      </c>
      <c r="J382" s="7">
        <v>0</v>
      </c>
      <c r="K382" s="7">
        <f t="shared" si="46"/>
        <v>0</v>
      </c>
      <c r="L382" s="7">
        <f t="shared" si="47"/>
        <v>0</v>
      </c>
      <c r="M382" s="7">
        <v>0</v>
      </c>
      <c r="N382" s="7">
        <f t="shared" si="48"/>
        <v>0</v>
      </c>
      <c r="O382" s="7">
        <f t="shared" si="49"/>
        <v>0</v>
      </c>
    </row>
    <row r="383" spans="3:15" x14ac:dyDescent="0.2">
      <c r="C383">
        <v>364</v>
      </c>
      <c r="D383" s="7">
        <v>2873.5940943976243</v>
      </c>
      <c r="E383" s="7">
        <f t="shared" si="42"/>
        <v>85.932837751125135</v>
      </c>
      <c r="F383" s="7">
        <f t="shared" si="43"/>
        <v>232.0499017975537</v>
      </c>
      <c r="G383" s="7">
        <v>0</v>
      </c>
      <c r="H383" s="7">
        <f t="shared" si="44"/>
        <v>0</v>
      </c>
      <c r="I383" s="7">
        <f t="shared" si="45"/>
        <v>0</v>
      </c>
      <c r="J383" s="7">
        <v>0</v>
      </c>
      <c r="K383" s="7">
        <f t="shared" si="46"/>
        <v>0</v>
      </c>
      <c r="L383" s="7">
        <f t="shared" si="47"/>
        <v>0</v>
      </c>
      <c r="M383" s="7">
        <v>0</v>
      </c>
      <c r="N383" s="7">
        <f t="shared" si="48"/>
        <v>0</v>
      </c>
      <c r="O383" s="7">
        <f t="shared" si="49"/>
        <v>0</v>
      </c>
    </row>
    <row r="384" spans="3:15" x14ac:dyDescent="0.2">
      <c r="C384">
        <v>365</v>
      </c>
      <c r="D384" s="7">
        <v>3170.0760247719822</v>
      </c>
      <c r="E384" s="7">
        <f t="shared" si="42"/>
        <v>94.798924185765031</v>
      </c>
      <c r="F384" s="7">
        <f t="shared" si="43"/>
        <v>255.99155833222193</v>
      </c>
      <c r="G384" s="7">
        <v>0</v>
      </c>
      <c r="H384" s="7">
        <f t="shared" si="44"/>
        <v>0</v>
      </c>
      <c r="I384" s="7">
        <f t="shared" si="45"/>
        <v>0</v>
      </c>
      <c r="J384" s="7">
        <v>0</v>
      </c>
      <c r="K384" s="7">
        <f t="shared" si="46"/>
        <v>0</v>
      </c>
      <c r="L384" s="7">
        <f t="shared" si="47"/>
        <v>0</v>
      </c>
      <c r="M384" s="7">
        <v>0</v>
      </c>
      <c r="N384" s="7">
        <f t="shared" si="48"/>
        <v>0</v>
      </c>
      <c r="O384" s="7">
        <f t="shared" si="49"/>
        <v>0</v>
      </c>
    </row>
    <row r="385" spans="3:15" x14ac:dyDescent="0.2">
      <c r="C385">
        <v>366</v>
      </c>
      <c r="D385" s="7">
        <v>3238.0019139356632</v>
      </c>
      <c r="E385" s="7">
        <f t="shared" si="42"/>
        <v>96.830200775588025</v>
      </c>
      <c r="F385" s="7">
        <f t="shared" si="43"/>
        <v>261.47674357138766</v>
      </c>
      <c r="G385" s="7">
        <v>0</v>
      </c>
      <c r="H385" s="7">
        <f t="shared" si="44"/>
        <v>0</v>
      </c>
      <c r="I385" s="7">
        <f t="shared" si="45"/>
        <v>0</v>
      </c>
      <c r="J385" s="7">
        <v>137.33083186472095</v>
      </c>
      <c r="K385" s="7">
        <f t="shared" si="46"/>
        <v>2.1902843997563153</v>
      </c>
      <c r="L385" s="7">
        <f t="shared" si="47"/>
        <v>8.2442558569389597</v>
      </c>
      <c r="M385" s="7">
        <v>0</v>
      </c>
      <c r="N385" s="7">
        <f t="shared" si="48"/>
        <v>0</v>
      </c>
      <c r="O385" s="7">
        <f t="shared" si="49"/>
        <v>0</v>
      </c>
    </row>
    <row r="386" spans="3:15" x14ac:dyDescent="0.2">
      <c r="C386">
        <v>367</v>
      </c>
      <c r="D386" s="7">
        <v>3238.2890258087491</v>
      </c>
      <c r="E386" s="7">
        <f t="shared" si="42"/>
        <v>96.83878665696021</v>
      </c>
      <c r="F386" s="7">
        <f t="shared" si="43"/>
        <v>261.49992857238846</v>
      </c>
      <c r="G386" s="7">
        <v>2920.0344561883594</v>
      </c>
      <c r="H386" s="7">
        <f t="shared" si="44"/>
        <v>69.857283640869852</v>
      </c>
      <c r="I386" s="7">
        <f t="shared" si="45"/>
        <v>151.80698343485665</v>
      </c>
      <c r="J386" s="7">
        <v>342.30044102003694</v>
      </c>
      <c r="K386" s="7">
        <f t="shared" si="46"/>
        <v>5.4593371773530617</v>
      </c>
      <c r="L386" s="7">
        <f t="shared" si="47"/>
        <v>20.549008386493121</v>
      </c>
      <c r="M386" s="7">
        <v>1045.1397680685288</v>
      </c>
      <c r="N386" s="7">
        <f t="shared" si="48"/>
        <v>83.344479112322873</v>
      </c>
      <c r="O386" s="7">
        <f t="shared" si="49"/>
        <v>31.548801063384008</v>
      </c>
    </row>
    <row r="387" spans="3:15" x14ac:dyDescent="0.2">
      <c r="C387">
        <v>368</v>
      </c>
      <c r="D387" s="7">
        <v>3242.7252267732638</v>
      </c>
      <c r="E387" s="7">
        <f t="shared" si="42"/>
        <v>96.971448169056941</v>
      </c>
      <c r="F387" s="7">
        <f t="shared" si="43"/>
        <v>261.85816288257752</v>
      </c>
      <c r="G387" s="7">
        <v>2922.423624271315</v>
      </c>
      <c r="H387" s="7">
        <f t="shared" si="44"/>
        <v>69.914440772041033</v>
      </c>
      <c r="I387" s="7">
        <f t="shared" si="45"/>
        <v>151.93119169507898</v>
      </c>
      <c r="J387" s="7">
        <v>543.12096108392416</v>
      </c>
      <c r="K387" s="7">
        <f t="shared" si="46"/>
        <v>8.6622162852300502</v>
      </c>
      <c r="L387" s="7">
        <f t="shared" si="47"/>
        <v>32.604682456545426</v>
      </c>
      <c r="M387" s="7">
        <v>1042.7505999855737</v>
      </c>
      <c r="N387" s="7">
        <f t="shared" si="48"/>
        <v>83.153955341752294</v>
      </c>
      <c r="O387" s="7">
        <f t="shared" si="49"/>
        <v>31.476681150948341</v>
      </c>
    </row>
    <row r="388" spans="3:15" x14ac:dyDescent="0.2">
      <c r="C388">
        <v>369</v>
      </c>
      <c r="D388" s="7">
        <v>3243.0072181718533</v>
      </c>
      <c r="E388" s="7">
        <f t="shared" si="42"/>
        <v>96.979880926191797</v>
      </c>
      <c r="F388" s="7">
        <f t="shared" si="43"/>
        <v>261.88093439247098</v>
      </c>
      <c r="G388" s="7">
        <v>0</v>
      </c>
      <c r="H388" s="7">
        <f t="shared" si="44"/>
        <v>0</v>
      </c>
      <c r="I388" s="7">
        <f t="shared" si="45"/>
        <v>0</v>
      </c>
      <c r="J388" s="7">
        <v>748.09569071373562</v>
      </c>
      <c r="K388" s="7">
        <f t="shared" si="46"/>
        <v>11.931350729086693</v>
      </c>
      <c r="L388" s="7">
        <f t="shared" si="47"/>
        <v>44.909742378848023</v>
      </c>
      <c r="M388" s="7">
        <v>0</v>
      </c>
      <c r="N388" s="7">
        <f t="shared" si="48"/>
        <v>0</v>
      </c>
      <c r="O388" s="7">
        <f t="shared" si="49"/>
        <v>0</v>
      </c>
    </row>
    <row r="389" spans="3:15" x14ac:dyDescent="0.2">
      <c r="C389">
        <v>370</v>
      </c>
      <c r="D389" s="7">
        <v>3240.8801183972359</v>
      </c>
      <c r="E389" s="7">
        <f t="shared" si="42"/>
        <v>96.916271483170945</v>
      </c>
      <c r="F389" s="7">
        <f t="shared" si="43"/>
        <v>261.70916577185204</v>
      </c>
      <c r="G389" s="7">
        <v>0</v>
      </c>
      <c r="H389" s="7">
        <f t="shared" si="44"/>
        <v>0</v>
      </c>
      <c r="I389" s="7">
        <f t="shared" si="45"/>
        <v>0</v>
      </c>
      <c r="J389" s="7">
        <v>955.47951151675488</v>
      </c>
      <c r="K389" s="7">
        <f t="shared" si="46"/>
        <v>15.238907679693062</v>
      </c>
      <c r="L389" s="7">
        <f t="shared" si="47"/>
        <v>57.35942506171309</v>
      </c>
      <c r="M389" s="7">
        <v>0</v>
      </c>
      <c r="N389" s="7">
        <f t="shared" si="48"/>
        <v>0</v>
      </c>
      <c r="O389" s="7">
        <f t="shared" si="49"/>
        <v>0</v>
      </c>
    </row>
    <row r="390" spans="3:15" x14ac:dyDescent="0.2">
      <c r="C390">
        <v>371</v>
      </c>
      <c r="D390" s="7">
        <v>3238.7708203748516</v>
      </c>
      <c r="E390" s="7">
        <f t="shared" si="42"/>
        <v>96.853194389200112</v>
      </c>
      <c r="F390" s="7">
        <f t="shared" si="43"/>
        <v>261.53883468719732</v>
      </c>
      <c r="G390" s="7">
        <v>0</v>
      </c>
      <c r="H390" s="7">
        <f t="shared" si="44"/>
        <v>0</v>
      </c>
      <c r="I390" s="7">
        <f t="shared" si="45"/>
        <v>0</v>
      </c>
      <c r="J390" s="7">
        <v>1162.8455305675416</v>
      </c>
      <c r="K390" s="7">
        <f t="shared" si="46"/>
        <v>18.546180710806087</v>
      </c>
      <c r="L390" s="7">
        <f t="shared" si="47"/>
        <v>69.808039068315779</v>
      </c>
      <c r="M390" s="7">
        <v>0</v>
      </c>
      <c r="N390" s="7">
        <f t="shared" si="48"/>
        <v>0</v>
      </c>
      <c r="O390" s="7">
        <f t="shared" si="49"/>
        <v>0</v>
      </c>
    </row>
    <row r="391" spans="3:15" x14ac:dyDescent="0.2">
      <c r="C391">
        <v>372</v>
      </c>
      <c r="D391" s="7">
        <v>3236.6792558178345</v>
      </c>
      <c r="E391" s="7">
        <f t="shared" si="42"/>
        <v>96.790647602207969</v>
      </c>
      <c r="F391" s="7">
        <f t="shared" si="43"/>
        <v>261.36993562417194</v>
      </c>
      <c r="G391" s="7">
        <v>0</v>
      </c>
      <c r="H391" s="7">
        <f t="shared" si="44"/>
        <v>0</v>
      </c>
      <c r="I391" s="7">
        <f t="shared" si="45"/>
        <v>0</v>
      </c>
      <c r="J391" s="7">
        <v>1370.1938161529602</v>
      </c>
      <c r="K391" s="7">
        <f t="shared" si="46"/>
        <v>21.853170911530466</v>
      </c>
      <c r="L391" s="7">
        <f t="shared" si="47"/>
        <v>82.255588498058771</v>
      </c>
      <c r="M391" s="7">
        <v>0</v>
      </c>
      <c r="N391" s="7">
        <f t="shared" si="48"/>
        <v>0</v>
      </c>
      <c r="O391" s="7">
        <f t="shared" si="49"/>
        <v>0</v>
      </c>
    </row>
    <row r="392" spans="3:15" x14ac:dyDescent="0.2">
      <c r="C392">
        <v>373</v>
      </c>
      <c r="D392" s="7">
        <v>3234.6053566403216</v>
      </c>
      <c r="E392" s="7">
        <f t="shared" si="42"/>
        <v>96.728629086134021</v>
      </c>
      <c r="F392" s="7">
        <f t="shared" si="43"/>
        <v>261.20246308467227</v>
      </c>
      <c r="G392" s="7">
        <v>0</v>
      </c>
      <c r="H392" s="7">
        <f t="shared" si="44"/>
        <v>0</v>
      </c>
      <c r="I392" s="7">
        <f t="shared" si="45"/>
        <v>0</v>
      </c>
      <c r="J392" s="7">
        <v>1577.5244363588745</v>
      </c>
      <c r="K392" s="7">
        <f t="shared" si="46"/>
        <v>25.159879367765146</v>
      </c>
      <c r="L392" s="7">
        <f t="shared" si="47"/>
        <v>94.702077438278295</v>
      </c>
      <c r="M392" s="7">
        <v>0</v>
      </c>
      <c r="N392" s="7">
        <f t="shared" si="48"/>
        <v>0</v>
      </c>
      <c r="O392" s="7">
        <f t="shared" si="49"/>
        <v>0</v>
      </c>
    </row>
    <row r="393" spans="3:15" x14ac:dyDescent="0.2">
      <c r="C393">
        <v>374</v>
      </c>
      <c r="D393" s="7">
        <v>3232.5490549569608</v>
      </c>
      <c r="E393" s="7">
        <f t="shared" si="42"/>
        <v>96.667136810913902</v>
      </c>
      <c r="F393" s="7">
        <f t="shared" si="43"/>
        <v>261.0364115867867</v>
      </c>
      <c r="G393" s="7">
        <v>0</v>
      </c>
      <c r="H393" s="7">
        <f t="shared" si="44"/>
        <v>0</v>
      </c>
      <c r="I393" s="7">
        <f t="shared" si="45"/>
        <v>0</v>
      </c>
      <c r="J393" s="7">
        <v>1784.8374590706367</v>
      </c>
      <c r="K393" s="7">
        <f t="shared" si="46"/>
        <v>28.466307162211113</v>
      </c>
      <c r="L393" s="7">
        <f t="shared" si="47"/>
        <v>107.1475099642734</v>
      </c>
      <c r="M393" s="7">
        <v>0</v>
      </c>
      <c r="N393" s="7">
        <f t="shared" si="48"/>
        <v>0</v>
      </c>
      <c r="O393" s="7">
        <f t="shared" si="49"/>
        <v>0</v>
      </c>
    </row>
    <row r="394" spans="3:15" x14ac:dyDescent="0.2">
      <c r="C394">
        <v>375</v>
      </c>
      <c r="D394" s="7">
        <v>3230.5102830824212</v>
      </c>
      <c r="E394" s="7">
        <f t="shared" si="42"/>
        <v>96.606168752464754</v>
      </c>
      <c r="F394" s="7">
        <f t="shared" si="43"/>
        <v>260.87177566475549</v>
      </c>
      <c r="G394" s="7">
        <v>0</v>
      </c>
      <c r="H394" s="7">
        <f t="shared" si="44"/>
        <v>0</v>
      </c>
      <c r="I394" s="7">
        <f t="shared" si="45"/>
        <v>0</v>
      </c>
      <c r="J394" s="7">
        <v>1992.1329519735787</v>
      </c>
      <c r="K394" s="7">
        <f t="shared" si="46"/>
        <v>31.772455374379248</v>
      </c>
      <c r="L394" s="7">
        <f t="shared" si="47"/>
        <v>119.59189013933556</v>
      </c>
      <c r="M394" s="7">
        <v>0</v>
      </c>
      <c r="N394" s="7">
        <f t="shared" si="48"/>
        <v>0</v>
      </c>
      <c r="O394" s="7">
        <f t="shared" si="49"/>
        <v>0</v>
      </c>
    </row>
    <row r="395" spans="3:15" x14ac:dyDescent="0.2">
      <c r="C395">
        <v>376</v>
      </c>
      <c r="D395" s="7">
        <v>3230.9088179898995</v>
      </c>
      <c r="E395" s="7">
        <f t="shared" si="42"/>
        <v>96.61808666237738</v>
      </c>
      <c r="F395" s="7">
        <f t="shared" si="43"/>
        <v>260.90395835413517</v>
      </c>
      <c r="G395" s="7">
        <v>2921.6554102573809</v>
      </c>
      <c r="H395" s="7">
        <f t="shared" si="44"/>
        <v>69.896062446348836</v>
      </c>
      <c r="I395" s="7">
        <f t="shared" si="45"/>
        <v>151.89125372385379</v>
      </c>
      <c r="J395" s="7">
        <v>2196.9911380945027</v>
      </c>
      <c r="K395" s="7">
        <f t="shared" si="46"/>
        <v>35.039731070087768</v>
      </c>
      <c r="L395" s="7">
        <f t="shared" si="47"/>
        <v>131.88995371207349</v>
      </c>
      <c r="M395" s="7">
        <v>1043.5188139995075</v>
      </c>
      <c r="N395" s="7">
        <f t="shared" si="48"/>
        <v>83.215216427392946</v>
      </c>
      <c r="O395" s="7">
        <f t="shared" si="49"/>
        <v>31.499870615018295</v>
      </c>
    </row>
    <row r="396" spans="3:15" x14ac:dyDescent="0.2">
      <c r="C396">
        <v>377</v>
      </c>
      <c r="D396" s="7">
        <v>3235.4522553529109</v>
      </c>
      <c r="E396" s="7">
        <f t="shared" si="42"/>
        <v>96.753955004572703</v>
      </c>
      <c r="F396" s="7">
        <f t="shared" si="43"/>
        <v>261.27085227139565</v>
      </c>
      <c r="G396" s="7">
        <v>2921.5287648478461</v>
      </c>
      <c r="H396" s="7">
        <f t="shared" si="44"/>
        <v>69.893032651862356</v>
      </c>
      <c r="I396" s="7">
        <f t="shared" si="45"/>
        <v>151.8846696722353</v>
      </c>
      <c r="J396" s="7">
        <v>2032.8035843760658</v>
      </c>
      <c r="K396" s="7">
        <f t="shared" si="46"/>
        <v>32.421109798661341</v>
      </c>
      <c r="L396" s="7">
        <f t="shared" si="47"/>
        <v>122.03343290753133</v>
      </c>
      <c r="M396" s="7">
        <v>1043.6454594090421</v>
      </c>
      <c r="N396" s="7">
        <f t="shared" si="48"/>
        <v>83.22531574234786</v>
      </c>
      <c r="O396" s="7">
        <f t="shared" si="49"/>
        <v>31.503693559042691</v>
      </c>
    </row>
    <row r="397" spans="3:15" x14ac:dyDescent="0.2">
      <c r="C397">
        <v>378</v>
      </c>
      <c r="D397" s="7">
        <v>3239.9826359449717</v>
      </c>
      <c r="E397" s="7">
        <f t="shared" si="42"/>
        <v>96.889432893091268</v>
      </c>
      <c r="F397" s="7">
        <f t="shared" si="43"/>
        <v>261.63669182178404</v>
      </c>
      <c r="G397" s="7">
        <v>2921.2722169031622</v>
      </c>
      <c r="H397" s="7">
        <f t="shared" si="44"/>
        <v>69.886895141223974</v>
      </c>
      <c r="I397" s="7">
        <f t="shared" si="45"/>
        <v>151.87133223729293</v>
      </c>
      <c r="J397" s="7">
        <v>2347.5614364948533</v>
      </c>
      <c r="K397" s="7">
        <f t="shared" si="46"/>
        <v>37.441171235962578</v>
      </c>
      <c r="L397" s="7">
        <f t="shared" si="47"/>
        <v>140.92900231909664</v>
      </c>
      <c r="M397" s="7">
        <v>1043.902007353726</v>
      </c>
      <c r="N397" s="7">
        <f t="shared" si="48"/>
        <v>83.245774111142438</v>
      </c>
      <c r="O397" s="7">
        <f t="shared" si="49"/>
        <v>31.51143776734606</v>
      </c>
    </row>
    <row r="398" spans="3:15" x14ac:dyDescent="0.2">
      <c r="C398">
        <v>379</v>
      </c>
      <c r="D398" s="7">
        <v>3244.4992157982665</v>
      </c>
      <c r="E398" s="7">
        <f t="shared" si="42"/>
        <v>97.024498080091703</v>
      </c>
      <c r="F398" s="7">
        <f t="shared" si="43"/>
        <v>262.00141692804078</v>
      </c>
      <c r="G398" s="7">
        <v>2920.5630158453696</v>
      </c>
      <c r="H398" s="7">
        <f t="shared" si="44"/>
        <v>69.869928608740906</v>
      </c>
      <c r="I398" s="7">
        <f t="shared" si="45"/>
        <v>151.83446223632288</v>
      </c>
      <c r="J398" s="7">
        <v>2662.3330893524058</v>
      </c>
      <c r="K398" s="7">
        <f t="shared" si="46"/>
        <v>42.461452780740125</v>
      </c>
      <c r="L398" s="7">
        <f t="shared" si="47"/>
        <v>159.8254002177529</v>
      </c>
      <c r="M398" s="7">
        <v>1044.6112084115189</v>
      </c>
      <c r="N398" s="7">
        <f t="shared" si="48"/>
        <v>83.302329219419377</v>
      </c>
      <c r="O398" s="7">
        <f t="shared" si="49"/>
        <v>31.532845854350153</v>
      </c>
    </row>
    <row r="399" spans="3:15" x14ac:dyDescent="0.2">
      <c r="C399">
        <v>380</v>
      </c>
      <c r="D399" s="7">
        <v>3249.0010950147175</v>
      </c>
      <c r="E399" s="7">
        <f t="shared" si="42"/>
        <v>97.159123654746338</v>
      </c>
      <c r="F399" s="7">
        <f t="shared" si="43"/>
        <v>262.36495492114796</v>
      </c>
      <c r="G399" s="7">
        <v>2919.5095945901107</v>
      </c>
      <c r="H399" s="7">
        <f t="shared" si="44"/>
        <v>69.844727143304084</v>
      </c>
      <c r="I399" s="7">
        <f t="shared" si="45"/>
        <v>151.7796968883633</v>
      </c>
      <c r="J399" s="7">
        <v>2817.4753264913784</v>
      </c>
      <c r="K399" s="7">
        <f t="shared" si="46"/>
        <v>44.93581062984655</v>
      </c>
      <c r="L399" s="7">
        <f t="shared" si="47"/>
        <v>169.13891182927154</v>
      </c>
      <c r="M399" s="7">
        <v>1045.6646296667777</v>
      </c>
      <c r="N399" s="7">
        <f t="shared" si="48"/>
        <v>83.386334104208757</v>
      </c>
      <c r="O399" s="7">
        <f t="shared" si="49"/>
        <v>31.5646446420659</v>
      </c>
    </row>
    <row r="400" spans="3:15" x14ac:dyDescent="0.2">
      <c r="C400">
        <v>381</v>
      </c>
      <c r="D400" s="7">
        <v>3253.4875403634073</v>
      </c>
      <c r="E400" s="7">
        <f t="shared" si="42"/>
        <v>97.293287690293283</v>
      </c>
      <c r="F400" s="7">
        <f t="shared" si="43"/>
        <v>262.72724659087726</v>
      </c>
      <c r="G400" s="7">
        <v>2918.0047893404053</v>
      </c>
      <c r="H400" s="7">
        <f t="shared" si="44"/>
        <v>69.808727017713053</v>
      </c>
      <c r="I400" s="7">
        <f t="shared" si="45"/>
        <v>151.70146495341797</v>
      </c>
      <c r="J400" s="7">
        <v>3291.9212302089586</v>
      </c>
      <c r="K400" s="7">
        <f t="shared" si="46"/>
        <v>52.502730944321513</v>
      </c>
      <c r="L400" s="7">
        <f t="shared" si="47"/>
        <v>197.62088756198514</v>
      </c>
      <c r="M400" s="7">
        <v>1047.1694349164834</v>
      </c>
      <c r="N400" s="7">
        <f t="shared" si="48"/>
        <v>83.506334522845577</v>
      </c>
      <c r="O400" s="7">
        <f t="shared" si="49"/>
        <v>31.610068998608984</v>
      </c>
    </row>
    <row r="401" spans="3:15" x14ac:dyDescent="0.2">
      <c r="C401">
        <v>382</v>
      </c>
      <c r="D401" s="7">
        <v>3257.957904883373</v>
      </c>
      <c r="E401" s="7">
        <f t="shared" si="42"/>
        <v>97.426970839813791</v>
      </c>
      <c r="F401" s="7">
        <f t="shared" si="43"/>
        <v>263.08823969351471</v>
      </c>
      <c r="G401" s="7">
        <v>2916.6957340154663</v>
      </c>
      <c r="H401" s="7">
        <f t="shared" si="44"/>
        <v>69.777409904676233</v>
      </c>
      <c r="I401" s="7">
        <f t="shared" si="45"/>
        <v>151.6334096811224</v>
      </c>
      <c r="J401" s="7">
        <v>2489.2302839118756</v>
      </c>
      <c r="K401" s="7">
        <f t="shared" si="46"/>
        <v>39.700642486632788</v>
      </c>
      <c r="L401" s="7">
        <f t="shared" si="47"/>
        <v>149.43367828446239</v>
      </c>
      <c r="M401" s="7">
        <v>1048.4784902414222</v>
      </c>
      <c r="N401" s="7">
        <f t="shared" si="48"/>
        <v>83.610724899634945</v>
      </c>
      <c r="O401" s="7">
        <f t="shared" si="49"/>
        <v>31.649584408211833</v>
      </c>
    </row>
    <row r="402" spans="3:15" x14ac:dyDescent="0.2">
      <c r="C402">
        <v>383</v>
      </c>
      <c r="D402" s="7">
        <v>3258.2713743806744</v>
      </c>
      <c r="E402" s="7">
        <f t="shared" si="42"/>
        <v>97.436344927651746</v>
      </c>
      <c r="F402" s="7">
        <f t="shared" si="43"/>
        <v>263.11355313851624</v>
      </c>
      <c r="G402" s="7">
        <v>0</v>
      </c>
      <c r="H402" s="7">
        <f t="shared" si="44"/>
        <v>0</v>
      </c>
      <c r="I402" s="7">
        <f t="shared" si="45"/>
        <v>0</v>
      </c>
      <c r="J402" s="7">
        <v>1690.6962326374551</v>
      </c>
      <c r="K402" s="7">
        <f t="shared" si="46"/>
        <v>26.964852195174725</v>
      </c>
      <c r="L402" s="7">
        <f t="shared" si="47"/>
        <v>101.4960160727509</v>
      </c>
      <c r="M402" s="7">
        <v>0</v>
      </c>
      <c r="N402" s="7">
        <f t="shared" si="48"/>
        <v>0</v>
      </c>
      <c r="O402" s="7">
        <f t="shared" si="49"/>
        <v>0</v>
      </c>
    </row>
    <row r="403" spans="3:15" x14ac:dyDescent="0.2">
      <c r="C403">
        <v>384</v>
      </c>
      <c r="D403" s="7">
        <v>3256.1869093965802</v>
      </c>
      <c r="E403" s="7">
        <f t="shared" si="42"/>
        <v>97.374010448462329</v>
      </c>
      <c r="F403" s="7">
        <f t="shared" si="43"/>
        <v>262.94522738374019</v>
      </c>
      <c r="G403" s="7">
        <v>0</v>
      </c>
      <c r="H403" s="7">
        <f t="shared" si="44"/>
        <v>0</v>
      </c>
      <c r="I403" s="7">
        <f t="shared" si="45"/>
        <v>0</v>
      </c>
      <c r="J403" s="7">
        <v>894.56011584443195</v>
      </c>
      <c r="K403" s="7">
        <f t="shared" si="46"/>
        <v>14.267306472797959</v>
      </c>
      <c r="L403" s="7">
        <f t="shared" si="47"/>
        <v>53.702306862156398</v>
      </c>
      <c r="M403" s="7">
        <v>0</v>
      </c>
      <c r="N403" s="7">
        <f t="shared" si="48"/>
        <v>0</v>
      </c>
      <c r="O403" s="7">
        <f t="shared" si="49"/>
        <v>0</v>
      </c>
    </row>
    <row r="404" spans="3:15" x14ac:dyDescent="0.2">
      <c r="C404">
        <v>385</v>
      </c>
      <c r="D404" s="7">
        <v>2713.9499780422011</v>
      </c>
      <c r="E404" s="7">
        <f t="shared" si="42"/>
        <v>81.158791209395972</v>
      </c>
      <c r="F404" s="7">
        <f t="shared" si="43"/>
        <v>219.15824058657853</v>
      </c>
      <c r="G404" s="7">
        <v>0</v>
      </c>
      <c r="H404" s="7">
        <f t="shared" si="44"/>
        <v>0</v>
      </c>
      <c r="I404" s="7">
        <f t="shared" si="45"/>
        <v>0</v>
      </c>
      <c r="J404" s="7">
        <v>0</v>
      </c>
      <c r="K404" s="7">
        <f t="shared" si="46"/>
        <v>0</v>
      </c>
      <c r="L404" s="7">
        <f t="shared" si="47"/>
        <v>0</v>
      </c>
      <c r="M404" s="7">
        <v>0</v>
      </c>
      <c r="N404" s="7">
        <f t="shared" si="48"/>
        <v>0</v>
      </c>
      <c r="O404" s="7">
        <f t="shared" si="49"/>
        <v>0</v>
      </c>
    </row>
    <row r="405" spans="3:15" x14ac:dyDescent="0.2">
      <c r="C405">
        <v>386</v>
      </c>
      <c r="D405" s="7">
        <v>2554.3058616867775</v>
      </c>
      <c r="E405" s="7">
        <f t="shared" ref="E405:E468" si="50">D405/($C$3*($D$8-$D$6))</f>
        <v>76.384744667666794</v>
      </c>
      <c r="F405" s="7">
        <f t="shared" ref="F405:F468" si="51">E405*$C$3*((($D$8)-($D$6))-$C$2*LN(($D$8)/($D$6)))</f>
        <v>206.2665793756033</v>
      </c>
      <c r="G405" s="7">
        <v>0</v>
      </c>
      <c r="H405" s="7">
        <f t="shared" ref="H405:H468" si="52">G405/($C$3*($D$6-$D$9))</f>
        <v>0</v>
      </c>
      <c r="I405" s="7">
        <f t="shared" ref="I405:I468" si="53">ABS(H405*$C$3*(($D$9-$D$6)-$C$2*(LN($D$9/$D$6))))</f>
        <v>0</v>
      </c>
      <c r="J405" s="7">
        <v>0</v>
      </c>
      <c r="K405" s="7">
        <f t="shared" ref="K405:K468" si="54">J405/($C$3*($D$10-$D$7))</f>
        <v>0</v>
      </c>
      <c r="L405" s="7">
        <f t="shared" ref="L405:L468" si="55">K405*$C$3*(($D$10-$D$7)-$C$2*LN($D$10/$D$7))</f>
        <v>0</v>
      </c>
      <c r="M405" s="7">
        <v>0</v>
      </c>
      <c r="N405" s="7">
        <f t="shared" ref="N405:N468" si="56">M405/($C$3*($D$7-$D$11))</f>
        <v>0</v>
      </c>
      <c r="O405" s="7">
        <f t="shared" ref="O405:O468" si="57">ABS(N405*$C$3*(($D$11-$D$7)-$C$2*LN($D$11/$D$7)))</f>
        <v>0</v>
      </c>
    </row>
    <row r="406" spans="3:15" x14ac:dyDescent="0.2">
      <c r="C406">
        <v>387</v>
      </c>
      <c r="D406" s="7">
        <v>2713.9499780422011</v>
      </c>
      <c r="E406" s="7">
        <f t="shared" si="50"/>
        <v>81.158791209395972</v>
      </c>
      <c r="F406" s="7">
        <f t="shared" si="51"/>
        <v>219.15824058657853</v>
      </c>
      <c r="G406" s="7">
        <v>0</v>
      </c>
      <c r="H406" s="7">
        <f t="shared" si="52"/>
        <v>0</v>
      </c>
      <c r="I406" s="7">
        <f t="shared" si="53"/>
        <v>0</v>
      </c>
      <c r="J406" s="7">
        <v>0</v>
      </c>
      <c r="K406" s="7">
        <f t="shared" si="54"/>
        <v>0</v>
      </c>
      <c r="L406" s="7">
        <f t="shared" si="55"/>
        <v>0</v>
      </c>
      <c r="M406" s="7">
        <v>0</v>
      </c>
      <c r="N406" s="7">
        <f t="shared" si="56"/>
        <v>0</v>
      </c>
      <c r="O406" s="7">
        <f t="shared" si="57"/>
        <v>0</v>
      </c>
    </row>
    <row r="407" spans="3:15" x14ac:dyDescent="0.2">
      <c r="C407">
        <v>388</v>
      </c>
      <c r="D407" s="7">
        <v>2873.5940943976243</v>
      </c>
      <c r="E407" s="7">
        <f t="shared" si="50"/>
        <v>85.932837751125135</v>
      </c>
      <c r="F407" s="7">
        <f t="shared" si="51"/>
        <v>232.0499017975537</v>
      </c>
      <c r="G407" s="7">
        <v>0</v>
      </c>
      <c r="H407" s="7">
        <f t="shared" si="52"/>
        <v>0</v>
      </c>
      <c r="I407" s="7">
        <f t="shared" si="53"/>
        <v>0</v>
      </c>
      <c r="J407" s="7">
        <v>0</v>
      </c>
      <c r="K407" s="7">
        <f t="shared" si="54"/>
        <v>0</v>
      </c>
      <c r="L407" s="7">
        <f t="shared" si="55"/>
        <v>0</v>
      </c>
      <c r="M407" s="7">
        <v>0</v>
      </c>
      <c r="N407" s="7">
        <f t="shared" si="56"/>
        <v>0</v>
      </c>
      <c r="O407" s="7">
        <f t="shared" si="57"/>
        <v>0</v>
      </c>
    </row>
    <row r="408" spans="3:15" x14ac:dyDescent="0.2">
      <c r="C408">
        <v>389</v>
      </c>
      <c r="D408" s="7">
        <v>3217.4429603939211</v>
      </c>
      <c r="E408" s="7">
        <f t="shared" si="50"/>
        <v>96.215399533311043</v>
      </c>
      <c r="F408" s="7">
        <f t="shared" si="51"/>
        <v>259.81655671350029</v>
      </c>
      <c r="G408" s="7">
        <v>0</v>
      </c>
      <c r="H408" s="7">
        <f t="shared" si="52"/>
        <v>0</v>
      </c>
      <c r="I408" s="7">
        <f t="shared" si="53"/>
        <v>0</v>
      </c>
      <c r="J408" s="7">
        <v>0</v>
      </c>
      <c r="K408" s="7">
        <f t="shared" si="54"/>
        <v>0</v>
      </c>
      <c r="L408" s="7">
        <f t="shared" si="55"/>
        <v>0</v>
      </c>
      <c r="M408" s="7">
        <v>0</v>
      </c>
      <c r="N408" s="7">
        <f t="shared" si="56"/>
        <v>0</v>
      </c>
      <c r="O408" s="7">
        <f t="shared" si="57"/>
        <v>0</v>
      </c>
    </row>
    <row r="409" spans="3:15" x14ac:dyDescent="0.2">
      <c r="C409">
        <v>390</v>
      </c>
      <c r="D409" s="7">
        <v>3248.4913733244493</v>
      </c>
      <c r="E409" s="7">
        <f t="shared" si="50"/>
        <v>97.143880781233534</v>
      </c>
      <c r="F409" s="7">
        <f t="shared" si="51"/>
        <v>262.32379362129649</v>
      </c>
      <c r="G409" s="7">
        <v>0</v>
      </c>
      <c r="H409" s="7">
        <f t="shared" si="52"/>
        <v>0</v>
      </c>
      <c r="I409" s="7">
        <f t="shared" si="53"/>
        <v>0</v>
      </c>
      <c r="J409" s="7">
        <v>189.99728663852011</v>
      </c>
      <c r="K409" s="7">
        <f t="shared" si="54"/>
        <v>3.030259755000321</v>
      </c>
      <c r="L409" s="7">
        <f t="shared" si="55"/>
        <v>11.405932825886566</v>
      </c>
      <c r="M409" s="7">
        <v>0</v>
      </c>
      <c r="N409" s="7">
        <f t="shared" si="56"/>
        <v>0</v>
      </c>
      <c r="O409" s="7">
        <f t="shared" si="57"/>
        <v>0</v>
      </c>
    </row>
    <row r="410" spans="3:15" x14ac:dyDescent="0.2">
      <c r="C410">
        <v>391</v>
      </c>
      <c r="D410" s="7">
        <v>3248.928480478618</v>
      </c>
      <c r="E410" s="7">
        <f t="shared" si="50"/>
        <v>97.156952167422787</v>
      </c>
      <c r="F410" s="7">
        <f t="shared" si="51"/>
        <v>262.35909111595572</v>
      </c>
      <c r="G410" s="7">
        <v>2923.0313621319601</v>
      </c>
      <c r="H410" s="7">
        <f t="shared" si="52"/>
        <v>69.928979955310055</v>
      </c>
      <c r="I410" s="7">
        <f t="shared" si="53"/>
        <v>151.96278681928996</v>
      </c>
      <c r="J410" s="7">
        <v>410.60587905339935</v>
      </c>
      <c r="K410" s="7">
        <f t="shared" si="54"/>
        <v>6.5487381029250296</v>
      </c>
      <c r="L410" s="7">
        <f t="shared" si="55"/>
        <v>24.649526091956695</v>
      </c>
      <c r="M410" s="7">
        <v>1042.1428621249281</v>
      </c>
      <c r="N410" s="7">
        <f t="shared" si="56"/>
        <v>83.105491397522187</v>
      </c>
      <c r="O410" s="7">
        <f t="shared" si="57"/>
        <v>31.458335852596882</v>
      </c>
    </row>
    <row r="411" spans="3:15" x14ac:dyDescent="0.2">
      <c r="C411">
        <v>392</v>
      </c>
      <c r="D411" s="7">
        <v>3253.5142633864689</v>
      </c>
      <c r="E411" s="7">
        <f t="shared" si="50"/>
        <v>97.29408682375805</v>
      </c>
      <c r="F411" s="7">
        <f t="shared" si="51"/>
        <v>262.72940454174761</v>
      </c>
      <c r="G411" s="7">
        <v>2924.6321890659674</v>
      </c>
      <c r="H411" s="7">
        <f t="shared" si="52"/>
        <v>69.967277250381997</v>
      </c>
      <c r="I411" s="7">
        <f t="shared" si="53"/>
        <v>152.04601073719201</v>
      </c>
      <c r="J411" s="7">
        <v>627.06579571459588</v>
      </c>
      <c r="K411" s="7">
        <f t="shared" si="54"/>
        <v>10.001049373438532</v>
      </c>
      <c r="L411" s="7">
        <f t="shared" si="55"/>
        <v>37.644065712050725</v>
      </c>
      <c r="M411" s="7">
        <v>1040.5420351909208</v>
      </c>
      <c r="N411" s="7">
        <f t="shared" si="56"/>
        <v>82.977833747282375</v>
      </c>
      <c r="O411" s="7">
        <f t="shared" si="57"/>
        <v>31.410012966011834</v>
      </c>
    </row>
    <row r="412" spans="3:15" x14ac:dyDescent="0.2">
      <c r="C412">
        <v>393</v>
      </c>
      <c r="D412" s="7">
        <v>3253.942460663684</v>
      </c>
      <c r="E412" s="7">
        <f t="shared" si="50"/>
        <v>97.306891766258502</v>
      </c>
      <c r="F412" s="7">
        <f t="shared" si="51"/>
        <v>262.76398254158465</v>
      </c>
      <c r="G412" s="7">
        <v>0</v>
      </c>
      <c r="H412" s="7">
        <f t="shared" si="52"/>
        <v>0</v>
      </c>
      <c r="I412" s="7">
        <f t="shared" si="53"/>
        <v>0</v>
      </c>
      <c r="J412" s="7">
        <v>847.68329800642914</v>
      </c>
      <c r="K412" s="7">
        <f t="shared" si="54"/>
        <v>13.519669824663943</v>
      </c>
      <c r="L412" s="7">
        <f t="shared" si="55"/>
        <v>50.88819385659108</v>
      </c>
      <c r="M412" s="7">
        <v>0</v>
      </c>
      <c r="N412" s="7">
        <f t="shared" si="56"/>
        <v>0</v>
      </c>
      <c r="O412" s="7">
        <f t="shared" si="57"/>
        <v>0</v>
      </c>
    </row>
    <row r="413" spans="3:15" x14ac:dyDescent="0.2">
      <c r="C413">
        <v>394</v>
      </c>
      <c r="D413" s="7">
        <v>3251.9576035653035</v>
      </c>
      <c r="E413" s="7">
        <f t="shared" si="50"/>
        <v>97.247535991785398</v>
      </c>
      <c r="F413" s="7">
        <f t="shared" si="51"/>
        <v>262.60370037241563</v>
      </c>
      <c r="G413" s="7">
        <v>0</v>
      </c>
      <c r="H413" s="7">
        <f t="shared" si="52"/>
        <v>0</v>
      </c>
      <c r="I413" s="7">
        <f t="shared" si="53"/>
        <v>0</v>
      </c>
      <c r="J413" s="7">
        <v>1070.713854673857</v>
      </c>
      <c r="K413" s="7">
        <f t="shared" si="54"/>
        <v>17.076775991608567</v>
      </c>
      <c r="L413" s="7">
        <f t="shared" si="55"/>
        <v>64.277182680987409</v>
      </c>
      <c r="M413" s="7">
        <v>0</v>
      </c>
      <c r="N413" s="7">
        <f t="shared" si="56"/>
        <v>0</v>
      </c>
      <c r="O413" s="7">
        <f t="shared" si="57"/>
        <v>0</v>
      </c>
    </row>
    <row r="414" spans="3:15" x14ac:dyDescent="0.2">
      <c r="C414">
        <v>395</v>
      </c>
      <c r="D414" s="7">
        <v>3249.989826040055</v>
      </c>
      <c r="E414" s="7">
        <f t="shared" si="50"/>
        <v>97.18869097009734</v>
      </c>
      <c r="F414" s="7">
        <f t="shared" si="51"/>
        <v>262.44479742144438</v>
      </c>
      <c r="G414" s="7">
        <v>0</v>
      </c>
      <c r="H414" s="7">
        <f t="shared" si="52"/>
        <v>0</v>
      </c>
      <c r="I414" s="7">
        <f t="shared" si="53"/>
        <v>0</v>
      </c>
      <c r="J414" s="7">
        <v>1293.7273317681538</v>
      </c>
      <c r="K414" s="7">
        <f t="shared" si="54"/>
        <v>20.633609757067845</v>
      </c>
      <c r="L414" s="7">
        <f t="shared" si="55"/>
        <v>77.665146183036882</v>
      </c>
      <c r="M414" s="7">
        <v>0</v>
      </c>
      <c r="N414" s="7">
        <f t="shared" si="56"/>
        <v>0</v>
      </c>
      <c r="O414" s="7">
        <f t="shared" si="57"/>
        <v>0</v>
      </c>
    </row>
    <row r="415" spans="3:15" x14ac:dyDescent="0.2">
      <c r="C415">
        <v>396</v>
      </c>
      <c r="D415" s="7">
        <v>3248.039062217691</v>
      </c>
      <c r="E415" s="7">
        <f t="shared" si="50"/>
        <v>97.130354731390284</v>
      </c>
      <c r="F415" s="7">
        <f t="shared" si="51"/>
        <v>262.28726836948385</v>
      </c>
      <c r="G415" s="7">
        <v>0</v>
      </c>
      <c r="H415" s="7">
        <f t="shared" si="52"/>
        <v>0</v>
      </c>
      <c r="I415" s="7">
        <f t="shared" si="53"/>
        <v>0</v>
      </c>
      <c r="J415" s="7">
        <v>1516.7237951595662</v>
      </c>
      <c r="K415" s="7">
        <f t="shared" si="54"/>
        <v>24.190172171603926</v>
      </c>
      <c r="L415" s="7">
        <f t="shared" si="55"/>
        <v>91.052088317067614</v>
      </c>
      <c r="M415" s="7">
        <v>0</v>
      </c>
      <c r="N415" s="7">
        <f t="shared" si="56"/>
        <v>0</v>
      </c>
      <c r="O415" s="7">
        <f t="shared" si="57"/>
        <v>0</v>
      </c>
    </row>
    <row r="416" spans="3:15" x14ac:dyDescent="0.2">
      <c r="C416">
        <v>397</v>
      </c>
      <c r="D416" s="7">
        <v>3246.1052464224335</v>
      </c>
      <c r="E416" s="7">
        <f t="shared" si="50"/>
        <v>97.072525311675648</v>
      </c>
      <c r="F416" s="7">
        <f t="shared" si="51"/>
        <v>262.13110791305093</v>
      </c>
      <c r="G416" s="7">
        <v>0</v>
      </c>
      <c r="H416" s="7">
        <f t="shared" si="52"/>
        <v>0</v>
      </c>
      <c r="I416" s="7">
        <f t="shared" si="53"/>
        <v>0</v>
      </c>
      <c r="J416" s="7">
        <v>1739.7033105238711</v>
      </c>
      <c r="K416" s="7">
        <f t="shared" si="54"/>
        <v>27.746464282677373</v>
      </c>
      <c r="L416" s="7">
        <f t="shared" si="55"/>
        <v>104.43801302573331</v>
      </c>
      <c r="M416" s="7">
        <v>0</v>
      </c>
      <c r="N416" s="7">
        <f t="shared" si="56"/>
        <v>0</v>
      </c>
      <c r="O416" s="7">
        <f t="shared" si="57"/>
        <v>0</v>
      </c>
    </row>
    <row r="417" spans="3:15" x14ac:dyDescent="0.2">
      <c r="C417">
        <v>398</v>
      </c>
      <c r="D417" s="7">
        <v>3244.188313172499</v>
      </c>
      <c r="E417" s="7">
        <f t="shared" si="50"/>
        <v>97.01520075276612</v>
      </c>
      <c r="F417" s="7">
        <f t="shared" si="51"/>
        <v>261.97631076432799</v>
      </c>
      <c r="G417" s="7">
        <v>0</v>
      </c>
      <c r="H417" s="7">
        <f t="shared" si="52"/>
        <v>0</v>
      </c>
      <c r="I417" s="7">
        <f t="shared" si="53"/>
        <v>0</v>
      </c>
      <c r="J417" s="7">
        <v>1962.6659433428549</v>
      </c>
      <c r="K417" s="7">
        <f t="shared" si="54"/>
        <v>31.302487134654786</v>
      </c>
      <c r="L417" s="7">
        <f t="shared" si="55"/>
        <v>117.82292424004196</v>
      </c>
      <c r="M417" s="7">
        <v>0</v>
      </c>
      <c r="N417" s="7">
        <f t="shared" si="56"/>
        <v>0</v>
      </c>
      <c r="O417" s="7">
        <f t="shared" si="57"/>
        <v>0</v>
      </c>
    </row>
    <row r="418" spans="3:15" x14ac:dyDescent="0.2">
      <c r="C418">
        <v>399</v>
      </c>
      <c r="D418" s="7">
        <v>3242.2881971796251</v>
      </c>
      <c r="E418" s="7">
        <f t="shared" si="50"/>
        <v>96.958379102261517</v>
      </c>
      <c r="F418" s="7">
        <f t="shared" si="51"/>
        <v>261.82287165112479</v>
      </c>
      <c r="G418" s="7">
        <v>0</v>
      </c>
      <c r="H418" s="7">
        <f t="shared" si="52"/>
        <v>0</v>
      </c>
      <c r="I418" s="7">
        <f t="shared" si="53"/>
        <v>0</v>
      </c>
      <c r="J418" s="7">
        <v>2185.6117589047772</v>
      </c>
      <c r="K418" s="7">
        <f t="shared" si="54"/>
        <v>34.858241768816228</v>
      </c>
      <c r="L418" s="7">
        <f t="shared" si="55"/>
        <v>131.20682587938376</v>
      </c>
      <c r="M418" s="7">
        <v>0</v>
      </c>
      <c r="N418" s="7">
        <f t="shared" si="56"/>
        <v>0</v>
      </c>
      <c r="O418" s="7">
        <f t="shared" si="57"/>
        <v>0</v>
      </c>
    </row>
    <row r="419" spans="3:15" x14ac:dyDescent="0.2">
      <c r="C419">
        <v>400</v>
      </c>
      <c r="D419" s="7">
        <v>3242.8173783602897</v>
      </c>
      <c r="E419" s="7">
        <f t="shared" si="50"/>
        <v>96.974203898334025</v>
      </c>
      <c r="F419" s="7">
        <f t="shared" si="51"/>
        <v>261.86560435343853</v>
      </c>
      <c r="G419" s="7">
        <v>2917.0883728940407</v>
      </c>
      <c r="H419" s="7">
        <f t="shared" si="52"/>
        <v>69.786803179283282</v>
      </c>
      <c r="I419" s="7">
        <f t="shared" si="53"/>
        <v>151.65382222235434</v>
      </c>
      <c r="J419" s="7">
        <v>2025.4384613686871</v>
      </c>
      <c r="K419" s="7">
        <f t="shared" si="54"/>
        <v>32.303643721988628</v>
      </c>
      <c r="L419" s="7">
        <f t="shared" si="55"/>
        <v>121.59128923399358</v>
      </c>
      <c r="M419" s="7">
        <v>1048.085851362848</v>
      </c>
      <c r="N419" s="7">
        <f t="shared" si="56"/>
        <v>83.579413984278148</v>
      </c>
      <c r="O419" s="7">
        <f t="shared" si="57"/>
        <v>31.637732131369685</v>
      </c>
    </row>
    <row r="420" spans="3:15" x14ac:dyDescent="0.2">
      <c r="C420">
        <v>401</v>
      </c>
      <c r="D420" s="7">
        <v>3247.4871125140808</v>
      </c>
      <c r="E420" s="7">
        <f t="shared" si="50"/>
        <v>97.113849058435434</v>
      </c>
      <c r="F420" s="7">
        <f t="shared" si="51"/>
        <v>262.24269705206302</v>
      </c>
      <c r="G420" s="7">
        <v>2916.2183908859488</v>
      </c>
      <c r="H420" s="7">
        <f t="shared" si="52"/>
        <v>69.765990212582508</v>
      </c>
      <c r="I420" s="7">
        <f t="shared" si="53"/>
        <v>151.60859352855891</v>
      </c>
      <c r="J420" s="7">
        <v>2308.12813665466</v>
      </c>
      <c r="K420" s="7">
        <f t="shared" si="54"/>
        <v>36.812250983327914</v>
      </c>
      <c r="L420" s="7">
        <f t="shared" si="55"/>
        <v>138.56173920161851</v>
      </c>
      <c r="M420" s="7">
        <v>1048.9558333709397</v>
      </c>
      <c r="N420" s="7">
        <f t="shared" si="56"/>
        <v>83.648790539947342</v>
      </c>
      <c r="O420" s="7">
        <f t="shared" si="57"/>
        <v>31.663993584756664</v>
      </c>
    </row>
    <row r="421" spans="3:15" x14ac:dyDescent="0.2">
      <c r="C421">
        <v>402</v>
      </c>
      <c r="D421" s="7">
        <v>3252.1410326721784</v>
      </c>
      <c r="E421" s="7">
        <f t="shared" si="50"/>
        <v>97.253021311967061</v>
      </c>
      <c r="F421" s="7">
        <f t="shared" si="51"/>
        <v>262.61851273102957</v>
      </c>
      <c r="G421" s="7">
        <v>2914.9404011676697</v>
      </c>
      <c r="H421" s="7">
        <f t="shared" si="52"/>
        <v>69.735416295877272</v>
      </c>
      <c r="I421" s="7">
        <f t="shared" si="53"/>
        <v>151.54215329749195</v>
      </c>
      <c r="J421" s="7">
        <v>2590.8336259363246</v>
      </c>
      <c r="K421" s="7">
        <f t="shared" si="54"/>
        <v>41.321110461504382</v>
      </c>
      <c r="L421" s="7">
        <f t="shared" si="55"/>
        <v>155.5331385163407</v>
      </c>
      <c r="M421" s="7">
        <v>1050.233823089219</v>
      </c>
      <c r="N421" s="7">
        <f t="shared" si="56"/>
        <v>83.750703595631506</v>
      </c>
      <c r="O421" s="7">
        <f t="shared" si="57"/>
        <v>31.702571241654706</v>
      </c>
    </row>
    <row r="422" spans="3:15" x14ac:dyDescent="0.2">
      <c r="C422">
        <v>403</v>
      </c>
      <c r="D422" s="7">
        <v>3256.7781376910598</v>
      </c>
      <c r="E422" s="7">
        <f t="shared" si="50"/>
        <v>97.391690720426439</v>
      </c>
      <c r="F422" s="7">
        <f t="shared" si="51"/>
        <v>262.9929705454976</v>
      </c>
      <c r="G422" s="7">
        <v>2913.0827862957776</v>
      </c>
      <c r="H422" s="7">
        <f t="shared" si="52"/>
        <v>69.690975748702812</v>
      </c>
      <c r="I422" s="7">
        <f t="shared" si="53"/>
        <v>151.4455794678619</v>
      </c>
      <c r="J422" s="7">
        <v>3128.9865165258834</v>
      </c>
      <c r="K422" s="7">
        <f t="shared" si="54"/>
        <v>49.904091172661623</v>
      </c>
      <c r="L422" s="7">
        <f t="shared" si="55"/>
        <v>187.83957735406645</v>
      </c>
      <c r="M422" s="7">
        <v>1052.0914379611108</v>
      </c>
      <c r="N422" s="7">
        <f t="shared" si="56"/>
        <v>83.898838752879655</v>
      </c>
      <c r="O422" s="7">
        <f t="shared" si="57"/>
        <v>31.75864558102656</v>
      </c>
    </row>
    <row r="423" spans="3:15" x14ac:dyDescent="0.2">
      <c r="C423">
        <v>404</v>
      </c>
      <c r="D423" s="7">
        <v>3261.3971916645787</v>
      </c>
      <c r="E423" s="7">
        <f t="shared" si="50"/>
        <v>97.529820324897699</v>
      </c>
      <c r="F423" s="7">
        <f t="shared" si="51"/>
        <v>263.36597069295834</v>
      </c>
      <c r="G423" s="7">
        <v>2910.8405219509632</v>
      </c>
      <c r="H423" s="7">
        <f t="shared" si="52"/>
        <v>69.637333061027832</v>
      </c>
      <c r="I423" s="7">
        <f t="shared" si="53"/>
        <v>151.32900845085615</v>
      </c>
      <c r="J423" s="7">
        <v>3124.3674625523645</v>
      </c>
      <c r="K423" s="7">
        <f t="shared" si="54"/>
        <v>49.830422050276951</v>
      </c>
      <c r="L423" s="7">
        <f t="shared" si="55"/>
        <v>187.5622859238928</v>
      </c>
      <c r="M423" s="7">
        <v>1054.333702305925</v>
      </c>
      <c r="N423" s="7">
        <f t="shared" si="56"/>
        <v>84.07764771179626</v>
      </c>
      <c r="O423" s="7">
        <f t="shared" si="57"/>
        <v>31.826331027420771</v>
      </c>
    </row>
    <row r="424" spans="3:15" x14ac:dyDescent="0.2">
      <c r="C424">
        <v>405</v>
      </c>
      <c r="D424" s="7">
        <v>3265.9977724594014</v>
      </c>
      <c r="E424" s="7">
        <f t="shared" si="50"/>
        <v>97.667397501776364</v>
      </c>
      <c r="F424" s="7">
        <f t="shared" si="51"/>
        <v>263.73747908509057</v>
      </c>
      <c r="G424" s="7">
        <v>2908.3649713078576</v>
      </c>
      <c r="H424" s="7">
        <f t="shared" si="52"/>
        <v>69.578109361431999</v>
      </c>
      <c r="I424" s="7">
        <f t="shared" si="53"/>
        <v>151.20030932722983</v>
      </c>
      <c r="J424" s="7">
        <v>3439.0551144683891</v>
      </c>
      <c r="K424" s="7">
        <f t="shared" si="54"/>
        <v>54.84936386711945</v>
      </c>
      <c r="L424" s="7">
        <f t="shared" si="55"/>
        <v>206.45364107107972</v>
      </c>
      <c r="M424" s="7">
        <v>1056.8092529490307</v>
      </c>
      <c r="N424" s="7">
        <f t="shared" si="56"/>
        <v>84.275060043782361</v>
      </c>
      <c r="O424" s="7">
        <f t="shared" si="57"/>
        <v>31.901058501341325</v>
      </c>
    </row>
    <row r="425" spans="3:15" x14ac:dyDescent="0.2">
      <c r="C425">
        <v>406</v>
      </c>
      <c r="D425" s="7">
        <v>3270.579671094627</v>
      </c>
      <c r="E425" s="7">
        <f t="shared" si="50"/>
        <v>97.804416001633584</v>
      </c>
      <c r="F425" s="7">
        <f t="shared" si="51"/>
        <v>264.10747884616444</v>
      </c>
      <c r="G425" s="7">
        <v>2906.2168607796311</v>
      </c>
      <c r="H425" s="7">
        <f t="shared" si="52"/>
        <v>69.526719157407442</v>
      </c>
      <c r="I425" s="7">
        <f t="shared" si="53"/>
        <v>151.08863318632552</v>
      </c>
      <c r="J425" s="7">
        <v>2604.3238107849611</v>
      </c>
      <c r="K425" s="7">
        <f t="shared" si="54"/>
        <v>41.536264924800022</v>
      </c>
      <c r="L425" s="7">
        <f t="shared" si="55"/>
        <v>156.3429824089279</v>
      </c>
      <c r="M425" s="7">
        <v>1058.9573634772573</v>
      </c>
      <c r="N425" s="7">
        <f t="shared" si="56"/>
        <v>84.446360723864231</v>
      </c>
      <c r="O425" s="7">
        <f t="shared" si="57"/>
        <v>31.96590180152732</v>
      </c>
    </row>
    <row r="426" spans="3:15" x14ac:dyDescent="0.2">
      <c r="C426">
        <v>407</v>
      </c>
      <c r="D426" s="7">
        <v>3271.0084334227945</v>
      </c>
      <c r="E426" s="7">
        <f t="shared" si="50"/>
        <v>97.817237841590753</v>
      </c>
      <c r="F426" s="7">
        <f t="shared" si="51"/>
        <v>264.14210247527745</v>
      </c>
      <c r="G426" s="7">
        <v>0</v>
      </c>
      <c r="H426" s="7">
        <f t="shared" si="52"/>
        <v>0</v>
      </c>
      <c r="I426" s="7">
        <f t="shared" si="53"/>
        <v>0</v>
      </c>
      <c r="J426" s="7">
        <v>1773.7456434085911</v>
      </c>
      <c r="K426" s="7">
        <f t="shared" si="54"/>
        <v>28.289404201093959</v>
      </c>
      <c r="L426" s="7">
        <f t="shared" si="55"/>
        <v>106.48164516906132</v>
      </c>
      <c r="M426" s="7">
        <v>0</v>
      </c>
      <c r="N426" s="7">
        <f t="shared" si="56"/>
        <v>0</v>
      </c>
      <c r="O426" s="7">
        <f t="shared" si="57"/>
        <v>0</v>
      </c>
    </row>
    <row r="427" spans="3:15" x14ac:dyDescent="0.2">
      <c r="C427">
        <v>408</v>
      </c>
      <c r="D427" s="7">
        <v>3269.0568931158241</v>
      </c>
      <c r="E427" s="7">
        <f t="shared" si="50"/>
        <v>97.758878382650252</v>
      </c>
      <c r="F427" s="7">
        <f t="shared" si="51"/>
        <v>263.98451072024523</v>
      </c>
      <c r="G427" s="7">
        <v>0</v>
      </c>
      <c r="H427" s="7">
        <f t="shared" si="52"/>
        <v>0</v>
      </c>
      <c r="I427" s="7">
        <f t="shared" si="53"/>
        <v>0</v>
      </c>
      <c r="J427" s="7">
        <v>945.54777866735822</v>
      </c>
      <c r="K427" s="7">
        <f t="shared" si="54"/>
        <v>15.080506836799973</v>
      </c>
      <c r="L427" s="7">
        <f t="shared" si="55"/>
        <v>56.763202453858739</v>
      </c>
      <c r="M427" s="7">
        <v>0</v>
      </c>
      <c r="N427" s="7">
        <f t="shared" si="56"/>
        <v>0</v>
      </c>
      <c r="O427" s="7">
        <f t="shared" si="57"/>
        <v>0</v>
      </c>
    </row>
    <row r="428" spans="3:15" x14ac:dyDescent="0.2">
      <c r="C428">
        <v>409</v>
      </c>
      <c r="D428" s="7">
        <v>2713.9499780422011</v>
      </c>
      <c r="E428" s="7">
        <f t="shared" si="50"/>
        <v>81.158791209395972</v>
      </c>
      <c r="F428" s="7">
        <f t="shared" si="51"/>
        <v>219.15824058657853</v>
      </c>
      <c r="G428" s="7">
        <v>0</v>
      </c>
      <c r="H428" s="7">
        <f t="shared" si="52"/>
        <v>0</v>
      </c>
      <c r="I428" s="7">
        <f t="shared" si="53"/>
        <v>0</v>
      </c>
      <c r="J428" s="7">
        <v>0</v>
      </c>
      <c r="K428" s="7">
        <f t="shared" si="54"/>
        <v>0</v>
      </c>
      <c r="L428" s="7">
        <f t="shared" si="55"/>
        <v>0</v>
      </c>
      <c r="M428" s="7">
        <v>0</v>
      </c>
      <c r="N428" s="7">
        <f t="shared" si="56"/>
        <v>0</v>
      </c>
      <c r="O428" s="7">
        <f t="shared" si="57"/>
        <v>0</v>
      </c>
    </row>
    <row r="429" spans="3:15" x14ac:dyDescent="0.2">
      <c r="C429">
        <v>410</v>
      </c>
      <c r="D429" s="7">
        <v>2554.3058616867775</v>
      </c>
      <c r="E429" s="7">
        <f t="shared" si="50"/>
        <v>76.384744667666794</v>
      </c>
      <c r="F429" s="7">
        <f t="shared" si="51"/>
        <v>206.2665793756033</v>
      </c>
      <c r="G429" s="7">
        <v>0</v>
      </c>
      <c r="H429" s="7">
        <f t="shared" si="52"/>
        <v>0</v>
      </c>
      <c r="I429" s="7">
        <f t="shared" si="53"/>
        <v>0</v>
      </c>
      <c r="J429" s="7">
        <v>0</v>
      </c>
      <c r="K429" s="7">
        <f t="shared" si="54"/>
        <v>0</v>
      </c>
      <c r="L429" s="7">
        <f t="shared" si="55"/>
        <v>0</v>
      </c>
      <c r="M429" s="7">
        <v>0</v>
      </c>
      <c r="N429" s="7">
        <f t="shared" si="56"/>
        <v>0</v>
      </c>
      <c r="O429" s="7">
        <f t="shared" si="57"/>
        <v>0</v>
      </c>
    </row>
    <row r="430" spans="3:15" x14ac:dyDescent="0.2">
      <c r="C430">
        <v>411</v>
      </c>
      <c r="D430" s="7">
        <v>2713.9499780422011</v>
      </c>
      <c r="E430" s="7">
        <f t="shared" si="50"/>
        <v>81.158791209395972</v>
      </c>
      <c r="F430" s="7">
        <f t="shared" si="51"/>
        <v>219.15824058657853</v>
      </c>
      <c r="G430" s="7">
        <v>0</v>
      </c>
      <c r="H430" s="7">
        <f t="shared" si="52"/>
        <v>0</v>
      </c>
      <c r="I430" s="7">
        <f t="shared" si="53"/>
        <v>0</v>
      </c>
      <c r="J430" s="7">
        <v>0</v>
      </c>
      <c r="K430" s="7">
        <f t="shared" si="54"/>
        <v>0</v>
      </c>
      <c r="L430" s="7">
        <f t="shared" si="55"/>
        <v>0</v>
      </c>
      <c r="M430" s="7">
        <v>0</v>
      </c>
      <c r="N430" s="7">
        <f t="shared" si="56"/>
        <v>0</v>
      </c>
      <c r="O430" s="7">
        <f t="shared" si="57"/>
        <v>0</v>
      </c>
    </row>
    <row r="431" spans="3:15" x14ac:dyDescent="0.2">
      <c r="C431">
        <v>412</v>
      </c>
      <c r="D431" s="7">
        <v>2873.5940943976243</v>
      </c>
      <c r="E431" s="7">
        <f t="shared" si="50"/>
        <v>85.932837751125135</v>
      </c>
      <c r="F431" s="7">
        <f t="shared" si="51"/>
        <v>232.0499017975537</v>
      </c>
      <c r="G431" s="7">
        <v>0</v>
      </c>
      <c r="H431" s="7">
        <f t="shared" si="52"/>
        <v>0</v>
      </c>
      <c r="I431" s="7">
        <f t="shared" si="53"/>
        <v>0</v>
      </c>
      <c r="J431" s="7">
        <v>0</v>
      </c>
      <c r="K431" s="7">
        <f t="shared" si="54"/>
        <v>0</v>
      </c>
      <c r="L431" s="7">
        <f t="shared" si="55"/>
        <v>0</v>
      </c>
      <c r="M431" s="7">
        <v>0</v>
      </c>
      <c r="N431" s="7">
        <f t="shared" si="56"/>
        <v>0</v>
      </c>
      <c r="O431" s="7">
        <f t="shared" si="57"/>
        <v>0</v>
      </c>
    </row>
    <row r="432" spans="3:15" x14ac:dyDescent="0.2">
      <c r="C432">
        <v>413</v>
      </c>
      <c r="D432" s="7">
        <v>3192.8823271084716</v>
      </c>
      <c r="E432" s="7">
        <f t="shared" si="50"/>
        <v>95.480930834583489</v>
      </c>
      <c r="F432" s="7">
        <f t="shared" si="51"/>
        <v>257.83322421950413</v>
      </c>
      <c r="G432" s="7">
        <v>0</v>
      </c>
      <c r="H432" s="7">
        <f t="shared" si="52"/>
        <v>0</v>
      </c>
      <c r="I432" s="7">
        <f t="shared" si="53"/>
        <v>0</v>
      </c>
      <c r="J432" s="7">
        <v>0</v>
      </c>
      <c r="K432" s="7">
        <f t="shared" si="54"/>
        <v>0</v>
      </c>
      <c r="L432" s="7">
        <f t="shared" si="55"/>
        <v>0</v>
      </c>
      <c r="M432" s="7">
        <v>0</v>
      </c>
      <c r="N432" s="7">
        <f t="shared" si="56"/>
        <v>0</v>
      </c>
      <c r="O432" s="7">
        <f t="shared" si="57"/>
        <v>0</v>
      </c>
    </row>
    <row r="433" spans="3:15" x14ac:dyDescent="0.2">
      <c r="C433">
        <v>414</v>
      </c>
      <c r="D433" s="7">
        <v>3262.3117345132205</v>
      </c>
      <c r="E433" s="7">
        <f t="shared" si="50"/>
        <v>97.557169094294878</v>
      </c>
      <c r="F433" s="7">
        <f t="shared" si="51"/>
        <v>263.43982231265323</v>
      </c>
      <c r="G433" s="7">
        <v>0</v>
      </c>
      <c r="H433" s="7">
        <f t="shared" si="52"/>
        <v>0</v>
      </c>
      <c r="I433" s="7">
        <f t="shared" si="53"/>
        <v>0</v>
      </c>
      <c r="J433" s="7">
        <v>143.42941440248251</v>
      </c>
      <c r="K433" s="7">
        <f t="shared" si="54"/>
        <v>2.2875504689391151</v>
      </c>
      <c r="L433" s="7">
        <f t="shared" si="55"/>
        <v>8.61036646825087</v>
      </c>
      <c r="M433" s="7">
        <v>0</v>
      </c>
      <c r="N433" s="7">
        <f t="shared" si="56"/>
        <v>0</v>
      </c>
      <c r="O433" s="7">
        <f t="shared" si="57"/>
        <v>0</v>
      </c>
    </row>
    <row r="434" spans="3:15" x14ac:dyDescent="0.2">
      <c r="C434">
        <v>415</v>
      </c>
      <c r="D434" s="7">
        <v>3262.8487299744638</v>
      </c>
      <c r="E434" s="7">
        <f t="shared" si="50"/>
        <v>97.573227571006697</v>
      </c>
      <c r="F434" s="7">
        <f t="shared" si="51"/>
        <v>263.48318603764494</v>
      </c>
      <c r="G434" s="7">
        <v>2906.4186316262289</v>
      </c>
      <c r="H434" s="7">
        <f t="shared" si="52"/>
        <v>69.53154621115381</v>
      </c>
      <c r="I434" s="7">
        <f t="shared" si="53"/>
        <v>151.0991228651381</v>
      </c>
      <c r="J434" s="7">
        <v>355.75124074847008</v>
      </c>
      <c r="K434" s="7">
        <f t="shared" si="54"/>
        <v>5.6738634888113255</v>
      </c>
      <c r="L434" s="7">
        <f t="shared" si="55"/>
        <v>21.356487908286766</v>
      </c>
      <c r="M434" s="7">
        <v>1058.7555926306595</v>
      </c>
      <c r="N434" s="7">
        <f t="shared" si="56"/>
        <v>84.4302705447097</v>
      </c>
      <c r="O434" s="7">
        <f t="shared" si="57"/>
        <v>31.959811105819249</v>
      </c>
    </row>
    <row r="435" spans="3:15" x14ac:dyDescent="0.2">
      <c r="C435">
        <v>416</v>
      </c>
      <c r="D435" s="7">
        <v>3267.523410897918</v>
      </c>
      <c r="E435" s="7">
        <f t="shared" si="50"/>
        <v>97.713020660822906</v>
      </c>
      <c r="F435" s="7">
        <f t="shared" si="51"/>
        <v>263.8606782002775</v>
      </c>
      <c r="G435" s="7">
        <v>2907.4598919659129</v>
      </c>
      <c r="H435" s="7">
        <f t="shared" si="52"/>
        <v>69.556456745596009</v>
      </c>
      <c r="I435" s="7">
        <f t="shared" si="53"/>
        <v>151.15325599045204</v>
      </c>
      <c r="J435" s="7">
        <v>563.93538163224775</v>
      </c>
      <c r="K435" s="7">
        <f t="shared" si="54"/>
        <v>8.9941847150278758</v>
      </c>
      <c r="L435" s="7">
        <f t="shared" si="55"/>
        <v>33.854215472433246</v>
      </c>
      <c r="M435" s="7">
        <v>1057.7143322909756</v>
      </c>
      <c r="N435" s="7">
        <f t="shared" si="56"/>
        <v>84.347235429902369</v>
      </c>
      <c r="O435" s="7">
        <f t="shared" si="57"/>
        <v>31.928379409968091</v>
      </c>
    </row>
    <row r="436" spans="3:15" x14ac:dyDescent="0.2">
      <c r="C436">
        <v>417</v>
      </c>
      <c r="D436" s="7">
        <v>3272.1865295573079</v>
      </c>
      <c r="E436" s="7">
        <f t="shared" si="50"/>
        <v>97.852467989153951</v>
      </c>
      <c r="F436" s="7">
        <f t="shared" si="51"/>
        <v>264.23723668120266</v>
      </c>
      <c r="G436" s="7">
        <v>2908.1915740665995</v>
      </c>
      <c r="H436" s="7">
        <f t="shared" si="52"/>
        <v>69.573961102071763</v>
      </c>
      <c r="I436" s="7">
        <f t="shared" si="53"/>
        <v>151.19129473766719</v>
      </c>
      <c r="J436" s="7">
        <v>772.13108478008871</v>
      </c>
      <c r="K436" s="7">
        <f t="shared" si="54"/>
        <v>12.314690347369837</v>
      </c>
      <c r="L436" s="7">
        <f t="shared" si="55"/>
        <v>46.352637143372277</v>
      </c>
      <c r="M436" s="7">
        <v>1056.982650190289</v>
      </c>
      <c r="N436" s="7">
        <f t="shared" si="56"/>
        <v>84.288887574983178</v>
      </c>
      <c r="O436" s="7">
        <f t="shared" si="57"/>
        <v>31.906292705642542</v>
      </c>
    </row>
    <row r="437" spans="3:15" x14ac:dyDescent="0.2">
      <c r="C437">
        <v>418</v>
      </c>
      <c r="D437" s="7">
        <v>3276.8374149641327</v>
      </c>
      <c r="E437" s="7">
        <f t="shared" si="50"/>
        <v>97.99154949055422</v>
      </c>
      <c r="F437" s="7">
        <f t="shared" si="51"/>
        <v>264.61280729642266</v>
      </c>
      <c r="G437" s="7">
        <v>2908.6140615901095</v>
      </c>
      <c r="H437" s="7">
        <f t="shared" si="52"/>
        <v>69.58406845909353</v>
      </c>
      <c r="I437" s="7">
        <f t="shared" si="53"/>
        <v>151.21325905262484</v>
      </c>
      <c r="J437" s="7">
        <v>980.33902118049582</v>
      </c>
      <c r="K437" s="7">
        <f t="shared" si="54"/>
        <v>15.635391087408228</v>
      </c>
      <c r="L437" s="7">
        <f t="shared" si="55"/>
        <v>58.851793201941163</v>
      </c>
      <c r="M437" s="7">
        <v>1056.5601626667792</v>
      </c>
      <c r="N437" s="7">
        <f t="shared" si="56"/>
        <v>84.255196384910633</v>
      </c>
      <c r="O437" s="7">
        <f t="shared" si="57"/>
        <v>31.89353941154906</v>
      </c>
    </row>
    <row r="438" spans="3:15" x14ac:dyDescent="0.2">
      <c r="C438">
        <v>419</v>
      </c>
      <c r="D438" s="7">
        <v>3281.4754001750184</v>
      </c>
      <c r="E438" s="7">
        <f t="shared" si="50"/>
        <v>98.130245220544822</v>
      </c>
      <c r="F438" s="7">
        <f t="shared" si="51"/>
        <v>264.98733618859387</v>
      </c>
      <c r="G438" s="7">
        <v>2908.7277650365959</v>
      </c>
      <c r="H438" s="7">
        <f t="shared" si="52"/>
        <v>69.586788637239138</v>
      </c>
      <c r="I438" s="7">
        <f t="shared" si="53"/>
        <v>151.21917027643954</v>
      </c>
      <c r="J438" s="7">
        <v>1188.5598577768419</v>
      </c>
      <c r="K438" s="7">
        <f t="shared" si="54"/>
        <v>18.956297572198437</v>
      </c>
      <c r="L438" s="7">
        <f t="shared" si="55"/>
        <v>71.351723686139607</v>
      </c>
      <c r="M438" s="7">
        <v>1056.4464592202928</v>
      </c>
      <c r="N438" s="7">
        <f t="shared" si="56"/>
        <v>84.246129124425266</v>
      </c>
      <c r="O438" s="7">
        <f t="shared" si="57"/>
        <v>31.89010713624673</v>
      </c>
    </row>
    <row r="439" spans="3:15" x14ac:dyDescent="0.2">
      <c r="C439">
        <v>420</v>
      </c>
      <c r="D439" s="7">
        <v>3286.0998223375632</v>
      </c>
      <c r="E439" s="7">
        <f t="shared" si="50"/>
        <v>98.268535356984557</v>
      </c>
      <c r="F439" s="7">
        <f t="shared" si="51"/>
        <v>265.360769830729</v>
      </c>
      <c r="G439" s="7">
        <v>2908.5331216719774</v>
      </c>
      <c r="H439" s="7">
        <f t="shared" si="52"/>
        <v>69.582132097415737</v>
      </c>
      <c r="I439" s="7">
        <f t="shared" si="53"/>
        <v>151.20905114172672</v>
      </c>
      <c r="J439" s="7">
        <v>1396.7942574215281</v>
      </c>
      <c r="K439" s="7">
        <f t="shared" si="54"/>
        <v>22.277420373549095</v>
      </c>
      <c r="L439" s="7">
        <f t="shared" si="55"/>
        <v>83.852468388377773</v>
      </c>
      <c r="M439" s="7">
        <v>1056.6411025849111</v>
      </c>
      <c r="N439" s="7">
        <f t="shared" si="56"/>
        <v>84.261650923836612</v>
      </c>
      <c r="O439" s="7">
        <f t="shared" si="57"/>
        <v>31.895982680337834</v>
      </c>
    </row>
    <row r="440" spans="3:15" x14ac:dyDescent="0.2">
      <c r="C440">
        <v>421</v>
      </c>
      <c r="D440" s="7">
        <v>3290.7100227357691</v>
      </c>
      <c r="E440" s="7">
        <f t="shared" si="50"/>
        <v>98.406400201428511</v>
      </c>
      <c r="F440" s="7">
        <f t="shared" si="51"/>
        <v>265.73305502986568</v>
      </c>
      <c r="G440" s="7">
        <v>2908.0305954530818</v>
      </c>
      <c r="H440" s="7">
        <f t="shared" si="52"/>
        <v>69.570109939068942</v>
      </c>
      <c r="I440" s="7">
        <f t="shared" si="53"/>
        <v>151.1829257687107</v>
      </c>
      <c r="J440" s="7">
        <v>1605.042878830553</v>
      </c>
      <c r="K440" s="7">
        <f t="shared" si="54"/>
        <v>25.598769997297499</v>
      </c>
      <c r="L440" s="7">
        <f t="shared" si="55"/>
        <v>96.354066852748986</v>
      </c>
      <c r="M440" s="7">
        <v>1057.1436288038067</v>
      </c>
      <c r="N440" s="7">
        <f t="shared" si="56"/>
        <v>84.301724784992558</v>
      </c>
      <c r="O440" s="7">
        <f t="shared" si="57"/>
        <v>31.911152038727451</v>
      </c>
    </row>
    <row r="441" spans="3:15" x14ac:dyDescent="0.2">
      <c r="C441">
        <v>422</v>
      </c>
      <c r="D441" s="7">
        <v>3295.3053468350663</v>
      </c>
      <c r="E441" s="7">
        <f t="shared" si="50"/>
        <v>98.543820180474484</v>
      </c>
      <c r="F441" s="7">
        <f t="shared" si="51"/>
        <v>266.10413893070216</v>
      </c>
      <c r="G441" s="7">
        <v>2907.2206769505219</v>
      </c>
      <c r="H441" s="7">
        <f t="shared" si="52"/>
        <v>69.550733898337853</v>
      </c>
      <c r="I441" s="7">
        <f t="shared" si="53"/>
        <v>151.14081966121563</v>
      </c>
      <c r="J441" s="7">
        <v>1813.3063765384886</v>
      </c>
      <c r="K441" s="7">
        <f t="shared" si="54"/>
        <v>28.920356882591527</v>
      </c>
      <c r="L441" s="7">
        <f t="shared" si="55"/>
        <v>108.8565583723268</v>
      </c>
      <c r="M441" s="7">
        <v>1057.9535473063665</v>
      </c>
      <c r="N441" s="7">
        <f t="shared" si="56"/>
        <v>84.36631158742955</v>
      </c>
      <c r="O441" s="7">
        <f t="shared" si="57"/>
        <v>31.935600402951536</v>
      </c>
    </row>
    <row r="442" spans="3:15" x14ac:dyDescent="0.2">
      <c r="C442">
        <v>423</v>
      </c>
      <c r="D442" s="7">
        <v>3299.8853326181579</v>
      </c>
      <c r="E442" s="7">
        <f t="shared" si="50"/>
        <v>98.680781477815728</v>
      </c>
      <c r="F442" s="7">
        <f t="shared" si="51"/>
        <v>266.47398422418763</v>
      </c>
      <c r="G442" s="7">
        <v>2906.3551944904757</v>
      </c>
      <c r="H442" s="7">
        <f t="shared" si="52"/>
        <v>69.530028576327169</v>
      </c>
      <c r="I442" s="7">
        <f t="shared" si="53"/>
        <v>151.09582489028165</v>
      </c>
      <c r="J442" s="7">
        <v>1649.0822743999724</v>
      </c>
      <c r="K442" s="7">
        <f t="shared" si="54"/>
        <v>26.301152701753949</v>
      </c>
      <c r="L442" s="7">
        <f t="shared" si="55"/>
        <v>98.997843490007583</v>
      </c>
      <c r="M442" s="7">
        <v>1058.8190297664125</v>
      </c>
      <c r="N442" s="7">
        <f t="shared" si="56"/>
        <v>84.435329327465126</v>
      </c>
      <c r="O442" s="7">
        <f t="shared" si="57"/>
        <v>31.961726032068398</v>
      </c>
    </row>
    <row r="443" spans="3:15" x14ac:dyDescent="0.2">
      <c r="C443">
        <v>424</v>
      </c>
      <c r="D443" s="7">
        <v>3304.4500041986253</v>
      </c>
      <c r="E443" s="7">
        <f t="shared" si="50"/>
        <v>98.817284814552195</v>
      </c>
      <c r="F443" s="7">
        <f t="shared" si="51"/>
        <v>266.842592857554</v>
      </c>
      <c r="G443" s="7">
        <v>2905.3264593248168</v>
      </c>
      <c r="H443" s="7">
        <f t="shared" si="52"/>
        <v>69.505417687196584</v>
      </c>
      <c r="I443" s="7">
        <f t="shared" si="53"/>
        <v>151.04234292471068</v>
      </c>
      <c r="J443" s="7">
        <v>2017.0205409821615</v>
      </c>
      <c r="K443" s="7">
        <f t="shared" si="54"/>
        <v>32.16938661853527</v>
      </c>
      <c r="L443" s="7">
        <f t="shared" si="55"/>
        <v>121.08594394111559</v>
      </c>
      <c r="M443" s="7">
        <v>1059.8477649320714</v>
      </c>
      <c r="N443" s="7">
        <f t="shared" si="56"/>
        <v>84.517365624567105</v>
      </c>
      <c r="O443" s="7">
        <f t="shared" si="57"/>
        <v>31.99277964047549</v>
      </c>
    </row>
    <row r="444" spans="3:15" x14ac:dyDescent="0.2">
      <c r="C444">
        <v>425</v>
      </c>
      <c r="D444" s="7">
        <v>3308.9984992513582</v>
      </c>
      <c r="E444" s="7">
        <f t="shared" si="50"/>
        <v>98.953304403449721</v>
      </c>
      <c r="F444" s="7">
        <f t="shared" si="51"/>
        <v>267.20989519589438</v>
      </c>
      <c r="G444" s="7">
        <v>2903.7759552208863</v>
      </c>
      <c r="H444" s="7">
        <f t="shared" si="52"/>
        <v>69.468324287581012</v>
      </c>
      <c r="I444" s="7">
        <f t="shared" si="53"/>
        <v>150.96173519409902</v>
      </c>
      <c r="J444" s="7">
        <v>2384.9749840920831</v>
      </c>
      <c r="K444" s="7">
        <f t="shared" si="54"/>
        <v>38.037878534164008</v>
      </c>
      <c r="L444" s="7">
        <f t="shared" si="55"/>
        <v>143.17501550287437</v>
      </c>
      <c r="M444" s="7">
        <v>1061.3982690360019</v>
      </c>
      <c r="N444" s="7">
        <f t="shared" si="56"/>
        <v>84.641010289952305</v>
      </c>
      <c r="O444" s="7">
        <f t="shared" si="57"/>
        <v>32.039583471902993</v>
      </c>
    </row>
    <row r="445" spans="3:15" x14ac:dyDescent="0.2">
      <c r="C445">
        <v>426</v>
      </c>
      <c r="D445" s="7">
        <v>3313.5296929180367</v>
      </c>
      <c r="E445" s="7">
        <f t="shared" si="50"/>
        <v>99.088806606400624</v>
      </c>
      <c r="F445" s="7">
        <f t="shared" si="51"/>
        <v>267.57580040408936</v>
      </c>
      <c r="G445" s="7">
        <v>2901.7045882385382</v>
      </c>
      <c r="H445" s="7">
        <f t="shared" si="52"/>
        <v>69.418770053553544</v>
      </c>
      <c r="I445" s="7">
        <f t="shared" si="53"/>
        <v>150.85404880275854</v>
      </c>
      <c r="J445" s="7">
        <v>2752.9467285880592</v>
      </c>
      <c r="K445" s="7">
        <f t="shared" si="54"/>
        <v>43.906646388964262</v>
      </c>
      <c r="L445" s="7">
        <f t="shared" si="55"/>
        <v>165.26512570287173</v>
      </c>
      <c r="M445" s="7">
        <v>1063.4696360183502</v>
      </c>
      <c r="N445" s="7">
        <f t="shared" si="56"/>
        <v>84.80619107004388</v>
      </c>
      <c r="O445" s="7">
        <f t="shared" si="57"/>
        <v>32.102110175844359</v>
      </c>
    </row>
    <row r="446" spans="3:15" x14ac:dyDescent="0.2">
      <c r="C446">
        <v>427</v>
      </c>
      <c r="D446" s="7">
        <v>3318.0428778972414</v>
      </c>
      <c r="E446" s="7">
        <f t="shared" si="50"/>
        <v>99.223770272046693</v>
      </c>
      <c r="F446" s="7">
        <f t="shared" si="51"/>
        <v>267.94025136578239</v>
      </c>
      <c r="G446" s="7">
        <v>2899.660808711179</v>
      </c>
      <c r="H446" s="7">
        <f t="shared" si="52"/>
        <v>69.369875806487542</v>
      </c>
      <c r="I446" s="7">
        <f t="shared" si="53"/>
        <v>150.74779663022107</v>
      </c>
      <c r="J446" s="7">
        <v>2309.4122236314402</v>
      </c>
      <c r="K446" s="7">
        <f t="shared" si="54"/>
        <v>36.832730839416911</v>
      </c>
      <c r="L446" s="7">
        <f t="shared" si="55"/>
        <v>138.63882561721354</v>
      </c>
      <c r="M446" s="7">
        <v>1065.5134155457097</v>
      </c>
      <c r="N446" s="7">
        <f t="shared" si="56"/>
        <v>84.969171893597263</v>
      </c>
      <c r="O446" s="7">
        <f t="shared" si="57"/>
        <v>32.163804119272847</v>
      </c>
    </row>
    <row r="447" spans="3:15" x14ac:dyDescent="0.2">
      <c r="C447">
        <v>428</v>
      </c>
      <c r="D447" s="7">
        <v>3322.5389900885643</v>
      </c>
      <c r="E447" s="7">
        <f t="shared" si="50"/>
        <v>99.358223387815926</v>
      </c>
      <c r="F447" s="7">
        <f t="shared" si="51"/>
        <v>268.30332365720358</v>
      </c>
      <c r="G447" s="7">
        <v>2898.1919624654065</v>
      </c>
      <c r="H447" s="7">
        <f t="shared" si="52"/>
        <v>69.334735944148491</v>
      </c>
      <c r="I447" s="7">
        <f t="shared" si="53"/>
        <v>150.67143413483075</v>
      </c>
      <c r="J447" s="7">
        <v>1865.894791462702</v>
      </c>
      <c r="K447" s="7">
        <f t="shared" si="54"/>
        <v>29.759087583137195</v>
      </c>
      <c r="L447" s="7">
        <f t="shared" si="55"/>
        <v>112.01355044656952</v>
      </c>
      <c r="M447" s="7">
        <v>1066.9822617914822</v>
      </c>
      <c r="N447" s="7">
        <f t="shared" si="56"/>
        <v>85.086304768060785</v>
      </c>
      <c r="O447" s="7">
        <f t="shared" si="57"/>
        <v>32.208143010028309</v>
      </c>
    </row>
    <row r="448" spans="3:15" x14ac:dyDescent="0.2">
      <c r="C448">
        <v>429</v>
      </c>
      <c r="D448" s="7">
        <v>3327.0193691441691</v>
      </c>
      <c r="E448" s="7">
        <f t="shared" si="50"/>
        <v>99.492206015076832</v>
      </c>
      <c r="F448" s="7">
        <f t="shared" si="51"/>
        <v>268.66512545861173</v>
      </c>
      <c r="G448" s="7">
        <v>2897.2972951249021</v>
      </c>
      <c r="H448" s="7">
        <f t="shared" si="52"/>
        <v>69.313332419256042</v>
      </c>
      <c r="I448" s="7">
        <f t="shared" si="53"/>
        <v>150.6249220980115</v>
      </c>
      <c r="J448" s="7">
        <v>1422.3930924296819</v>
      </c>
      <c r="K448" s="7">
        <f t="shared" si="54"/>
        <v>22.685695254061915</v>
      </c>
      <c r="L448" s="7">
        <f t="shared" si="55"/>
        <v>85.389219768830174</v>
      </c>
      <c r="M448" s="7">
        <v>1067.8769291319861</v>
      </c>
      <c r="N448" s="7">
        <f t="shared" si="56"/>
        <v>85.157649851035586</v>
      </c>
      <c r="O448" s="7">
        <f t="shared" si="57"/>
        <v>32.235149619867322</v>
      </c>
    </row>
    <row r="449" spans="3:15" x14ac:dyDescent="0.2">
      <c r="C449">
        <v>430</v>
      </c>
      <c r="D449" s="7">
        <v>3331.4853469242903</v>
      </c>
      <c r="E449" s="7">
        <f t="shared" si="50"/>
        <v>99.625757982185718</v>
      </c>
      <c r="F449" s="7">
        <f t="shared" si="51"/>
        <v>269.02576432104803</v>
      </c>
      <c r="G449" s="7">
        <v>2896.9760026634476</v>
      </c>
      <c r="H449" s="7">
        <f t="shared" si="52"/>
        <v>69.305645996733205</v>
      </c>
      <c r="I449" s="7">
        <f t="shared" si="53"/>
        <v>150.60821871998442</v>
      </c>
      <c r="J449" s="7">
        <v>978.90579467214729</v>
      </c>
      <c r="K449" s="7">
        <f t="shared" si="54"/>
        <v>15.612532610401074</v>
      </c>
      <c r="L449" s="7">
        <f t="shared" si="55"/>
        <v>58.765753629651861</v>
      </c>
      <c r="M449" s="7">
        <v>1068.1982215934411</v>
      </c>
      <c r="N449" s="7">
        <f t="shared" si="56"/>
        <v>85.183271259445064</v>
      </c>
      <c r="O449" s="7">
        <f t="shared" si="57"/>
        <v>32.244848219288471</v>
      </c>
    </row>
    <row r="450" spans="3:15" x14ac:dyDescent="0.2">
      <c r="C450">
        <v>431</v>
      </c>
      <c r="D450" s="7">
        <v>3331.8063072979458</v>
      </c>
      <c r="E450" s="7">
        <f t="shared" si="50"/>
        <v>99.635356079484026</v>
      </c>
      <c r="F450" s="7">
        <f t="shared" si="51"/>
        <v>269.05168267302849</v>
      </c>
      <c r="G450" s="7">
        <v>0</v>
      </c>
      <c r="H450" s="7">
        <f t="shared" si="52"/>
        <v>0</v>
      </c>
      <c r="I450" s="7">
        <f t="shared" si="53"/>
        <v>0</v>
      </c>
      <c r="J450" s="7">
        <v>539.56351432107704</v>
      </c>
      <c r="K450" s="7">
        <f t="shared" si="54"/>
        <v>8.6054786973058537</v>
      </c>
      <c r="L450" s="7">
        <f t="shared" si="55"/>
        <v>32.391121518246877</v>
      </c>
      <c r="M450" s="7">
        <v>0</v>
      </c>
      <c r="N450" s="7">
        <f t="shared" si="56"/>
        <v>0</v>
      </c>
      <c r="O450" s="7">
        <f t="shared" si="57"/>
        <v>0</v>
      </c>
    </row>
    <row r="451" spans="3:15" x14ac:dyDescent="0.2">
      <c r="C451">
        <v>432</v>
      </c>
      <c r="D451" s="7">
        <v>3192.8823271084716</v>
      </c>
      <c r="E451" s="7">
        <f t="shared" si="50"/>
        <v>95.480930834583489</v>
      </c>
      <c r="F451" s="7">
        <f t="shared" si="51"/>
        <v>257.83322421950413</v>
      </c>
      <c r="G451" s="7">
        <v>0</v>
      </c>
      <c r="H451" s="7">
        <f t="shared" si="52"/>
        <v>0</v>
      </c>
      <c r="I451" s="7">
        <f t="shared" si="53"/>
        <v>0</v>
      </c>
      <c r="J451" s="7">
        <v>0</v>
      </c>
      <c r="K451" s="7">
        <f t="shared" si="54"/>
        <v>0</v>
      </c>
      <c r="L451" s="7">
        <f t="shared" si="55"/>
        <v>0</v>
      </c>
      <c r="M451" s="7">
        <v>0</v>
      </c>
      <c r="N451" s="7">
        <f t="shared" si="56"/>
        <v>0</v>
      </c>
      <c r="O451" s="7">
        <f t="shared" si="57"/>
        <v>0</v>
      </c>
    </row>
    <row r="452" spans="3:15" x14ac:dyDescent="0.2">
      <c r="C452">
        <v>433</v>
      </c>
      <c r="D452" s="7">
        <v>2713.9499780422011</v>
      </c>
      <c r="E452" s="7">
        <f t="shared" si="50"/>
        <v>81.158791209395972</v>
      </c>
      <c r="F452" s="7">
        <f t="shared" si="51"/>
        <v>219.15824058657853</v>
      </c>
      <c r="G452" s="7">
        <v>0</v>
      </c>
      <c r="H452" s="7">
        <f t="shared" si="52"/>
        <v>0</v>
      </c>
      <c r="I452" s="7">
        <f t="shared" si="53"/>
        <v>0</v>
      </c>
      <c r="J452" s="7">
        <v>0</v>
      </c>
      <c r="K452" s="7">
        <f t="shared" si="54"/>
        <v>0</v>
      </c>
      <c r="L452" s="7">
        <f t="shared" si="55"/>
        <v>0</v>
      </c>
      <c r="M452" s="7">
        <v>0</v>
      </c>
      <c r="N452" s="7">
        <f t="shared" si="56"/>
        <v>0</v>
      </c>
      <c r="O452" s="7">
        <f t="shared" si="57"/>
        <v>0</v>
      </c>
    </row>
    <row r="453" spans="3:15" x14ac:dyDescent="0.2">
      <c r="C453">
        <v>434</v>
      </c>
      <c r="D453" s="7">
        <v>2554.3058616867775</v>
      </c>
      <c r="E453" s="7">
        <f t="shared" si="50"/>
        <v>76.384744667666794</v>
      </c>
      <c r="F453" s="7">
        <f t="shared" si="51"/>
        <v>206.2665793756033</v>
      </c>
      <c r="G453" s="7">
        <v>0</v>
      </c>
      <c r="H453" s="7">
        <f t="shared" si="52"/>
        <v>0</v>
      </c>
      <c r="I453" s="7">
        <f t="shared" si="53"/>
        <v>0</v>
      </c>
      <c r="J453" s="7">
        <v>0</v>
      </c>
      <c r="K453" s="7">
        <f t="shared" si="54"/>
        <v>0</v>
      </c>
      <c r="L453" s="7">
        <f t="shared" si="55"/>
        <v>0</v>
      </c>
      <c r="M453" s="7">
        <v>0</v>
      </c>
      <c r="N453" s="7">
        <f t="shared" si="56"/>
        <v>0</v>
      </c>
      <c r="O453" s="7">
        <f t="shared" si="57"/>
        <v>0</v>
      </c>
    </row>
    <row r="454" spans="3:15" x14ac:dyDescent="0.2">
      <c r="C454">
        <v>435</v>
      </c>
      <c r="D454" s="7">
        <v>2713.9499780422011</v>
      </c>
      <c r="E454" s="7">
        <f t="shared" si="50"/>
        <v>81.158791209395972</v>
      </c>
      <c r="F454" s="7">
        <f t="shared" si="51"/>
        <v>219.15824058657853</v>
      </c>
      <c r="G454" s="7">
        <v>0</v>
      </c>
      <c r="H454" s="7">
        <f t="shared" si="52"/>
        <v>0</v>
      </c>
      <c r="I454" s="7">
        <f t="shared" si="53"/>
        <v>0</v>
      </c>
      <c r="J454" s="7">
        <v>0</v>
      </c>
      <c r="K454" s="7">
        <f t="shared" si="54"/>
        <v>0</v>
      </c>
      <c r="L454" s="7">
        <f t="shared" si="55"/>
        <v>0</v>
      </c>
      <c r="M454" s="7">
        <v>0</v>
      </c>
      <c r="N454" s="7">
        <f t="shared" si="56"/>
        <v>0</v>
      </c>
      <c r="O454" s="7">
        <f t="shared" si="57"/>
        <v>0</v>
      </c>
    </row>
    <row r="455" spans="3:15" x14ac:dyDescent="0.2">
      <c r="C455">
        <v>436</v>
      </c>
      <c r="D455" s="7">
        <v>2873.5940943976243</v>
      </c>
      <c r="E455" s="7">
        <f t="shared" si="50"/>
        <v>85.932837751125135</v>
      </c>
      <c r="F455" s="7">
        <f t="shared" si="51"/>
        <v>232.0499017975537</v>
      </c>
      <c r="G455" s="7">
        <v>0</v>
      </c>
      <c r="H455" s="7">
        <f t="shared" si="52"/>
        <v>0</v>
      </c>
      <c r="I455" s="7">
        <f t="shared" si="53"/>
        <v>0</v>
      </c>
      <c r="J455" s="7">
        <v>0</v>
      </c>
      <c r="K455" s="7">
        <f t="shared" si="54"/>
        <v>0</v>
      </c>
      <c r="L455" s="7">
        <f t="shared" si="55"/>
        <v>0</v>
      </c>
      <c r="M455" s="7">
        <v>0</v>
      </c>
      <c r="N455" s="7">
        <f t="shared" si="56"/>
        <v>0</v>
      </c>
      <c r="O455" s="7">
        <f t="shared" si="57"/>
        <v>0</v>
      </c>
    </row>
    <row r="456" spans="3:15" x14ac:dyDescent="0.2">
      <c r="C456">
        <v>437</v>
      </c>
      <c r="D456" s="7">
        <v>3163.8561241347584</v>
      </c>
      <c r="E456" s="7">
        <f t="shared" si="50"/>
        <v>94.61292237245091</v>
      </c>
      <c r="F456" s="7">
        <f t="shared" si="51"/>
        <v>255.48928581750863</v>
      </c>
      <c r="G456" s="7">
        <v>0</v>
      </c>
      <c r="H456" s="7">
        <f t="shared" si="52"/>
        <v>0</v>
      </c>
      <c r="I456" s="7">
        <f t="shared" si="53"/>
        <v>0</v>
      </c>
      <c r="J456" s="7">
        <v>0</v>
      </c>
      <c r="K456" s="7">
        <f t="shared" si="54"/>
        <v>0</v>
      </c>
      <c r="L456" s="7">
        <f t="shared" si="55"/>
        <v>0</v>
      </c>
      <c r="M456" s="7">
        <v>0</v>
      </c>
      <c r="N456" s="7">
        <f t="shared" si="56"/>
        <v>0</v>
      </c>
      <c r="O456" s="7">
        <f t="shared" si="57"/>
        <v>0</v>
      </c>
    </row>
    <row r="457" spans="3:15" x14ac:dyDescent="0.2">
      <c r="C457">
        <v>438</v>
      </c>
      <c r="D457" s="7">
        <v>3323.7844444315169</v>
      </c>
      <c r="E457" s="7">
        <f t="shared" si="50"/>
        <v>99.395467835870733</v>
      </c>
      <c r="F457" s="7">
        <f t="shared" si="51"/>
        <v>268.4038972067313</v>
      </c>
      <c r="G457" s="7">
        <v>0</v>
      </c>
      <c r="H457" s="7">
        <f t="shared" si="52"/>
        <v>0</v>
      </c>
      <c r="I457" s="7">
        <f t="shared" si="53"/>
        <v>0</v>
      </c>
      <c r="J457" s="7">
        <v>43.255100519234929</v>
      </c>
      <c r="K457" s="7">
        <f t="shared" si="54"/>
        <v>0.68987401147105154</v>
      </c>
      <c r="L457" s="7">
        <f t="shared" si="55"/>
        <v>2.596693771938003</v>
      </c>
      <c r="M457" s="7">
        <v>0</v>
      </c>
      <c r="N457" s="7">
        <f t="shared" si="56"/>
        <v>0</v>
      </c>
      <c r="O457" s="7">
        <f t="shared" si="57"/>
        <v>0</v>
      </c>
    </row>
    <row r="458" spans="3:15" x14ac:dyDescent="0.2">
      <c r="C458">
        <v>439</v>
      </c>
      <c r="D458" s="7">
        <v>3324.2046686550252</v>
      </c>
      <c r="E458" s="7">
        <f t="shared" si="50"/>
        <v>99.408034349731622</v>
      </c>
      <c r="F458" s="7">
        <f t="shared" si="51"/>
        <v>268.4378313625636</v>
      </c>
      <c r="G458" s="7">
        <v>2895.5002148436556</v>
      </c>
      <c r="H458" s="7">
        <f t="shared" si="52"/>
        <v>69.270340068030038</v>
      </c>
      <c r="I458" s="7">
        <f t="shared" si="53"/>
        <v>150.53149534549212</v>
      </c>
      <c r="J458" s="7">
        <v>246.01829711172013</v>
      </c>
      <c r="K458" s="7">
        <f t="shared" si="54"/>
        <v>3.9237367960401937</v>
      </c>
      <c r="L458" s="7">
        <f t="shared" si="55"/>
        <v>14.768990760031093</v>
      </c>
      <c r="M458" s="7">
        <v>1069.6740094132329</v>
      </c>
      <c r="N458" s="7">
        <f t="shared" si="56"/>
        <v>85.300957688455583</v>
      </c>
      <c r="O458" s="7">
        <f t="shared" si="57"/>
        <v>32.289396649805489</v>
      </c>
    </row>
    <row r="459" spans="3:15" x14ac:dyDescent="0.2">
      <c r="C459">
        <v>440</v>
      </c>
      <c r="D459" s="7">
        <v>3328.7556838873907</v>
      </c>
      <c r="E459" s="7">
        <f t="shared" si="50"/>
        <v>99.544129302852596</v>
      </c>
      <c r="F459" s="7">
        <f t="shared" si="51"/>
        <v>268.80533721170508</v>
      </c>
      <c r="G459" s="7">
        <v>2896.0741742501841</v>
      </c>
      <c r="H459" s="7">
        <f t="shared" si="52"/>
        <v>69.284071154310624</v>
      </c>
      <c r="I459" s="7">
        <f t="shared" si="53"/>
        <v>150.56133439274532</v>
      </c>
      <c r="J459" s="7">
        <v>444.65070269534863</v>
      </c>
      <c r="K459" s="7">
        <f t="shared" si="54"/>
        <v>7.0917177463372996</v>
      </c>
      <c r="L459" s="7">
        <f t="shared" si="55"/>
        <v>26.693307760628702</v>
      </c>
      <c r="M459" s="7">
        <v>1069.1000500067046</v>
      </c>
      <c r="N459" s="7">
        <f t="shared" si="56"/>
        <v>85.255187400853643</v>
      </c>
      <c r="O459" s="7">
        <f t="shared" si="57"/>
        <v>32.272070994722554</v>
      </c>
    </row>
    <row r="460" spans="3:15" x14ac:dyDescent="0.2">
      <c r="C460">
        <v>441</v>
      </c>
      <c r="D460" s="7">
        <v>3333.294284245665</v>
      </c>
      <c r="E460" s="7">
        <f t="shared" si="50"/>
        <v>99.679852997777076</v>
      </c>
      <c r="F460" s="7">
        <f t="shared" si="51"/>
        <v>269.1718405287495</v>
      </c>
      <c r="G460" s="7">
        <v>2896.3531871923942</v>
      </c>
      <c r="H460" s="7">
        <f t="shared" si="52"/>
        <v>69.290746105081212</v>
      </c>
      <c r="I460" s="7">
        <f t="shared" si="53"/>
        <v>150.57583973976494</v>
      </c>
      <c r="J460" s="7">
        <v>643.29552315306819</v>
      </c>
      <c r="K460" s="7">
        <f t="shared" si="54"/>
        <v>10.259896701005873</v>
      </c>
      <c r="L460" s="7">
        <f t="shared" si="55"/>
        <v>38.618370051974559</v>
      </c>
      <c r="M460" s="7">
        <v>1068.8210370644942</v>
      </c>
      <c r="N460" s="7">
        <f t="shared" si="56"/>
        <v>85.232937564951698</v>
      </c>
      <c r="O460" s="7">
        <f t="shared" si="57"/>
        <v>32.263648653446445</v>
      </c>
    </row>
    <row r="461" spans="3:15" x14ac:dyDescent="0.2">
      <c r="C461">
        <v>442</v>
      </c>
      <c r="D461" s="7">
        <v>3337.8198363041902</v>
      </c>
      <c r="E461" s="7">
        <f t="shared" si="50"/>
        <v>99.815186492350193</v>
      </c>
      <c r="F461" s="7">
        <f t="shared" si="51"/>
        <v>269.53729016299246</v>
      </c>
      <c r="G461" s="7">
        <v>2896.3376556081575</v>
      </c>
      <c r="H461" s="7">
        <f t="shared" si="52"/>
        <v>69.290374536080336</v>
      </c>
      <c r="I461" s="7">
        <f t="shared" si="53"/>
        <v>150.57503228252898</v>
      </c>
      <c r="J461" s="7">
        <v>841.95339191053608</v>
      </c>
      <c r="K461" s="7">
        <f t="shared" si="54"/>
        <v>13.428283762528487</v>
      </c>
      <c r="L461" s="7">
        <f t="shared" si="55"/>
        <v>50.544215659930117</v>
      </c>
      <c r="M461" s="7">
        <v>1068.8365686487311</v>
      </c>
      <c r="N461" s="7">
        <f t="shared" si="56"/>
        <v>85.23417612828797</v>
      </c>
      <c r="O461" s="7">
        <f t="shared" si="57"/>
        <v>32.264117492999063</v>
      </c>
    </row>
    <row r="462" spans="3:15" x14ac:dyDescent="0.2">
      <c r="C462">
        <v>443</v>
      </c>
      <c r="D462" s="7">
        <v>3342.3317105549145</v>
      </c>
      <c r="E462" s="7">
        <f t="shared" si="50"/>
        <v>99.950110961570417</v>
      </c>
      <c r="F462" s="7">
        <f t="shared" si="51"/>
        <v>269.90163528008634</v>
      </c>
      <c r="G462" s="7">
        <v>2896.0280069549112</v>
      </c>
      <c r="H462" s="7">
        <f t="shared" si="52"/>
        <v>69.28296667356247</v>
      </c>
      <c r="I462" s="7">
        <f t="shared" si="53"/>
        <v>150.55893424372863</v>
      </c>
      <c r="J462" s="7">
        <v>1040.6249384758053</v>
      </c>
      <c r="K462" s="7">
        <f t="shared" si="54"/>
        <v>16.596888970905987</v>
      </c>
      <c r="L462" s="7">
        <f t="shared" si="55"/>
        <v>62.470882375174874</v>
      </c>
      <c r="M462" s="7">
        <v>1069.1462173019772</v>
      </c>
      <c r="N462" s="7">
        <f t="shared" si="56"/>
        <v>85.258869003347471</v>
      </c>
      <c r="O462" s="7">
        <f t="shared" si="57"/>
        <v>32.273464610063471</v>
      </c>
    </row>
    <row r="463" spans="3:15" x14ac:dyDescent="0.2">
      <c r="C463">
        <v>444</v>
      </c>
      <c r="D463" s="7">
        <v>3346.8292814506212</v>
      </c>
      <c r="E463" s="7">
        <f t="shared" si="50"/>
        <v>100.08460769888222</v>
      </c>
      <c r="F463" s="7">
        <f t="shared" si="51"/>
        <v>270.26482536553056</v>
      </c>
      <c r="G463" s="7">
        <v>2895.4246941373503</v>
      </c>
      <c r="H463" s="7">
        <f t="shared" si="52"/>
        <v>69.268533352568198</v>
      </c>
      <c r="I463" s="7">
        <f t="shared" si="53"/>
        <v>150.52756916900927</v>
      </c>
      <c r="J463" s="7">
        <v>1239.3107883960929</v>
      </c>
      <c r="K463" s="7">
        <f t="shared" si="54"/>
        <v>19.76572230296799</v>
      </c>
      <c r="L463" s="7">
        <f t="shared" si="55"/>
        <v>74.398407750611113</v>
      </c>
      <c r="M463" s="7">
        <v>1069.7495301195379</v>
      </c>
      <c r="N463" s="7">
        <f t="shared" si="56"/>
        <v>85.30698007332839</v>
      </c>
      <c r="O463" s="7">
        <f t="shared" si="57"/>
        <v>32.291676333166677</v>
      </c>
    </row>
    <row r="464" spans="3:15" x14ac:dyDescent="0.2">
      <c r="C464">
        <v>445</v>
      </c>
      <c r="D464" s="7">
        <v>3351.3119274477622</v>
      </c>
      <c r="E464" s="7">
        <f t="shared" si="50"/>
        <v>100.21865811745701</v>
      </c>
      <c r="F464" s="7">
        <f t="shared" si="51"/>
        <v>270.62681022813092</v>
      </c>
      <c r="G464" s="7">
        <v>2894.5281954329507</v>
      </c>
      <c r="H464" s="7">
        <f t="shared" si="52"/>
        <v>69.247086015142372</v>
      </c>
      <c r="I464" s="7">
        <f t="shared" si="53"/>
        <v>150.48096192309828</v>
      </c>
      <c r="J464" s="7">
        <v>1438.0115632149464</v>
      </c>
      <c r="K464" s="7">
        <f t="shared" si="54"/>
        <v>22.934793671689736</v>
      </c>
      <c r="L464" s="7">
        <f t="shared" si="55"/>
        <v>86.326829098792459</v>
      </c>
      <c r="M464" s="7">
        <v>1070.6460288239377</v>
      </c>
      <c r="N464" s="7">
        <f t="shared" si="56"/>
        <v>85.378471198081172</v>
      </c>
      <c r="O464" s="7">
        <f t="shared" si="57"/>
        <v>32.318738224927785</v>
      </c>
    </row>
    <row r="465" spans="3:15" x14ac:dyDescent="0.2">
      <c r="C465">
        <v>446</v>
      </c>
      <c r="D465" s="7">
        <v>3355.7791798653366</v>
      </c>
      <c r="E465" s="7">
        <f t="shared" si="50"/>
        <v>100.35224820171462</v>
      </c>
      <c r="F465" s="7">
        <f t="shared" si="51"/>
        <v>270.98755202072579</v>
      </c>
      <c r="G465" s="7">
        <v>2893.537638868429</v>
      </c>
      <c r="H465" s="7">
        <f t="shared" si="52"/>
        <v>69.223388489675344</v>
      </c>
      <c r="I465" s="7">
        <f t="shared" si="53"/>
        <v>150.42946478967815</v>
      </c>
      <c r="J465" s="7">
        <v>1342.3191014514146</v>
      </c>
      <c r="K465" s="7">
        <f t="shared" si="54"/>
        <v>21.408598109272962</v>
      </c>
      <c r="L465" s="7">
        <f t="shared" si="55"/>
        <v>80.58221131961794</v>
      </c>
      <c r="M465" s="7">
        <v>1071.6365853884597</v>
      </c>
      <c r="N465" s="7">
        <f t="shared" si="56"/>
        <v>85.457462949637943</v>
      </c>
      <c r="O465" s="7">
        <f t="shared" si="57"/>
        <v>32.348639366335775</v>
      </c>
    </row>
    <row r="466" spans="3:15" x14ac:dyDescent="0.2">
      <c r="C466">
        <v>447</v>
      </c>
      <c r="D466" s="7">
        <v>3360.2311675451692</v>
      </c>
      <c r="E466" s="7">
        <f t="shared" si="50"/>
        <v>100.48538180458043</v>
      </c>
      <c r="F466" s="7">
        <f t="shared" si="51"/>
        <v>271.3470611476144</v>
      </c>
      <c r="G466" s="7">
        <v>2892.6517607794285</v>
      </c>
      <c r="H466" s="7">
        <f t="shared" si="52"/>
        <v>69.202195233957625</v>
      </c>
      <c r="I466" s="7">
        <f t="shared" si="53"/>
        <v>150.38340968916481</v>
      </c>
      <c r="J466" s="7">
        <v>1246.6419044256263</v>
      </c>
      <c r="K466" s="7">
        <f t="shared" si="54"/>
        <v>19.882646003598506</v>
      </c>
      <c r="L466" s="7">
        <f t="shared" si="55"/>
        <v>74.838509914442142</v>
      </c>
      <c r="M466" s="7">
        <v>1072.5224634774602</v>
      </c>
      <c r="N466" s="7">
        <f t="shared" si="56"/>
        <v>85.528107135363655</v>
      </c>
      <c r="O466" s="7">
        <f t="shared" si="57"/>
        <v>32.375380662045856</v>
      </c>
    </row>
    <row r="467" spans="3:15" x14ac:dyDescent="0.2">
      <c r="C467">
        <v>448</v>
      </c>
      <c r="D467" s="7">
        <v>3364.6681672140294</v>
      </c>
      <c r="E467" s="7">
        <f t="shared" si="50"/>
        <v>100.61806720137649</v>
      </c>
      <c r="F467" s="7">
        <f t="shared" si="51"/>
        <v>271.70535995517463</v>
      </c>
      <c r="G467" s="7">
        <v>2891.8704640832138</v>
      </c>
      <c r="H467" s="7">
        <f t="shared" si="52"/>
        <v>69.183503925435744</v>
      </c>
      <c r="I467" s="7">
        <f t="shared" si="53"/>
        <v>150.34279157441327</v>
      </c>
      <c r="J467" s="7">
        <v>1150.9796954108097</v>
      </c>
      <c r="K467" s="7">
        <f t="shared" si="54"/>
        <v>18.35693294116124</v>
      </c>
      <c r="L467" s="7">
        <f t="shared" si="55"/>
        <v>69.095708270780648</v>
      </c>
      <c r="M467" s="7">
        <v>1073.3037601736744</v>
      </c>
      <c r="N467" s="7">
        <f t="shared" si="56"/>
        <v>85.590411497103233</v>
      </c>
      <c r="O467" s="7">
        <f t="shared" si="57"/>
        <v>32.398965042617171</v>
      </c>
    </row>
    <row r="468" spans="3:15" x14ac:dyDescent="0.2">
      <c r="C468">
        <v>449</v>
      </c>
      <c r="D468" s="7">
        <v>3369.0904541965479</v>
      </c>
      <c r="E468" s="7">
        <f t="shared" si="50"/>
        <v>100.75031262549486</v>
      </c>
      <c r="F468" s="7">
        <f t="shared" si="51"/>
        <v>272.06247067655823</v>
      </c>
      <c r="G468" s="7">
        <v>2891.1936426371403</v>
      </c>
      <c r="H468" s="7">
        <f t="shared" si="52"/>
        <v>69.167312024811977</v>
      </c>
      <c r="I468" s="7">
        <f t="shared" si="53"/>
        <v>150.30760492727123</v>
      </c>
      <c r="J468" s="7">
        <v>1055.3321990823347</v>
      </c>
      <c r="K468" s="7">
        <f t="shared" si="54"/>
        <v>16.831454530818736</v>
      </c>
      <c r="L468" s="7">
        <f t="shared" si="55"/>
        <v>63.353789860322472</v>
      </c>
      <c r="M468" s="7">
        <v>1073.9805816197481</v>
      </c>
      <c r="N468" s="7">
        <f t="shared" si="56"/>
        <v>85.644384499182479</v>
      </c>
      <c r="O468" s="7">
        <f t="shared" si="57"/>
        <v>32.419395712093149</v>
      </c>
    </row>
    <row r="469" spans="3:15" x14ac:dyDescent="0.2">
      <c r="C469">
        <v>450</v>
      </c>
      <c r="D469" s="7">
        <v>3373.4983023995906</v>
      </c>
      <c r="E469" s="7">
        <f t="shared" ref="E469:E532" si="58">D469/($C$3*($D$8-$D$6))</f>
        <v>100.88212626793035</v>
      </c>
      <c r="F469" s="7">
        <f t="shared" ref="F469:F532" si="59">E469*$C$3*((($D$8)-($D$6))-$C$2*LN(($D$8)/($D$6)))</f>
        <v>272.41841543042887</v>
      </c>
      <c r="G469" s="7">
        <v>2890.6211812601364</v>
      </c>
      <c r="H469" s="7">
        <f t="shared" ref="H469:H532" si="60">G469/($C$3*($D$6-$D$9))</f>
        <v>69.153616776558295</v>
      </c>
      <c r="I469" s="7">
        <f t="shared" ref="I469:I532" si="61">ABS(H469*$C$3*(($D$9-$D$6)-$C$2*(LN($D$9/$D$6))))</f>
        <v>150.27784375969605</v>
      </c>
      <c r="J469" s="7">
        <v>959.69914153333548</v>
      </c>
      <c r="K469" s="7">
        <f t="shared" ref="K469:K532" si="62">J469/($C$3*($D$10-$D$7))</f>
        <v>15.30620640404044</v>
      </c>
      <c r="L469" s="7">
        <f t="shared" ref="L469:L532" si="63">K469*$C$3*(($D$10-$D$7)-$C$2*LN($D$10/$D$7))</f>
        <v>57.612738239867994</v>
      </c>
      <c r="M469" s="7">
        <v>1074.5530429967521</v>
      </c>
      <c r="N469" s="7">
        <f t="shared" ref="N469:N532" si="64">M469/($C$3*($D$7-$D$11))</f>
        <v>85.690035326694755</v>
      </c>
      <c r="O469" s="7">
        <f t="shared" ref="O469:O532" si="65">ABS(N469*$C$3*(($D$11-$D$7)-$C$2*LN($D$11/$D$7)))</f>
        <v>32.436676147352962</v>
      </c>
    </row>
    <row r="470" spans="3:15" x14ac:dyDescent="0.2">
      <c r="C470">
        <v>451</v>
      </c>
      <c r="D470" s="7">
        <v>3377.8919842967639</v>
      </c>
      <c r="E470" s="7">
        <f t="shared" si="58"/>
        <v>101.01351627681711</v>
      </c>
      <c r="F470" s="7">
        <f t="shared" si="59"/>
        <v>272.773216219711</v>
      </c>
      <c r="G470" s="7">
        <v>2890.1529557549529</v>
      </c>
      <c r="H470" s="7">
        <f t="shared" si="60"/>
        <v>69.142415209448643</v>
      </c>
      <c r="I470" s="7">
        <f t="shared" si="61"/>
        <v>150.25350161491124</v>
      </c>
      <c r="J470" s="7">
        <v>864.08025029020564</v>
      </c>
      <c r="K470" s="7">
        <f t="shared" si="62"/>
        <v>13.781184215154795</v>
      </c>
      <c r="L470" s="7">
        <f t="shared" si="63"/>
        <v>51.87253705225914</v>
      </c>
      <c r="M470" s="7">
        <v>1075.0212685019355</v>
      </c>
      <c r="N470" s="7">
        <f t="shared" si="64"/>
        <v>85.727373883726926</v>
      </c>
      <c r="O470" s="7">
        <f t="shared" si="65"/>
        <v>32.450810097439984</v>
      </c>
    </row>
    <row r="471" spans="3:15" x14ac:dyDescent="0.2">
      <c r="C471">
        <v>452</v>
      </c>
      <c r="D471" s="7">
        <v>3382.2717709130447</v>
      </c>
      <c r="E471" s="7">
        <f t="shared" si="58"/>
        <v>101.14449075696905</v>
      </c>
      <c r="F471" s="7">
        <f t="shared" si="59"/>
        <v>273.12689493034856</v>
      </c>
      <c r="G471" s="7">
        <v>2889.78883293119</v>
      </c>
      <c r="H471" s="7">
        <f t="shared" si="60"/>
        <v>69.133704137109817</v>
      </c>
      <c r="I471" s="7">
        <f t="shared" si="61"/>
        <v>150.23457156860371</v>
      </c>
      <c r="J471" s="7">
        <v>768.47525432796829</v>
      </c>
      <c r="K471" s="7">
        <f t="shared" si="62"/>
        <v>12.256383641594391</v>
      </c>
      <c r="L471" s="7">
        <f t="shared" si="63"/>
        <v>46.133170027302093</v>
      </c>
      <c r="M471" s="7">
        <v>1075.3853913256987</v>
      </c>
      <c r="N471" s="7">
        <f t="shared" si="64"/>
        <v>85.756410791523024</v>
      </c>
      <c r="O471" s="7">
        <f t="shared" si="65"/>
        <v>32.461801582866627</v>
      </c>
    </row>
    <row r="472" spans="3:15" x14ac:dyDescent="0.2">
      <c r="C472">
        <v>453</v>
      </c>
      <c r="D472" s="7">
        <v>3386.6377243049405</v>
      </c>
      <c r="E472" s="7">
        <f t="shared" si="58"/>
        <v>101.27505156414297</v>
      </c>
      <c r="F472" s="7">
        <f t="shared" si="59"/>
        <v>273.4794565735595</v>
      </c>
      <c r="G472" s="7">
        <v>2889.2517154057696</v>
      </c>
      <c r="H472" s="7">
        <f t="shared" si="60"/>
        <v>69.120854435544729</v>
      </c>
      <c r="I472" s="7">
        <f t="shared" si="61"/>
        <v>150.20664785999429</v>
      </c>
      <c r="J472" s="7">
        <v>1083.3975336469198</v>
      </c>
      <c r="K472" s="7">
        <f t="shared" si="62"/>
        <v>17.279067522279423</v>
      </c>
      <c r="L472" s="7">
        <f t="shared" si="63"/>
        <v>65.038610346147181</v>
      </c>
      <c r="M472" s="7">
        <v>1075.9225088511187</v>
      </c>
      <c r="N472" s="7">
        <f t="shared" si="64"/>
        <v>85.799243130073265</v>
      </c>
      <c r="O472" s="7">
        <f t="shared" si="65"/>
        <v>32.47801512145243</v>
      </c>
    </row>
    <row r="473" spans="3:15" x14ac:dyDescent="0.2">
      <c r="C473">
        <v>454</v>
      </c>
      <c r="D473" s="7">
        <v>3390.989481065963</v>
      </c>
      <c r="E473" s="7">
        <f t="shared" si="58"/>
        <v>101.40518783091996</v>
      </c>
      <c r="F473" s="7">
        <f t="shared" si="59"/>
        <v>273.83087180336213</v>
      </c>
      <c r="G473" s="7">
        <v>2888.8036022192114</v>
      </c>
      <c r="H473" s="7">
        <f t="shared" si="60"/>
        <v>69.110134024383058</v>
      </c>
      <c r="I473" s="7">
        <f t="shared" si="61"/>
        <v>150.18335131602899</v>
      </c>
      <c r="J473" s="7">
        <v>600.11342781962594</v>
      </c>
      <c r="K473" s="7">
        <f t="shared" si="62"/>
        <v>9.571187046565008</v>
      </c>
      <c r="L473" s="7">
        <f t="shared" si="63"/>
        <v>36.026058933388221</v>
      </c>
      <c r="M473" s="7">
        <v>1076.3706220376771</v>
      </c>
      <c r="N473" s="7">
        <f t="shared" si="64"/>
        <v>85.834977833945544</v>
      </c>
      <c r="O473" s="7">
        <f t="shared" si="65"/>
        <v>32.491541957009304</v>
      </c>
    </row>
    <row r="474" spans="3:15" x14ac:dyDescent="0.2">
      <c r="C474">
        <v>455</v>
      </c>
      <c r="D474" s="7">
        <v>3391.2012774347627</v>
      </c>
      <c r="E474" s="7">
        <f t="shared" si="58"/>
        <v>101.41152145438885</v>
      </c>
      <c r="F474" s="7">
        <f t="shared" si="59"/>
        <v>273.84797488924221</v>
      </c>
      <c r="G474" s="7">
        <v>0</v>
      </c>
      <c r="H474" s="7">
        <f t="shared" si="60"/>
        <v>0</v>
      </c>
      <c r="I474" s="7">
        <f t="shared" si="61"/>
        <v>0</v>
      </c>
      <c r="J474" s="7">
        <v>120.96928238455621</v>
      </c>
      <c r="K474" s="7">
        <f t="shared" si="62"/>
        <v>1.9293346472815984</v>
      </c>
      <c r="L474" s="7">
        <f t="shared" si="63"/>
        <v>7.2620379653054306</v>
      </c>
      <c r="M474" s="7">
        <v>0</v>
      </c>
      <c r="N474" s="7">
        <f t="shared" si="64"/>
        <v>0</v>
      </c>
      <c r="O474" s="7">
        <f t="shared" si="65"/>
        <v>0</v>
      </c>
    </row>
    <row r="475" spans="3:15" x14ac:dyDescent="0.2">
      <c r="C475">
        <v>456</v>
      </c>
      <c r="D475" s="7">
        <v>3033.238210753048</v>
      </c>
      <c r="E475" s="7">
        <f t="shared" si="58"/>
        <v>90.706884292854312</v>
      </c>
      <c r="F475" s="7">
        <f t="shared" si="59"/>
        <v>244.9415630085289</v>
      </c>
      <c r="G475" s="7">
        <v>0</v>
      </c>
      <c r="H475" s="7">
        <f t="shared" si="60"/>
        <v>0</v>
      </c>
      <c r="I475" s="7">
        <f t="shared" si="61"/>
        <v>0</v>
      </c>
      <c r="J475" s="7">
        <v>0</v>
      </c>
      <c r="K475" s="7">
        <f t="shared" si="62"/>
        <v>0</v>
      </c>
      <c r="L475" s="7">
        <f t="shared" si="63"/>
        <v>0</v>
      </c>
      <c r="M475" s="7">
        <v>0</v>
      </c>
      <c r="N475" s="7">
        <f t="shared" si="64"/>
        <v>0</v>
      </c>
      <c r="O475" s="7">
        <f t="shared" si="65"/>
        <v>0</v>
      </c>
    </row>
    <row r="476" spans="3:15" x14ac:dyDescent="0.2">
      <c r="C476">
        <v>457</v>
      </c>
      <c r="D476" s="7">
        <v>2554.3058616867775</v>
      </c>
      <c r="E476" s="7">
        <f t="shared" si="58"/>
        <v>76.384744667666794</v>
      </c>
      <c r="F476" s="7">
        <f t="shared" si="59"/>
        <v>206.2665793756033</v>
      </c>
      <c r="G476" s="7">
        <v>0</v>
      </c>
      <c r="H476" s="7">
        <f t="shared" si="60"/>
        <v>0</v>
      </c>
      <c r="I476" s="7">
        <f t="shared" si="61"/>
        <v>0</v>
      </c>
      <c r="J476" s="7">
        <v>0</v>
      </c>
      <c r="K476" s="7">
        <f t="shared" si="62"/>
        <v>0</v>
      </c>
      <c r="L476" s="7">
        <f t="shared" si="63"/>
        <v>0</v>
      </c>
      <c r="M476" s="7">
        <v>0</v>
      </c>
      <c r="N476" s="7">
        <f t="shared" si="64"/>
        <v>0</v>
      </c>
      <c r="O476" s="7">
        <f t="shared" si="65"/>
        <v>0</v>
      </c>
    </row>
    <row r="477" spans="3:15" x14ac:dyDescent="0.2">
      <c r="C477">
        <v>458</v>
      </c>
      <c r="D477" s="7">
        <v>2554.3058616867775</v>
      </c>
      <c r="E477" s="7">
        <f t="shared" si="58"/>
        <v>76.384744667666794</v>
      </c>
      <c r="F477" s="7">
        <f t="shared" si="59"/>
        <v>206.2665793756033</v>
      </c>
      <c r="G477" s="7">
        <v>0</v>
      </c>
      <c r="H477" s="7">
        <f t="shared" si="60"/>
        <v>0</v>
      </c>
      <c r="I477" s="7">
        <f t="shared" si="61"/>
        <v>0</v>
      </c>
      <c r="J477" s="7">
        <v>0</v>
      </c>
      <c r="K477" s="7">
        <f t="shared" si="62"/>
        <v>0</v>
      </c>
      <c r="L477" s="7">
        <f t="shared" si="63"/>
        <v>0</v>
      </c>
      <c r="M477" s="7">
        <v>0</v>
      </c>
      <c r="N477" s="7">
        <f t="shared" si="64"/>
        <v>0</v>
      </c>
      <c r="O477" s="7">
        <f t="shared" si="65"/>
        <v>0</v>
      </c>
    </row>
    <row r="478" spans="3:15" x14ac:dyDescent="0.2">
      <c r="C478">
        <v>459</v>
      </c>
      <c r="D478" s="7">
        <v>2736.7562803786905</v>
      </c>
      <c r="E478" s="7">
        <f t="shared" si="58"/>
        <v>81.84079785821443</v>
      </c>
      <c r="F478" s="7">
        <f t="shared" si="59"/>
        <v>220.9999064738607</v>
      </c>
      <c r="G478" s="7">
        <v>0</v>
      </c>
      <c r="H478" s="7">
        <f t="shared" si="60"/>
        <v>0</v>
      </c>
      <c r="I478" s="7">
        <f t="shared" si="61"/>
        <v>0</v>
      </c>
      <c r="J478" s="7">
        <v>0</v>
      </c>
      <c r="K478" s="7">
        <f t="shared" si="62"/>
        <v>0</v>
      </c>
      <c r="L478" s="7">
        <f t="shared" si="63"/>
        <v>0</v>
      </c>
      <c r="M478" s="7">
        <v>0</v>
      </c>
      <c r="N478" s="7">
        <f t="shared" si="64"/>
        <v>0</v>
      </c>
      <c r="O478" s="7">
        <f t="shared" si="65"/>
        <v>0</v>
      </c>
    </row>
    <row r="479" spans="3:15" x14ac:dyDescent="0.2">
      <c r="C479">
        <v>460</v>
      </c>
      <c r="D479" s="7">
        <v>2919.2066990706026</v>
      </c>
      <c r="E479" s="7">
        <f t="shared" si="58"/>
        <v>87.296851048762051</v>
      </c>
      <c r="F479" s="7">
        <f t="shared" si="59"/>
        <v>235.73323357211805</v>
      </c>
      <c r="G479" s="7">
        <v>0</v>
      </c>
      <c r="H479" s="7">
        <f t="shared" si="60"/>
        <v>0</v>
      </c>
      <c r="I479" s="7">
        <f t="shared" si="61"/>
        <v>0</v>
      </c>
      <c r="J479" s="7">
        <v>0</v>
      </c>
      <c r="K479" s="7">
        <f t="shared" si="62"/>
        <v>0</v>
      </c>
      <c r="L479" s="7">
        <f t="shared" si="63"/>
        <v>0</v>
      </c>
      <c r="M479" s="7">
        <v>0</v>
      </c>
      <c r="N479" s="7">
        <f t="shared" si="64"/>
        <v>0</v>
      </c>
      <c r="O479" s="7">
        <f t="shared" si="65"/>
        <v>0</v>
      </c>
    </row>
    <row r="480" spans="3:15" x14ac:dyDescent="0.2">
      <c r="C480">
        <v>461</v>
      </c>
      <c r="D480" s="7">
        <v>3101.6571177625156</v>
      </c>
      <c r="E480" s="7">
        <f t="shared" si="58"/>
        <v>92.752904239309686</v>
      </c>
      <c r="F480" s="7">
        <f t="shared" si="59"/>
        <v>250.46656067037546</v>
      </c>
      <c r="G480" s="7">
        <v>0</v>
      </c>
      <c r="H480" s="7">
        <f t="shared" si="60"/>
        <v>0</v>
      </c>
      <c r="I480" s="7">
        <f t="shared" si="61"/>
        <v>0</v>
      </c>
      <c r="J480" s="7">
        <v>0</v>
      </c>
      <c r="K480" s="7">
        <f t="shared" si="62"/>
        <v>0</v>
      </c>
      <c r="L480" s="7">
        <f t="shared" si="63"/>
        <v>0</v>
      </c>
      <c r="M480" s="7">
        <v>0</v>
      </c>
      <c r="N480" s="7">
        <f t="shared" si="64"/>
        <v>0</v>
      </c>
      <c r="O480" s="7">
        <f t="shared" si="65"/>
        <v>0</v>
      </c>
    </row>
    <row r="481" spans="3:15" x14ac:dyDescent="0.2">
      <c r="C481">
        <v>462</v>
      </c>
      <c r="D481" s="7">
        <v>3284.1075364544286</v>
      </c>
      <c r="E481" s="7">
        <f t="shared" si="58"/>
        <v>98.208957429857321</v>
      </c>
      <c r="F481" s="7">
        <f t="shared" si="59"/>
        <v>265.19988776863283</v>
      </c>
      <c r="G481" s="7">
        <v>0</v>
      </c>
      <c r="H481" s="7">
        <f t="shared" si="60"/>
        <v>0</v>
      </c>
      <c r="I481" s="7">
        <f t="shared" si="61"/>
        <v>0</v>
      </c>
      <c r="J481" s="7">
        <v>0</v>
      </c>
      <c r="K481" s="7">
        <f t="shared" si="62"/>
        <v>0</v>
      </c>
      <c r="L481" s="7">
        <f t="shared" si="63"/>
        <v>0</v>
      </c>
      <c r="M481" s="7">
        <v>0</v>
      </c>
      <c r="N481" s="7">
        <f t="shared" si="64"/>
        <v>0</v>
      </c>
      <c r="O481" s="7">
        <f t="shared" si="65"/>
        <v>0</v>
      </c>
    </row>
    <row r="482" spans="3:15" x14ac:dyDescent="0.2">
      <c r="C482">
        <v>463</v>
      </c>
      <c r="D482" s="7">
        <v>3384.5242120860357</v>
      </c>
      <c r="E482" s="7">
        <f t="shared" si="58"/>
        <v>101.21184844754892</v>
      </c>
      <c r="F482" s="7">
        <f t="shared" si="59"/>
        <v>273.30878518200808</v>
      </c>
      <c r="G482" s="7">
        <v>2882.7739027395746</v>
      </c>
      <c r="H482" s="7">
        <f t="shared" si="60"/>
        <v>68.965882840659688</v>
      </c>
      <c r="I482" s="7">
        <f t="shared" si="61"/>
        <v>149.86987882015399</v>
      </c>
      <c r="J482" s="7">
        <v>82.033743060305369</v>
      </c>
      <c r="K482" s="7">
        <f t="shared" si="62"/>
        <v>1.3083531588565451</v>
      </c>
      <c r="L482" s="7">
        <f t="shared" si="63"/>
        <v>4.9246564482894195</v>
      </c>
      <c r="M482" s="7">
        <v>1082.4003215173138</v>
      </c>
      <c r="N482" s="7">
        <f t="shared" si="64"/>
        <v>86.315815113023433</v>
      </c>
      <c r="O482" s="7">
        <f t="shared" si="65"/>
        <v>32.67355568872923</v>
      </c>
    </row>
    <row r="483" spans="3:15" x14ac:dyDescent="0.2">
      <c r="C483">
        <v>464</v>
      </c>
      <c r="D483" s="7">
        <v>3388.9432362776679</v>
      </c>
      <c r="E483" s="7">
        <f t="shared" si="58"/>
        <v>101.34399630016951</v>
      </c>
      <c r="F483" s="7">
        <f t="shared" si="59"/>
        <v>273.66563242487666</v>
      </c>
      <c r="G483" s="7">
        <v>2882.9884323542137</v>
      </c>
      <c r="H483" s="7">
        <f t="shared" si="60"/>
        <v>68.971015128091238</v>
      </c>
      <c r="I483" s="7">
        <f t="shared" si="61"/>
        <v>149.88103180281377</v>
      </c>
      <c r="J483" s="7">
        <v>260.06513756058575</v>
      </c>
      <c r="K483" s="7">
        <f t="shared" si="62"/>
        <v>4.1477693390843022</v>
      </c>
      <c r="L483" s="7">
        <f t="shared" si="63"/>
        <v>15.612251847651411</v>
      </c>
      <c r="M483" s="7">
        <v>1082.185791902675</v>
      </c>
      <c r="N483" s="7">
        <f t="shared" si="64"/>
        <v>86.298707488251594</v>
      </c>
      <c r="O483" s="7">
        <f t="shared" si="65"/>
        <v>32.667079854260741</v>
      </c>
    </row>
    <row r="484" spans="3:15" x14ac:dyDescent="0.2">
      <c r="C484">
        <v>465</v>
      </c>
      <c r="D484" s="7">
        <v>3389.2263870905567</v>
      </c>
      <c r="E484" s="7">
        <f t="shared" si="58"/>
        <v>101.3524637287846</v>
      </c>
      <c r="F484" s="7">
        <f t="shared" si="59"/>
        <v>273.68849756037122</v>
      </c>
      <c r="G484" s="7">
        <v>0</v>
      </c>
      <c r="H484" s="7">
        <f t="shared" si="60"/>
        <v>0</v>
      </c>
      <c r="I484" s="7">
        <f t="shared" si="61"/>
        <v>0</v>
      </c>
      <c r="J484" s="7">
        <v>442.23240543960992</v>
      </c>
      <c r="K484" s="7">
        <f t="shared" si="62"/>
        <v>7.0531484121149912</v>
      </c>
      <c r="L484" s="7">
        <f t="shared" si="63"/>
        <v>26.5481323397583</v>
      </c>
      <c r="M484" s="7">
        <v>0</v>
      </c>
      <c r="N484" s="7">
        <f t="shared" si="64"/>
        <v>0</v>
      </c>
      <c r="O484" s="7">
        <f t="shared" si="65"/>
        <v>0</v>
      </c>
    </row>
    <row r="485" spans="3:15" x14ac:dyDescent="0.2">
      <c r="C485">
        <v>466</v>
      </c>
      <c r="D485" s="7">
        <v>3387.1664292539913</v>
      </c>
      <c r="E485" s="7">
        <f t="shared" si="58"/>
        <v>101.29086211883946</v>
      </c>
      <c r="F485" s="7">
        <f t="shared" si="59"/>
        <v>273.52215081898072</v>
      </c>
      <c r="G485" s="7">
        <v>0</v>
      </c>
      <c r="H485" s="7">
        <f t="shared" si="60"/>
        <v>0</v>
      </c>
      <c r="I485" s="7">
        <f t="shared" si="61"/>
        <v>0</v>
      </c>
      <c r="J485" s="7">
        <v>626.74278196808791</v>
      </c>
      <c r="K485" s="7">
        <f t="shared" si="62"/>
        <v>9.9958976390444647</v>
      </c>
      <c r="L485" s="7">
        <f t="shared" si="63"/>
        <v>37.62467452410435</v>
      </c>
      <c r="M485" s="7">
        <v>0</v>
      </c>
      <c r="N485" s="7">
        <f t="shared" si="64"/>
        <v>0</v>
      </c>
      <c r="O485" s="7">
        <f t="shared" si="65"/>
        <v>0</v>
      </c>
    </row>
    <row r="486" spans="3:15" x14ac:dyDescent="0.2">
      <c r="C486">
        <v>467</v>
      </c>
      <c r="D486" s="7">
        <v>3385.1230407302874</v>
      </c>
      <c r="E486" s="7">
        <f t="shared" si="58"/>
        <v>101.22975600269999</v>
      </c>
      <c r="F486" s="7">
        <f t="shared" si="59"/>
        <v>273.35714209099643</v>
      </c>
      <c r="G486" s="7">
        <v>0</v>
      </c>
      <c r="H486" s="7">
        <f t="shared" si="60"/>
        <v>0</v>
      </c>
      <c r="I486" s="7">
        <f t="shared" si="61"/>
        <v>0</v>
      </c>
      <c r="J486" s="7">
        <v>811.23658918370438</v>
      </c>
      <c r="K486" s="7">
        <f t="shared" si="62"/>
        <v>12.938382602610917</v>
      </c>
      <c r="L486" s="7">
        <f t="shared" si="63"/>
        <v>48.700222018090287</v>
      </c>
      <c r="M486" s="7">
        <v>0</v>
      </c>
      <c r="N486" s="7">
        <f t="shared" si="64"/>
        <v>0</v>
      </c>
      <c r="O486" s="7">
        <f t="shared" si="65"/>
        <v>0</v>
      </c>
    </row>
    <row r="487" spans="3:15" x14ac:dyDescent="0.2">
      <c r="C487">
        <v>468</v>
      </c>
      <c r="D487" s="7">
        <v>3383.0961584665702</v>
      </c>
      <c r="E487" s="7">
        <f t="shared" si="58"/>
        <v>101.16914349481371</v>
      </c>
      <c r="F487" s="7">
        <f t="shared" si="59"/>
        <v>273.19346628474119</v>
      </c>
      <c r="G487" s="7">
        <v>0</v>
      </c>
      <c r="H487" s="7">
        <f t="shared" si="60"/>
        <v>0</v>
      </c>
      <c r="I487" s="7">
        <f t="shared" si="61"/>
        <v>0</v>
      </c>
      <c r="J487" s="7">
        <v>995.71389013933458</v>
      </c>
      <c r="K487" s="7">
        <f t="shared" si="62"/>
        <v>15.880604308442338</v>
      </c>
      <c r="L487" s="7">
        <f t="shared" si="63"/>
        <v>59.774778606911504</v>
      </c>
      <c r="M487" s="7">
        <v>0</v>
      </c>
      <c r="N487" s="7">
        <f t="shared" si="64"/>
        <v>0</v>
      </c>
      <c r="O487" s="7">
        <f t="shared" si="65"/>
        <v>0</v>
      </c>
    </row>
    <row r="488" spans="3:15" x14ac:dyDescent="0.2">
      <c r="C488">
        <v>469</v>
      </c>
      <c r="D488" s="7">
        <v>3381.0857195947256</v>
      </c>
      <c r="E488" s="7">
        <f t="shared" si="58"/>
        <v>101.10902271515329</v>
      </c>
      <c r="F488" s="7">
        <f t="shared" si="59"/>
        <v>273.03111832345775</v>
      </c>
      <c r="G488" s="7">
        <v>0</v>
      </c>
      <c r="H488" s="7">
        <f t="shared" si="60"/>
        <v>0</v>
      </c>
      <c r="I488" s="7">
        <f t="shared" si="61"/>
        <v>0</v>
      </c>
      <c r="J488" s="7">
        <v>1088.9495383571348</v>
      </c>
      <c r="K488" s="7">
        <f t="shared" si="62"/>
        <v>17.367616241740588</v>
      </c>
      <c r="L488" s="7">
        <f t="shared" si="63"/>
        <v>65.371908752109164</v>
      </c>
      <c r="M488" s="7">
        <v>0</v>
      </c>
      <c r="N488" s="7">
        <f t="shared" si="64"/>
        <v>0</v>
      </c>
      <c r="O488" s="7">
        <f t="shared" si="65"/>
        <v>0</v>
      </c>
    </row>
    <row r="489" spans="3:15" x14ac:dyDescent="0.2">
      <c r="C489">
        <v>470</v>
      </c>
      <c r="D489" s="7">
        <v>3379.0916614309522</v>
      </c>
      <c r="E489" s="7">
        <f t="shared" si="58"/>
        <v>101.04939178920313</v>
      </c>
      <c r="F489" s="7">
        <f t="shared" si="59"/>
        <v>272.87009314527262</v>
      </c>
      <c r="G489" s="7">
        <v>0</v>
      </c>
      <c r="H489" s="7">
        <f t="shared" si="60"/>
        <v>0</v>
      </c>
      <c r="I489" s="7">
        <f t="shared" si="61"/>
        <v>0</v>
      </c>
      <c r="J489" s="7">
        <v>1090.9435965209082</v>
      </c>
      <c r="K489" s="7">
        <f t="shared" si="62"/>
        <v>17.399419402247339</v>
      </c>
      <c r="L489" s="7">
        <f t="shared" si="63"/>
        <v>65.491616216722477</v>
      </c>
      <c r="M489" s="7">
        <v>0</v>
      </c>
      <c r="N489" s="7">
        <f t="shared" si="64"/>
        <v>0</v>
      </c>
      <c r="O489" s="7">
        <f t="shared" si="65"/>
        <v>0</v>
      </c>
    </row>
    <row r="490" spans="3:15" x14ac:dyDescent="0.2">
      <c r="C490">
        <v>471</v>
      </c>
      <c r="D490" s="7">
        <v>3377.1139214753111</v>
      </c>
      <c r="E490" s="7">
        <f t="shared" si="58"/>
        <v>100.99024884794592</v>
      </c>
      <c r="F490" s="7">
        <f t="shared" si="59"/>
        <v>272.71038570315949</v>
      </c>
      <c r="G490" s="7">
        <v>0</v>
      </c>
      <c r="H490" s="7">
        <f t="shared" si="60"/>
        <v>0</v>
      </c>
      <c r="I490" s="7">
        <f t="shared" si="61"/>
        <v>0</v>
      </c>
      <c r="J490" s="7">
        <v>1549.0473832063308</v>
      </c>
      <c r="K490" s="7">
        <f t="shared" si="62"/>
        <v>24.70569989164802</v>
      </c>
      <c r="L490" s="7">
        <f t="shared" si="63"/>
        <v>92.99254062812858</v>
      </c>
      <c r="M490" s="7">
        <v>0</v>
      </c>
      <c r="N490" s="7">
        <f t="shared" si="64"/>
        <v>0</v>
      </c>
      <c r="O490" s="7">
        <f t="shared" si="65"/>
        <v>0</v>
      </c>
    </row>
    <row r="491" spans="3:15" x14ac:dyDescent="0.2">
      <c r="C491">
        <v>472</v>
      </c>
      <c r="D491" s="7">
        <v>3377.4806348294178</v>
      </c>
      <c r="E491" s="7">
        <f t="shared" si="58"/>
        <v>101.00121515638212</v>
      </c>
      <c r="F491" s="7">
        <f t="shared" si="59"/>
        <v>272.7399987226093</v>
      </c>
      <c r="G491" s="7">
        <v>2866.2655266249103</v>
      </c>
      <c r="H491" s="7">
        <f t="shared" si="60"/>
        <v>68.57094561303613</v>
      </c>
      <c r="I491" s="7">
        <f t="shared" si="61"/>
        <v>149.01164005038052</v>
      </c>
      <c r="J491" s="7">
        <v>1731.1310885441371</v>
      </c>
      <c r="K491" s="7">
        <f t="shared" si="62"/>
        <v>27.609746228774117</v>
      </c>
      <c r="L491" s="7">
        <f t="shared" si="63"/>
        <v>103.92340468684975</v>
      </c>
      <c r="M491" s="7">
        <v>1098.9086976319779</v>
      </c>
      <c r="N491" s="7">
        <f t="shared" si="64"/>
        <v>87.632272538435245</v>
      </c>
      <c r="O491" s="7">
        <f t="shared" si="65"/>
        <v>33.171880879132765</v>
      </c>
    </row>
    <row r="492" spans="3:15" x14ac:dyDescent="0.2">
      <c r="C492">
        <v>473</v>
      </c>
      <c r="D492" s="7">
        <v>3381.9567491900862</v>
      </c>
      <c r="E492" s="7">
        <f t="shared" si="58"/>
        <v>101.13507025089972</v>
      </c>
      <c r="F492" s="7">
        <f t="shared" si="59"/>
        <v>273.10145613924749</v>
      </c>
      <c r="G492" s="7">
        <v>2864.3574202987011</v>
      </c>
      <c r="H492" s="7">
        <f t="shared" si="60"/>
        <v>68.525297136332568</v>
      </c>
      <c r="I492" s="7">
        <f t="shared" si="61"/>
        <v>148.91244126700971</v>
      </c>
      <c r="J492" s="7">
        <v>1471.2243880147907</v>
      </c>
      <c r="K492" s="7">
        <f t="shared" si="62"/>
        <v>23.464503796089168</v>
      </c>
      <c r="L492" s="7">
        <f t="shared" si="63"/>
        <v>88.320664144161796</v>
      </c>
      <c r="M492" s="7">
        <v>1100.8168039581872</v>
      </c>
      <c r="N492" s="7">
        <f t="shared" si="64"/>
        <v>87.784434127447142</v>
      </c>
      <c r="O492" s="7">
        <f t="shared" si="65"/>
        <v>33.229479363787696</v>
      </c>
    </row>
    <row r="493" spans="3:15" x14ac:dyDescent="0.2">
      <c r="C493">
        <v>474</v>
      </c>
      <c r="D493" s="7">
        <v>3386.4155864110485</v>
      </c>
      <c r="E493" s="7">
        <f t="shared" si="58"/>
        <v>101.26840868454093</v>
      </c>
      <c r="F493" s="7">
        <f t="shared" si="59"/>
        <v>273.46151838369349</v>
      </c>
      <c r="G493" s="7">
        <v>2862.7795673471196</v>
      </c>
      <c r="H493" s="7">
        <f t="shared" si="60"/>
        <v>68.487549458065061</v>
      </c>
      <c r="I493" s="7">
        <f t="shared" si="61"/>
        <v>148.83041172233231</v>
      </c>
      <c r="J493" s="7">
        <v>1211.3349646251504</v>
      </c>
      <c r="K493" s="7">
        <f t="shared" si="62"/>
        <v>19.31953691587162</v>
      </c>
      <c r="L493" s="7">
        <f t="shared" si="63"/>
        <v>72.718960784153666</v>
      </c>
      <c r="M493" s="7">
        <v>1102.3946569097689</v>
      </c>
      <c r="N493" s="7">
        <f t="shared" si="64"/>
        <v>87.910259721672162</v>
      </c>
      <c r="O493" s="7">
        <f t="shared" si="65"/>
        <v>33.277108753078586</v>
      </c>
    </row>
    <row r="494" spans="3:15" x14ac:dyDescent="0.2">
      <c r="C494">
        <v>475</v>
      </c>
      <c r="D494" s="7">
        <v>3390.8578739144259</v>
      </c>
      <c r="E494" s="7">
        <f t="shared" si="58"/>
        <v>101.40125221035963</v>
      </c>
      <c r="F494" s="7">
        <f t="shared" si="59"/>
        <v>273.82024419710081</v>
      </c>
      <c r="G494" s="7">
        <v>2861.445427769826</v>
      </c>
      <c r="H494" s="7">
        <f t="shared" si="60"/>
        <v>68.455632243297273</v>
      </c>
      <c r="I494" s="7">
        <f t="shared" si="61"/>
        <v>148.76105236793128</v>
      </c>
      <c r="J494" s="7">
        <v>1079.1773840374344</v>
      </c>
      <c r="K494" s="7">
        <f t="shared" si="62"/>
        <v>17.211760510963867</v>
      </c>
      <c r="L494" s="7">
        <f t="shared" si="63"/>
        <v>64.785265975748047</v>
      </c>
      <c r="M494" s="7">
        <v>1103.7287964870627</v>
      </c>
      <c r="N494" s="7">
        <f t="shared" si="64"/>
        <v>88.01665043756482</v>
      </c>
      <c r="O494" s="7">
        <f t="shared" si="65"/>
        <v>33.317381361011805</v>
      </c>
    </row>
    <row r="495" spans="3:15" x14ac:dyDescent="0.2">
      <c r="C495">
        <v>476</v>
      </c>
      <c r="D495" s="7">
        <v>3395.2842063992507</v>
      </c>
      <c r="E495" s="7">
        <f t="shared" si="58"/>
        <v>101.5336186124178</v>
      </c>
      <c r="F495" s="7">
        <f t="shared" si="59"/>
        <v>274.17768160290194</v>
      </c>
      <c r="G495" s="7">
        <v>2860.4409415360424</v>
      </c>
      <c r="H495" s="7">
        <f t="shared" si="60"/>
        <v>68.431601472154128</v>
      </c>
      <c r="I495" s="7">
        <f t="shared" si="61"/>
        <v>148.70883105775826</v>
      </c>
      <c r="J495" s="7">
        <v>691.60517229959214</v>
      </c>
      <c r="K495" s="7">
        <f t="shared" si="62"/>
        <v>11.030385523119493</v>
      </c>
      <c r="L495" s="7">
        <f t="shared" si="63"/>
        <v>41.518498905160449</v>
      </c>
      <c r="M495" s="7">
        <v>1104.7332827208463</v>
      </c>
      <c r="N495" s="7">
        <f t="shared" si="64"/>
        <v>88.096753008041972</v>
      </c>
      <c r="O495" s="7">
        <f t="shared" si="65"/>
        <v>33.347702986241998</v>
      </c>
    </row>
    <row r="496" spans="3:15" x14ac:dyDescent="0.2">
      <c r="C496">
        <v>477</v>
      </c>
      <c r="D496" s="7">
        <v>3399.6955620611207</v>
      </c>
      <c r="E496" s="7">
        <f t="shared" si="58"/>
        <v>101.66553714297611</v>
      </c>
      <c r="F496" s="7">
        <f t="shared" si="59"/>
        <v>274.53390959283507</v>
      </c>
      <c r="G496" s="7">
        <v>2859.8517599500497</v>
      </c>
      <c r="H496" s="7">
        <f t="shared" si="60"/>
        <v>68.417506218900712</v>
      </c>
      <c r="I496" s="7">
        <f t="shared" si="61"/>
        <v>148.67820063862899</v>
      </c>
      <c r="J496" s="7">
        <v>431.76323046904463</v>
      </c>
      <c r="K496" s="7">
        <f t="shared" si="62"/>
        <v>6.8861759245461664</v>
      </c>
      <c r="L496" s="7">
        <f t="shared" si="63"/>
        <v>25.919645962034885</v>
      </c>
      <c r="M496" s="7">
        <v>1105.3224643068388</v>
      </c>
      <c r="N496" s="7">
        <f t="shared" si="64"/>
        <v>88.143737185553334</v>
      </c>
      <c r="O496" s="7">
        <f t="shared" si="65"/>
        <v>33.36548814112232</v>
      </c>
    </row>
    <row r="497" spans="3:15" x14ac:dyDescent="0.2">
      <c r="C497">
        <v>478</v>
      </c>
      <c r="D497" s="7">
        <v>3404.0927843016898</v>
      </c>
      <c r="E497" s="7">
        <f t="shared" si="58"/>
        <v>101.7970330233759</v>
      </c>
      <c r="F497" s="7">
        <f t="shared" si="59"/>
        <v>274.88899627369074</v>
      </c>
      <c r="G497" s="7">
        <v>2859.5911707379314</v>
      </c>
      <c r="H497" s="7">
        <f t="shared" si="60"/>
        <v>68.411272027223248</v>
      </c>
      <c r="I497" s="7">
        <f t="shared" si="61"/>
        <v>148.66465310595402</v>
      </c>
      <c r="J497" s="7">
        <v>171.93542205979793</v>
      </c>
      <c r="K497" s="7">
        <f t="shared" si="62"/>
        <v>2.7421917393907167</v>
      </c>
      <c r="L497" s="7">
        <f t="shared" si="63"/>
        <v>10.321641477625814</v>
      </c>
      <c r="M497" s="7">
        <v>1105.5830535189571</v>
      </c>
      <c r="N497" s="7">
        <f t="shared" si="64"/>
        <v>88.164517824478239</v>
      </c>
      <c r="O497" s="7">
        <f t="shared" si="65"/>
        <v>33.373354339944299</v>
      </c>
    </row>
    <row r="498" spans="3:15" x14ac:dyDescent="0.2">
      <c r="C498">
        <v>479</v>
      </c>
      <c r="D498" s="7">
        <v>2873.5940943976243</v>
      </c>
      <c r="E498" s="7">
        <f t="shared" si="58"/>
        <v>85.932837751125135</v>
      </c>
      <c r="F498" s="7">
        <f t="shared" si="59"/>
        <v>232.0499017975537</v>
      </c>
      <c r="G498" s="7">
        <v>0</v>
      </c>
      <c r="H498" s="7">
        <f t="shared" si="60"/>
        <v>0</v>
      </c>
      <c r="I498" s="7">
        <f t="shared" si="61"/>
        <v>0</v>
      </c>
      <c r="J498" s="7">
        <v>0</v>
      </c>
      <c r="K498" s="7">
        <f t="shared" si="62"/>
        <v>0</v>
      </c>
      <c r="L498" s="7">
        <f t="shared" si="63"/>
        <v>0</v>
      </c>
      <c r="M498" s="7">
        <v>0</v>
      </c>
      <c r="N498" s="7">
        <f t="shared" si="64"/>
        <v>0</v>
      </c>
      <c r="O498" s="7">
        <f t="shared" si="65"/>
        <v>0</v>
      </c>
    </row>
    <row r="499" spans="3:15" x14ac:dyDescent="0.2">
      <c r="C499">
        <v>480</v>
      </c>
      <c r="D499" s="7">
        <v>2713.9499780422011</v>
      </c>
      <c r="E499" s="7">
        <f t="shared" si="58"/>
        <v>81.158791209395972</v>
      </c>
      <c r="F499" s="7">
        <f t="shared" si="59"/>
        <v>219.15824058657853</v>
      </c>
      <c r="G499" s="7">
        <v>0</v>
      </c>
      <c r="H499" s="7">
        <f t="shared" si="60"/>
        <v>0</v>
      </c>
      <c r="I499" s="7">
        <f t="shared" si="61"/>
        <v>0</v>
      </c>
      <c r="J499" s="7">
        <v>0</v>
      </c>
      <c r="K499" s="7">
        <f t="shared" si="62"/>
        <v>0</v>
      </c>
      <c r="L499" s="7">
        <f t="shared" si="63"/>
        <v>0</v>
      </c>
      <c r="M499" s="7">
        <v>0</v>
      </c>
      <c r="N499" s="7">
        <f t="shared" si="64"/>
        <v>0</v>
      </c>
      <c r="O499" s="7">
        <f t="shared" si="65"/>
        <v>0</v>
      </c>
    </row>
    <row r="500" spans="3:15" x14ac:dyDescent="0.2">
      <c r="C500">
        <v>481</v>
      </c>
      <c r="D500" s="7">
        <v>2554.3058616867775</v>
      </c>
      <c r="E500" s="7">
        <f t="shared" si="58"/>
        <v>76.384744667666794</v>
      </c>
      <c r="F500" s="7">
        <f t="shared" si="59"/>
        <v>206.2665793756033</v>
      </c>
      <c r="G500" s="7">
        <v>0</v>
      </c>
      <c r="H500" s="7">
        <f t="shared" si="60"/>
        <v>0</v>
      </c>
      <c r="I500" s="7">
        <f t="shared" si="61"/>
        <v>0</v>
      </c>
      <c r="J500" s="7">
        <v>0</v>
      </c>
      <c r="K500" s="7">
        <f t="shared" si="62"/>
        <v>0</v>
      </c>
      <c r="L500" s="7">
        <f t="shared" si="63"/>
        <v>0</v>
      </c>
      <c r="M500" s="7">
        <v>0</v>
      </c>
      <c r="N500" s="7">
        <f t="shared" si="64"/>
        <v>0</v>
      </c>
      <c r="O500" s="7">
        <f t="shared" si="65"/>
        <v>0</v>
      </c>
    </row>
    <row r="501" spans="3:15" x14ac:dyDescent="0.2">
      <c r="C501">
        <v>482</v>
      </c>
      <c r="D501" s="7">
        <v>2554.3058616867775</v>
      </c>
      <c r="E501" s="7">
        <f t="shared" si="58"/>
        <v>76.384744667666794</v>
      </c>
      <c r="F501" s="7">
        <f t="shared" si="59"/>
        <v>206.2665793756033</v>
      </c>
      <c r="G501" s="7">
        <v>0</v>
      </c>
      <c r="H501" s="7">
        <f t="shared" si="60"/>
        <v>0</v>
      </c>
      <c r="I501" s="7">
        <f t="shared" si="61"/>
        <v>0</v>
      </c>
      <c r="J501" s="7">
        <v>0</v>
      </c>
      <c r="K501" s="7">
        <f t="shared" si="62"/>
        <v>0</v>
      </c>
      <c r="L501" s="7">
        <f t="shared" si="63"/>
        <v>0</v>
      </c>
      <c r="M501" s="7">
        <v>0</v>
      </c>
      <c r="N501" s="7">
        <f t="shared" si="64"/>
        <v>0</v>
      </c>
      <c r="O501" s="7">
        <f t="shared" si="65"/>
        <v>0</v>
      </c>
    </row>
    <row r="502" spans="3:15" x14ac:dyDescent="0.2">
      <c r="C502">
        <v>483</v>
      </c>
      <c r="D502" s="7">
        <v>2713.9499780422016</v>
      </c>
      <c r="E502" s="7">
        <f t="shared" si="58"/>
        <v>81.158791209395986</v>
      </c>
      <c r="F502" s="7">
        <f t="shared" si="59"/>
        <v>219.15824058657856</v>
      </c>
      <c r="G502" s="7">
        <v>0</v>
      </c>
      <c r="H502" s="7">
        <f t="shared" si="60"/>
        <v>0</v>
      </c>
      <c r="I502" s="7">
        <f t="shared" si="61"/>
        <v>0</v>
      </c>
      <c r="J502" s="7">
        <v>0</v>
      </c>
      <c r="K502" s="7">
        <f t="shared" si="62"/>
        <v>0</v>
      </c>
      <c r="L502" s="7">
        <f t="shared" si="63"/>
        <v>0</v>
      </c>
      <c r="M502" s="7">
        <v>0</v>
      </c>
      <c r="N502" s="7">
        <f t="shared" si="64"/>
        <v>0</v>
      </c>
      <c r="O502" s="7">
        <f t="shared" si="65"/>
        <v>0</v>
      </c>
    </row>
    <row r="503" spans="3:15" x14ac:dyDescent="0.2">
      <c r="C503">
        <v>484</v>
      </c>
      <c r="D503" s="7">
        <v>2873.5940943976243</v>
      </c>
      <c r="E503" s="7">
        <f t="shared" si="58"/>
        <v>85.932837751125135</v>
      </c>
      <c r="F503" s="7">
        <f t="shared" si="59"/>
        <v>232.0499017975537</v>
      </c>
      <c r="G503" s="7">
        <v>0</v>
      </c>
      <c r="H503" s="7">
        <f t="shared" si="60"/>
        <v>0</v>
      </c>
      <c r="I503" s="7">
        <f t="shared" si="61"/>
        <v>0</v>
      </c>
      <c r="J503" s="7">
        <v>0</v>
      </c>
      <c r="K503" s="7">
        <f t="shared" si="62"/>
        <v>0</v>
      </c>
      <c r="L503" s="7">
        <f t="shared" si="63"/>
        <v>0</v>
      </c>
      <c r="M503" s="7">
        <v>0</v>
      </c>
      <c r="N503" s="7">
        <f t="shared" si="64"/>
        <v>0</v>
      </c>
      <c r="O503" s="7">
        <f t="shared" si="65"/>
        <v>0</v>
      </c>
    </row>
    <row r="504" spans="3:15" x14ac:dyDescent="0.2">
      <c r="C504">
        <v>485</v>
      </c>
      <c r="D504" s="7">
        <v>3033.238210753048</v>
      </c>
      <c r="E504" s="7">
        <f t="shared" si="58"/>
        <v>90.706884292854312</v>
      </c>
      <c r="F504" s="7">
        <f t="shared" si="59"/>
        <v>244.9415630085289</v>
      </c>
      <c r="G504" s="7">
        <v>0</v>
      </c>
      <c r="H504" s="7">
        <f t="shared" si="60"/>
        <v>0</v>
      </c>
      <c r="I504" s="7">
        <f t="shared" si="61"/>
        <v>0</v>
      </c>
      <c r="J504" s="7">
        <v>0</v>
      </c>
      <c r="K504" s="7">
        <f t="shared" si="62"/>
        <v>0</v>
      </c>
      <c r="L504" s="7">
        <f t="shared" si="63"/>
        <v>0</v>
      </c>
      <c r="M504" s="7">
        <v>0</v>
      </c>
      <c r="N504" s="7">
        <f t="shared" si="64"/>
        <v>0</v>
      </c>
      <c r="O504" s="7">
        <f t="shared" si="65"/>
        <v>0</v>
      </c>
    </row>
    <row r="505" spans="3:15" x14ac:dyDescent="0.2">
      <c r="C505">
        <v>486</v>
      </c>
      <c r="D505" s="7">
        <v>3192.8823271084716</v>
      </c>
      <c r="E505" s="7">
        <f t="shared" si="58"/>
        <v>95.480930834583489</v>
      </c>
      <c r="F505" s="7">
        <f t="shared" si="59"/>
        <v>257.83322421950413</v>
      </c>
      <c r="G505" s="7">
        <v>0</v>
      </c>
      <c r="H505" s="7">
        <f t="shared" si="60"/>
        <v>0</v>
      </c>
      <c r="I505" s="7">
        <f t="shared" si="61"/>
        <v>0</v>
      </c>
      <c r="J505" s="7">
        <v>0</v>
      </c>
      <c r="K505" s="7">
        <f t="shared" si="62"/>
        <v>0</v>
      </c>
      <c r="L505" s="7">
        <f t="shared" si="63"/>
        <v>0</v>
      </c>
      <c r="M505" s="7">
        <v>0</v>
      </c>
      <c r="N505" s="7">
        <f t="shared" si="64"/>
        <v>0</v>
      </c>
      <c r="O505" s="7">
        <f t="shared" si="65"/>
        <v>0</v>
      </c>
    </row>
    <row r="506" spans="3:15" x14ac:dyDescent="0.2">
      <c r="C506">
        <v>487</v>
      </c>
      <c r="D506" s="7">
        <v>3352.5264434638952</v>
      </c>
      <c r="E506" s="7">
        <f t="shared" si="58"/>
        <v>100.25497737631267</v>
      </c>
      <c r="F506" s="7">
        <f t="shared" si="59"/>
        <v>270.72488543047933</v>
      </c>
      <c r="G506" s="7">
        <v>2849.0266001428145</v>
      </c>
      <c r="H506" s="7">
        <f t="shared" si="60"/>
        <v>68.158531103895086</v>
      </c>
      <c r="I506" s="7">
        <f t="shared" si="61"/>
        <v>148.1154213700303</v>
      </c>
      <c r="J506" s="7">
        <v>0</v>
      </c>
      <c r="K506" s="7">
        <f t="shared" si="62"/>
        <v>0</v>
      </c>
      <c r="L506" s="7">
        <f t="shared" si="63"/>
        <v>0</v>
      </c>
      <c r="M506" s="7">
        <v>1116.1476241140742</v>
      </c>
      <c r="N506" s="7">
        <f t="shared" si="64"/>
        <v>89.006987568905444</v>
      </c>
      <c r="O506" s="7">
        <f t="shared" si="65"/>
        <v>33.692258611132239</v>
      </c>
    </row>
    <row r="507" spans="3:15" x14ac:dyDescent="0.2">
      <c r="C507">
        <v>488</v>
      </c>
      <c r="D507" s="7">
        <v>3405.6189401504457</v>
      </c>
      <c r="E507" s="7">
        <f t="shared" si="58"/>
        <v>101.84267165521669</v>
      </c>
      <c r="F507" s="7">
        <f t="shared" si="59"/>
        <v>275.0122371710471</v>
      </c>
      <c r="G507" s="7">
        <v>2848.9170198159309</v>
      </c>
      <c r="H507" s="7">
        <f t="shared" si="60"/>
        <v>68.155909564974422</v>
      </c>
      <c r="I507" s="7">
        <f t="shared" si="61"/>
        <v>148.10972449928528</v>
      </c>
      <c r="J507" s="7">
        <v>106.55161966887317</v>
      </c>
      <c r="K507" s="7">
        <f t="shared" si="62"/>
        <v>1.6993878735067494</v>
      </c>
      <c r="L507" s="7">
        <f t="shared" si="63"/>
        <v>6.3965156446933529</v>
      </c>
      <c r="M507" s="7">
        <v>1116.2572044409578</v>
      </c>
      <c r="N507" s="7">
        <f t="shared" si="64"/>
        <v>89.01572603197431</v>
      </c>
      <c r="O507" s="7">
        <f t="shared" si="65"/>
        <v>33.695566425109789</v>
      </c>
    </row>
    <row r="508" spans="3:15" x14ac:dyDescent="0.2">
      <c r="C508">
        <v>489</v>
      </c>
      <c r="D508" s="7">
        <v>3405.9412668986752</v>
      </c>
      <c r="E508" s="7">
        <f t="shared" si="58"/>
        <v>101.85231061299866</v>
      </c>
      <c r="F508" s="7">
        <f t="shared" si="59"/>
        <v>275.03826586118788</v>
      </c>
      <c r="G508" s="7">
        <v>0</v>
      </c>
      <c r="H508" s="7">
        <f t="shared" si="60"/>
        <v>0</v>
      </c>
      <c r="I508" s="7">
        <f t="shared" si="61"/>
        <v>0</v>
      </c>
      <c r="J508" s="7">
        <v>265.87340927606783</v>
      </c>
      <c r="K508" s="7">
        <f t="shared" si="62"/>
        <v>4.2404052516119277</v>
      </c>
      <c r="L508" s="7">
        <f t="shared" si="63"/>
        <v>15.960934495669052</v>
      </c>
      <c r="M508" s="7">
        <v>0</v>
      </c>
      <c r="N508" s="7">
        <f t="shared" si="64"/>
        <v>0</v>
      </c>
      <c r="O508" s="7">
        <f t="shared" si="65"/>
        <v>0</v>
      </c>
    </row>
    <row r="509" spans="3:15" x14ac:dyDescent="0.2">
      <c r="C509">
        <v>490</v>
      </c>
      <c r="D509" s="7">
        <v>3403.9745626930944</v>
      </c>
      <c r="E509" s="7">
        <f t="shared" si="58"/>
        <v>101.79349768819063</v>
      </c>
      <c r="F509" s="7">
        <f t="shared" si="59"/>
        <v>274.87944958346111</v>
      </c>
      <c r="G509" s="7">
        <v>0</v>
      </c>
      <c r="H509" s="7">
        <f t="shared" si="60"/>
        <v>0</v>
      </c>
      <c r="I509" s="7">
        <f t="shared" si="61"/>
        <v>0</v>
      </c>
      <c r="J509" s="7">
        <v>427.48422983707223</v>
      </c>
      <c r="K509" s="7">
        <f t="shared" si="62"/>
        <v>6.8179303004317742</v>
      </c>
      <c r="L509" s="7">
        <f t="shared" si="63"/>
        <v>25.662768642186315</v>
      </c>
      <c r="M509" s="7">
        <v>0</v>
      </c>
      <c r="N509" s="7">
        <f t="shared" si="64"/>
        <v>0</v>
      </c>
      <c r="O509" s="7">
        <f t="shared" si="65"/>
        <v>0</v>
      </c>
    </row>
    <row r="510" spans="3:15" x14ac:dyDescent="0.2">
      <c r="C510">
        <v>491</v>
      </c>
      <c r="D510" s="7">
        <v>3402.0238940090135</v>
      </c>
      <c r="E510" s="7">
        <f t="shared" si="58"/>
        <v>101.73516429452792</v>
      </c>
      <c r="F510" s="7">
        <f t="shared" si="59"/>
        <v>274.72192821415462</v>
      </c>
      <c r="G510" s="7">
        <v>0</v>
      </c>
      <c r="H510" s="7">
        <f t="shared" si="60"/>
        <v>0</v>
      </c>
      <c r="I510" s="7">
        <f t="shared" si="61"/>
        <v>0</v>
      </c>
      <c r="J510" s="7">
        <v>589.07901487657637</v>
      </c>
      <c r="K510" s="7">
        <f t="shared" si="62"/>
        <v>9.3951995993074391</v>
      </c>
      <c r="L510" s="7">
        <f t="shared" si="63"/>
        <v>35.363640142950608</v>
      </c>
      <c r="M510" s="7">
        <v>0</v>
      </c>
      <c r="N510" s="7">
        <f t="shared" si="64"/>
        <v>0</v>
      </c>
      <c r="O510" s="7">
        <f t="shared" si="65"/>
        <v>0</v>
      </c>
    </row>
    <row r="511" spans="3:15" x14ac:dyDescent="0.2">
      <c r="C511">
        <v>492</v>
      </c>
      <c r="D511" s="7">
        <v>3400.0891996548894</v>
      </c>
      <c r="E511" s="7">
        <f t="shared" si="58"/>
        <v>101.67730860211991</v>
      </c>
      <c r="F511" s="7">
        <f t="shared" si="59"/>
        <v>274.56569681189848</v>
      </c>
      <c r="G511" s="7">
        <v>0</v>
      </c>
      <c r="H511" s="7">
        <f t="shared" si="60"/>
        <v>0</v>
      </c>
      <c r="I511" s="7">
        <f t="shared" si="61"/>
        <v>0</v>
      </c>
      <c r="J511" s="7">
        <v>750.65782558612455</v>
      </c>
      <c r="K511" s="7">
        <f t="shared" si="62"/>
        <v>11.972214124180615</v>
      </c>
      <c r="L511" s="7">
        <f t="shared" si="63"/>
        <v>45.063552671417767</v>
      </c>
      <c r="M511" s="7">
        <v>0</v>
      </c>
      <c r="N511" s="7">
        <f t="shared" si="64"/>
        <v>0</v>
      </c>
      <c r="O511" s="7">
        <f t="shared" si="65"/>
        <v>0</v>
      </c>
    </row>
    <row r="512" spans="3:15" x14ac:dyDescent="0.2">
      <c r="C512">
        <v>493</v>
      </c>
      <c r="D512" s="7">
        <v>3398.170418618764</v>
      </c>
      <c r="E512" s="7">
        <f t="shared" si="58"/>
        <v>101.61992878644629</v>
      </c>
      <c r="F512" s="7">
        <f t="shared" si="59"/>
        <v>274.41075044982455</v>
      </c>
      <c r="G512" s="7">
        <v>0</v>
      </c>
      <c r="H512" s="7">
        <f t="shared" si="60"/>
        <v>0</v>
      </c>
      <c r="I512" s="7">
        <f t="shared" si="61"/>
        <v>0</v>
      </c>
      <c r="J512" s="7">
        <v>912.22072297767363</v>
      </c>
      <c r="K512" s="7">
        <f t="shared" si="62"/>
        <v>14.548974848128767</v>
      </c>
      <c r="L512" s="7">
        <f t="shared" si="63"/>
        <v>54.762509890262635</v>
      </c>
      <c r="M512" s="7">
        <v>0</v>
      </c>
      <c r="N512" s="7">
        <f t="shared" si="64"/>
        <v>0</v>
      </c>
      <c r="O512" s="7">
        <f t="shared" si="65"/>
        <v>0</v>
      </c>
    </row>
    <row r="513" spans="3:15" x14ac:dyDescent="0.2">
      <c r="C513">
        <v>494</v>
      </c>
      <c r="D513" s="7">
        <v>3396.2674900678289</v>
      </c>
      <c r="E513" s="7">
        <f t="shared" si="58"/>
        <v>101.56302302834418</v>
      </c>
      <c r="F513" s="7">
        <f t="shared" si="59"/>
        <v>274.25708421553173</v>
      </c>
      <c r="G513" s="7">
        <v>0</v>
      </c>
      <c r="H513" s="7">
        <f t="shared" si="60"/>
        <v>0</v>
      </c>
      <c r="I513" s="7">
        <f t="shared" si="61"/>
        <v>0</v>
      </c>
      <c r="J513" s="7">
        <v>1073.7677678840332</v>
      </c>
      <c r="K513" s="7">
        <f t="shared" si="62"/>
        <v>17.125482741372142</v>
      </c>
      <c r="L513" s="7">
        <f t="shared" si="63"/>
        <v>64.460515451405485</v>
      </c>
      <c r="M513" s="7">
        <v>0</v>
      </c>
      <c r="N513" s="7">
        <f t="shared" si="64"/>
        <v>0</v>
      </c>
      <c r="O513" s="7">
        <f t="shared" si="65"/>
        <v>0</v>
      </c>
    </row>
    <row r="514" spans="3:15" x14ac:dyDescent="0.2">
      <c r="C514">
        <v>495</v>
      </c>
      <c r="D514" s="7">
        <v>3394.3803533479945</v>
      </c>
      <c r="E514" s="7">
        <f t="shared" si="58"/>
        <v>101.50658951399505</v>
      </c>
      <c r="F514" s="7">
        <f t="shared" si="59"/>
        <v>274.10469321105063</v>
      </c>
      <c r="G514" s="7">
        <v>0</v>
      </c>
      <c r="H514" s="7">
        <f t="shared" si="60"/>
        <v>0</v>
      </c>
      <c r="I514" s="7">
        <f t="shared" si="61"/>
        <v>0</v>
      </c>
      <c r="J514" s="7">
        <v>916.01078824844308</v>
      </c>
      <c r="K514" s="7">
        <f t="shared" si="62"/>
        <v>14.609422460102762</v>
      </c>
      <c r="L514" s="7">
        <f t="shared" si="63"/>
        <v>54.99003540206833</v>
      </c>
      <c r="M514" s="7">
        <v>0</v>
      </c>
      <c r="N514" s="7">
        <f t="shared" si="64"/>
        <v>0</v>
      </c>
      <c r="O514" s="7">
        <f t="shared" si="65"/>
        <v>0</v>
      </c>
    </row>
    <row r="515" spans="3:15" x14ac:dyDescent="0.2">
      <c r="C515">
        <v>496</v>
      </c>
      <c r="D515" s="7">
        <v>3394.7812467775102</v>
      </c>
      <c r="E515" s="7">
        <f t="shared" si="58"/>
        <v>101.51857795387292</v>
      </c>
      <c r="F515" s="7">
        <f t="shared" si="59"/>
        <v>274.13706635697679</v>
      </c>
      <c r="G515" s="7">
        <v>2831.1522169005816</v>
      </c>
      <c r="H515" s="7">
        <f t="shared" si="60"/>
        <v>67.730914279918224</v>
      </c>
      <c r="I515" s="7">
        <f t="shared" si="61"/>
        <v>147.18616651311882</v>
      </c>
      <c r="J515" s="7">
        <v>1075.2540111743501</v>
      </c>
      <c r="K515" s="7">
        <f t="shared" si="62"/>
        <v>17.149186781090116</v>
      </c>
      <c r="L515" s="7">
        <f t="shared" si="63"/>
        <v>64.549737731534833</v>
      </c>
      <c r="M515" s="7">
        <v>1134.0220073563069</v>
      </c>
      <c r="N515" s="7">
        <f t="shared" si="64"/>
        <v>90.432376982161642</v>
      </c>
      <c r="O515" s="7">
        <f t="shared" si="65"/>
        <v>34.231818369806462</v>
      </c>
    </row>
    <row r="516" spans="3:15" x14ac:dyDescent="0.2">
      <c r="C516">
        <v>497</v>
      </c>
      <c r="D516" s="7">
        <v>3399.2686557124634</v>
      </c>
      <c r="E516" s="7">
        <f t="shared" si="58"/>
        <v>101.65277080479855</v>
      </c>
      <c r="F516" s="7">
        <f t="shared" si="59"/>
        <v>274.49943583870402</v>
      </c>
      <c r="G516" s="7">
        <v>2829.3260243899172</v>
      </c>
      <c r="H516" s="7">
        <f t="shared" si="60"/>
        <v>67.687225463873617</v>
      </c>
      <c r="I516" s="7">
        <f t="shared" si="61"/>
        <v>147.09122627170223</v>
      </c>
      <c r="J516" s="7">
        <v>1709.3430676610915</v>
      </c>
      <c r="K516" s="7">
        <f t="shared" si="62"/>
        <v>27.26224988295202</v>
      </c>
      <c r="L516" s="7">
        <f t="shared" si="63"/>
        <v>102.61542441514283</v>
      </c>
      <c r="M516" s="7">
        <v>1135.8481998669713</v>
      </c>
      <c r="N516" s="7">
        <f t="shared" si="64"/>
        <v>90.578006368976986</v>
      </c>
      <c r="O516" s="7">
        <f t="shared" si="65"/>
        <v>34.286944187407741</v>
      </c>
    </row>
    <row r="517" spans="3:15" x14ac:dyDescent="0.2">
      <c r="C517">
        <v>498</v>
      </c>
      <c r="D517" s="7">
        <v>3403.7379318243411</v>
      </c>
      <c r="E517" s="7">
        <f t="shared" si="58"/>
        <v>101.7864214062303</v>
      </c>
      <c r="F517" s="7">
        <f t="shared" si="59"/>
        <v>274.86034104966939</v>
      </c>
      <c r="G517" s="7">
        <v>2827.2277398864235</v>
      </c>
      <c r="H517" s="7">
        <f t="shared" si="60"/>
        <v>67.637027270010137</v>
      </c>
      <c r="I517" s="7">
        <f t="shared" si="61"/>
        <v>146.98214049013265</v>
      </c>
      <c r="J517" s="7">
        <v>1545.2296751937893</v>
      </c>
      <c r="K517" s="7">
        <f t="shared" si="62"/>
        <v>24.644811406599512</v>
      </c>
      <c r="L517" s="7">
        <f t="shared" si="63"/>
        <v>92.763355664962546</v>
      </c>
      <c r="M517" s="7">
        <v>1137.946484370465</v>
      </c>
      <c r="N517" s="7">
        <f t="shared" si="64"/>
        <v>90.745333681855271</v>
      </c>
      <c r="O517" s="7">
        <f t="shared" si="65"/>
        <v>34.350283429103087</v>
      </c>
    </row>
    <row r="518" spans="3:15" x14ac:dyDescent="0.2">
      <c r="C518">
        <v>499</v>
      </c>
      <c r="D518" s="7">
        <v>3408.1890841075779</v>
      </c>
      <c r="E518" s="7">
        <f t="shared" si="58"/>
        <v>101.9195300271405</v>
      </c>
      <c r="F518" s="7">
        <f t="shared" si="59"/>
        <v>275.21978271619594</v>
      </c>
      <c r="G518" s="7">
        <v>2825.0730800715878</v>
      </c>
      <c r="H518" s="7">
        <f t="shared" si="60"/>
        <v>67.585480384487752</v>
      </c>
      <c r="I518" s="7">
        <f t="shared" si="61"/>
        <v>146.87012386439545</v>
      </c>
      <c r="J518" s="7">
        <v>1860.0667556213989</v>
      </c>
      <c r="K518" s="7">
        <f t="shared" si="62"/>
        <v>29.666136453291852</v>
      </c>
      <c r="L518" s="7">
        <f t="shared" si="63"/>
        <v>111.66368131691593</v>
      </c>
      <c r="M518" s="7">
        <v>1140.1011441853007</v>
      </c>
      <c r="N518" s="7">
        <f t="shared" si="64"/>
        <v>90.917156633596548</v>
      </c>
      <c r="O518" s="7">
        <f t="shared" si="65"/>
        <v>34.415324427383283</v>
      </c>
    </row>
    <row r="519" spans="3:15" x14ac:dyDescent="0.2">
      <c r="C519">
        <v>500</v>
      </c>
      <c r="D519" s="7">
        <v>3412.6218963721976</v>
      </c>
      <c r="E519" s="7">
        <f t="shared" si="58"/>
        <v>102.05209020251787</v>
      </c>
      <c r="F519" s="7">
        <f t="shared" si="59"/>
        <v>275.57774338040298</v>
      </c>
      <c r="G519" s="7">
        <v>2822.9917108547679</v>
      </c>
      <c r="H519" s="7">
        <f t="shared" si="60"/>
        <v>67.535686862554257</v>
      </c>
      <c r="I519" s="7">
        <f t="shared" si="61"/>
        <v>146.76191747609411</v>
      </c>
      <c r="J519" s="7">
        <v>1504.4168873748486</v>
      </c>
      <c r="K519" s="7">
        <f t="shared" si="62"/>
        <v>23.993889750795034</v>
      </c>
      <c r="L519" s="7">
        <f t="shared" si="63"/>
        <v>90.313279011048778</v>
      </c>
      <c r="M519" s="7">
        <v>1142.1825134021208</v>
      </c>
      <c r="N519" s="7">
        <f t="shared" si="64"/>
        <v>91.08313504004154</v>
      </c>
      <c r="O519" s="7">
        <f t="shared" si="65"/>
        <v>34.478153060803542</v>
      </c>
    </row>
    <row r="520" spans="3:15" x14ac:dyDescent="0.2">
      <c r="C520">
        <v>501</v>
      </c>
      <c r="D520" s="7">
        <v>3417.0372666122021</v>
      </c>
      <c r="E520" s="7">
        <f t="shared" si="58"/>
        <v>102.18412878625007</v>
      </c>
      <c r="F520" s="7">
        <f t="shared" si="59"/>
        <v>275.93429555754949</v>
      </c>
      <c r="G520" s="7">
        <v>2821.4358207654227</v>
      </c>
      <c r="H520" s="7">
        <f t="shared" si="60"/>
        <v>67.498464611612988</v>
      </c>
      <c r="I520" s="7">
        <f t="shared" si="61"/>
        <v>146.68102973844461</v>
      </c>
      <c r="J520" s="7">
        <v>1148.7844611529126</v>
      </c>
      <c r="K520" s="7">
        <f t="shared" si="62"/>
        <v>18.321921230508973</v>
      </c>
      <c r="L520" s="7">
        <f t="shared" si="63"/>
        <v>68.963923786245886</v>
      </c>
      <c r="M520" s="7">
        <v>1143.7384034914658</v>
      </c>
      <c r="N520" s="7">
        <f t="shared" si="64"/>
        <v>91.207209209845757</v>
      </c>
      <c r="O520" s="7">
        <f t="shared" si="65"/>
        <v>34.525119474679414</v>
      </c>
    </row>
    <row r="521" spans="3:15" x14ac:dyDescent="0.2">
      <c r="C521">
        <v>502</v>
      </c>
      <c r="D521" s="7">
        <v>3421.4364257577445</v>
      </c>
      <c r="E521" s="7">
        <f t="shared" si="58"/>
        <v>102.31568258844931</v>
      </c>
      <c r="F521" s="7">
        <f t="shared" si="59"/>
        <v>276.28953864832044</v>
      </c>
      <c r="G521" s="7">
        <v>2820.4047373862495</v>
      </c>
      <c r="H521" s="7">
        <f t="shared" si="60"/>
        <v>67.473797545125592</v>
      </c>
      <c r="I521" s="7">
        <f t="shared" si="61"/>
        <v>146.62742569376275</v>
      </c>
      <c r="J521" s="7">
        <v>793.16824602543784</v>
      </c>
      <c r="K521" s="7">
        <f t="shared" si="62"/>
        <v>12.65021126037381</v>
      </c>
      <c r="L521" s="7">
        <f t="shared" si="63"/>
        <v>47.615541747206493</v>
      </c>
      <c r="M521" s="7">
        <v>1144.7694868706392</v>
      </c>
      <c r="N521" s="7">
        <f t="shared" si="64"/>
        <v>91.289432764803763</v>
      </c>
      <c r="O521" s="7">
        <f t="shared" si="65"/>
        <v>34.556243966736027</v>
      </c>
    </row>
    <row r="522" spans="3:15" x14ac:dyDescent="0.2">
      <c r="C522">
        <v>503</v>
      </c>
      <c r="D522" s="7">
        <v>3421.7389064788208</v>
      </c>
      <c r="E522" s="7">
        <f t="shared" si="58"/>
        <v>102.32472806455804</v>
      </c>
      <c r="F522" s="7">
        <f t="shared" si="59"/>
        <v>276.31396472219018</v>
      </c>
      <c r="G522" s="7">
        <v>0</v>
      </c>
      <c r="H522" s="7">
        <f t="shared" si="60"/>
        <v>0</v>
      </c>
      <c r="I522" s="7">
        <f t="shared" si="61"/>
        <v>0</v>
      </c>
      <c r="J522" s="7">
        <v>441.64870932243002</v>
      </c>
      <c r="K522" s="7">
        <f t="shared" si="62"/>
        <v>7.0438390641535893</v>
      </c>
      <c r="L522" s="7">
        <f t="shared" si="63"/>
        <v>26.51309184617509</v>
      </c>
      <c r="M522" s="7">
        <v>0</v>
      </c>
      <c r="N522" s="7">
        <f t="shared" si="64"/>
        <v>0</v>
      </c>
      <c r="O522" s="7">
        <f t="shared" si="65"/>
        <v>0</v>
      </c>
    </row>
    <row r="523" spans="3:15" x14ac:dyDescent="0.2">
      <c r="C523">
        <v>504</v>
      </c>
      <c r="D523" s="7">
        <v>3419.797916153776</v>
      </c>
      <c r="E523" s="7">
        <f t="shared" si="58"/>
        <v>102.26668409550766</v>
      </c>
      <c r="F523" s="7">
        <f t="shared" si="59"/>
        <v>276.15722490455386</v>
      </c>
      <c r="G523" s="7">
        <v>0</v>
      </c>
      <c r="H523" s="7">
        <f t="shared" si="60"/>
        <v>0</v>
      </c>
      <c r="I523" s="7">
        <f t="shared" si="61"/>
        <v>0</v>
      </c>
      <c r="J523" s="7">
        <v>92.37264366554291</v>
      </c>
      <c r="K523" s="7">
        <f t="shared" si="62"/>
        <v>1.4732479053515617</v>
      </c>
      <c r="L523" s="7">
        <f t="shared" si="63"/>
        <v>5.545322184538672</v>
      </c>
      <c r="M523" s="7">
        <v>0</v>
      </c>
      <c r="N523" s="7">
        <f t="shared" si="64"/>
        <v>0</v>
      </c>
      <c r="O523" s="7">
        <f t="shared" si="65"/>
        <v>0</v>
      </c>
    </row>
    <row r="524" spans="3:15" x14ac:dyDescent="0.2">
      <c r="C524">
        <v>505</v>
      </c>
      <c r="D524" s="7">
        <v>2713.9499780422011</v>
      </c>
      <c r="E524" s="7">
        <f t="shared" si="58"/>
        <v>81.158791209395972</v>
      </c>
      <c r="F524" s="7">
        <f t="shared" si="59"/>
        <v>219.15824058657853</v>
      </c>
      <c r="G524" s="7">
        <v>0</v>
      </c>
      <c r="H524" s="7">
        <f t="shared" si="60"/>
        <v>0</v>
      </c>
      <c r="I524" s="7">
        <f t="shared" si="61"/>
        <v>0</v>
      </c>
      <c r="J524" s="7">
        <v>0</v>
      </c>
      <c r="K524" s="7">
        <f t="shared" si="62"/>
        <v>0</v>
      </c>
      <c r="L524" s="7">
        <f t="shared" si="63"/>
        <v>0</v>
      </c>
      <c r="M524" s="7">
        <v>0</v>
      </c>
      <c r="N524" s="7">
        <f t="shared" si="64"/>
        <v>0</v>
      </c>
      <c r="O524" s="7">
        <f t="shared" si="65"/>
        <v>0</v>
      </c>
    </row>
    <row r="525" spans="3:15" x14ac:dyDescent="0.2">
      <c r="C525">
        <v>506</v>
      </c>
      <c r="D525" s="7">
        <v>2554.3058616867775</v>
      </c>
      <c r="E525" s="7">
        <f t="shared" si="58"/>
        <v>76.384744667666794</v>
      </c>
      <c r="F525" s="7">
        <f t="shared" si="59"/>
        <v>206.2665793756033</v>
      </c>
      <c r="G525" s="7">
        <v>0</v>
      </c>
      <c r="H525" s="7">
        <f t="shared" si="60"/>
        <v>0</v>
      </c>
      <c r="I525" s="7">
        <f t="shared" si="61"/>
        <v>0</v>
      </c>
      <c r="J525" s="7">
        <v>0</v>
      </c>
      <c r="K525" s="7">
        <f t="shared" si="62"/>
        <v>0</v>
      </c>
      <c r="L525" s="7">
        <f t="shared" si="63"/>
        <v>0</v>
      </c>
      <c r="M525" s="7">
        <v>0</v>
      </c>
      <c r="N525" s="7">
        <f t="shared" si="64"/>
        <v>0</v>
      </c>
      <c r="O525" s="7">
        <f t="shared" si="65"/>
        <v>0</v>
      </c>
    </row>
    <row r="526" spans="3:15" x14ac:dyDescent="0.2">
      <c r="C526">
        <v>507</v>
      </c>
      <c r="D526" s="7">
        <v>2713.9499780422011</v>
      </c>
      <c r="E526" s="7">
        <f t="shared" si="58"/>
        <v>81.158791209395972</v>
      </c>
      <c r="F526" s="7">
        <f t="shared" si="59"/>
        <v>219.15824058657853</v>
      </c>
      <c r="G526" s="7">
        <v>0</v>
      </c>
      <c r="H526" s="7">
        <f t="shared" si="60"/>
        <v>0</v>
      </c>
      <c r="I526" s="7">
        <f t="shared" si="61"/>
        <v>0</v>
      </c>
      <c r="J526" s="7">
        <v>0</v>
      </c>
      <c r="K526" s="7">
        <f t="shared" si="62"/>
        <v>0</v>
      </c>
      <c r="L526" s="7">
        <f t="shared" si="63"/>
        <v>0</v>
      </c>
      <c r="M526" s="7">
        <v>0</v>
      </c>
      <c r="N526" s="7">
        <f t="shared" si="64"/>
        <v>0</v>
      </c>
      <c r="O526" s="7">
        <f t="shared" si="65"/>
        <v>0</v>
      </c>
    </row>
    <row r="527" spans="3:15" x14ac:dyDescent="0.2">
      <c r="C527">
        <v>508</v>
      </c>
      <c r="D527" s="7">
        <v>2873.5940943976243</v>
      </c>
      <c r="E527" s="7">
        <f t="shared" si="58"/>
        <v>85.932837751125135</v>
      </c>
      <c r="F527" s="7">
        <f t="shared" si="59"/>
        <v>232.0499017975537</v>
      </c>
      <c r="G527" s="7">
        <v>0</v>
      </c>
      <c r="H527" s="7">
        <f t="shared" si="60"/>
        <v>0</v>
      </c>
      <c r="I527" s="7">
        <f t="shared" si="61"/>
        <v>0</v>
      </c>
      <c r="J527" s="7">
        <v>0</v>
      </c>
      <c r="K527" s="7">
        <f t="shared" si="62"/>
        <v>0</v>
      </c>
      <c r="L527" s="7">
        <f t="shared" si="63"/>
        <v>0</v>
      </c>
      <c r="M527" s="7">
        <v>0</v>
      </c>
      <c r="N527" s="7">
        <f t="shared" si="64"/>
        <v>0</v>
      </c>
      <c r="O527" s="7">
        <f t="shared" si="65"/>
        <v>0</v>
      </c>
    </row>
    <row r="528" spans="3:15" x14ac:dyDescent="0.2">
      <c r="C528">
        <v>509</v>
      </c>
      <c r="D528" s="7">
        <v>3272.704385286183</v>
      </c>
      <c r="E528" s="7">
        <f t="shared" si="58"/>
        <v>97.867954105448064</v>
      </c>
      <c r="F528" s="7">
        <f t="shared" si="59"/>
        <v>264.2790548249917</v>
      </c>
      <c r="G528" s="7">
        <v>0</v>
      </c>
      <c r="H528" s="7">
        <f t="shared" si="60"/>
        <v>0</v>
      </c>
      <c r="I528" s="7">
        <f t="shared" si="61"/>
        <v>0</v>
      </c>
      <c r="J528" s="7">
        <v>0</v>
      </c>
      <c r="K528" s="7">
        <f t="shared" si="62"/>
        <v>0</v>
      </c>
      <c r="L528" s="7">
        <f t="shared" si="63"/>
        <v>0</v>
      </c>
      <c r="M528" s="7">
        <v>0</v>
      </c>
      <c r="N528" s="7">
        <f t="shared" si="64"/>
        <v>0</v>
      </c>
      <c r="O528" s="7">
        <f t="shared" si="65"/>
        <v>0</v>
      </c>
    </row>
    <row r="529" spans="3:15" x14ac:dyDescent="0.2">
      <c r="C529">
        <v>510</v>
      </c>
      <c r="D529" s="7">
        <v>3414.8839992059793</v>
      </c>
      <c r="E529" s="7">
        <f t="shared" si="58"/>
        <v>102.11973681836064</v>
      </c>
      <c r="F529" s="7">
        <f t="shared" si="59"/>
        <v>275.76041383530765</v>
      </c>
      <c r="G529" s="7">
        <v>0</v>
      </c>
      <c r="H529" s="7">
        <f t="shared" si="60"/>
        <v>0</v>
      </c>
      <c r="I529" s="7">
        <f t="shared" si="61"/>
        <v>0</v>
      </c>
      <c r="J529" s="7">
        <v>97.286560613339134</v>
      </c>
      <c r="K529" s="7">
        <f t="shared" si="62"/>
        <v>1.551619786496637</v>
      </c>
      <c r="L529" s="7">
        <f t="shared" si="63"/>
        <v>5.8403148531717939</v>
      </c>
      <c r="M529" s="7">
        <v>0</v>
      </c>
      <c r="N529" s="7">
        <f t="shared" si="64"/>
        <v>0</v>
      </c>
      <c r="O529" s="7">
        <f t="shared" si="65"/>
        <v>0</v>
      </c>
    </row>
    <row r="530" spans="3:15" x14ac:dyDescent="0.2">
      <c r="C530">
        <v>511</v>
      </c>
      <c r="D530" s="7">
        <v>3415.2646670784611</v>
      </c>
      <c r="E530" s="7">
        <f t="shared" si="58"/>
        <v>102.13112042698748</v>
      </c>
      <c r="F530" s="7">
        <f t="shared" si="59"/>
        <v>275.79115371697674</v>
      </c>
      <c r="G530" s="7">
        <v>2812.0992940901842</v>
      </c>
      <c r="H530" s="7">
        <f t="shared" si="60"/>
        <v>67.275102729430245</v>
      </c>
      <c r="I530" s="7">
        <f t="shared" si="61"/>
        <v>146.19564164745026</v>
      </c>
      <c r="J530" s="7">
        <v>336.37206727399234</v>
      </c>
      <c r="K530" s="7">
        <f t="shared" si="62"/>
        <v>5.3647857619456518</v>
      </c>
      <c r="L530" s="7">
        <f t="shared" si="63"/>
        <v>20.193115763443291</v>
      </c>
      <c r="M530" s="7">
        <v>1153.0749301667045</v>
      </c>
      <c r="N530" s="7">
        <f t="shared" si="64"/>
        <v>91.951748817121569</v>
      </c>
      <c r="O530" s="7">
        <f t="shared" si="65"/>
        <v>34.806953762972199</v>
      </c>
    </row>
    <row r="531" spans="3:15" x14ac:dyDescent="0.2">
      <c r="C531">
        <v>512</v>
      </c>
      <c r="D531" s="7">
        <v>3419.7217090025724</v>
      </c>
      <c r="E531" s="7">
        <f t="shared" si="58"/>
        <v>102.26440517352191</v>
      </c>
      <c r="F531" s="7">
        <f t="shared" si="59"/>
        <v>276.15107098671712</v>
      </c>
      <c r="G531" s="7">
        <v>2812.2123586518701</v>
      </c>
      <c r="H531" s="7">
        <f t="shared" si="60"/>
        <v>67.277807623250482</v>
      </c>
      <c r="I531" s="7">
        <f t="shared" si="61"/>
        <v>146.20151965687117</v>
      </c>
      <c r="J531" s="7">
        <v>571.3811998830156</v>
      </c>
      <c r="K531" s="7">
        <f t="shared" si="62"/>
        <v>9.1129377971772829</v>
      </c>
      <c r="L531" s="7">
        <f t="shared" si="63"/>
        <v>34.301203449496292</v>
      </c>
      <c r="M531" s="7">
        <v>1152.9618656050186</v>
      </c>
      <c r="N531" s="7">
        <f t="shared" si="64"/>
        <v>91.94273250438745</v>
      </c>
      <c r="O531" s="7">
        <f t="shared" si="65"/>
        <v>34.803540773176067</v>
      </c>
    </row>
    <row r="532" spans="3:15" x14ac:dyDescent="0.2">
      <c r="C532">
        <v>513</v>
      </c>
      <c r="D532" s="7">
        <v>3420.0886241764583</v>
      </c>
      <c r="E532" s="7">
        <f t="shared" si="58"/>
        <v>102.2753775172386</v>
      </c>
      <c r="F532" s="7">
        <f t="shared" si="59"/>
        <v>276.18070030361827</v>
      </c>
      <c r="G532" s="7">
        <v>0</v>
      </c>
      <c r="H532" s="7">
        <f t="shared" si="60"/>
        <v>0</v>
      </c>
      <c r="I532" s="7">
        <f t="shared" si="61"/>
        <v>0</v>
      </c>
      <c r="J532" s="7">
        <v>810.48045924226517</v>
      </c>
      <c r="K532" s="7">
        <f t="shared" si="62"/>
        <v>12.926323113911726</v>
      </c>
      <c r="L532" s="7">
        <f t="shared" si="63"/>
        <v>48.654829962907385</v>
      </c>
      <c r="M532" s="7">
        <v>0</v>
      </c>
      <c r="N532" s="7">
        <f t="shared" si="64"/>
        <v>0</v>
      </c>
      <c r="O532" s="7">
        <f t="shared" si="65"/>
        <v>0</v>
      </c>
    </row>
    <row r="533" spans="3:15" x14ac:dyDescent="0.2">
      <c r="C533">
        <v>514</v>
      </c>
      <c r="D533" s="7">
        <v>3418.2245015426515</v>
      </c>
      <c r="E533" s="7">
        <f t="shared" ref="E533:E596" si="66">D533/($C$3*($D$8-$D$6))</f>
        <v>102.21963222316542</v>
      </c>
      <c r="F533" s="7">
        <f t="shared" ref="F533:F596" si="67">E533*$C$3*((($D$8)-($D$6))-$C$2*LN(($D$8)/($D$6)))</f>
        <v>276.03016774407661</v>
      </c>
      <c r="G533" s="7">
        <v>0</v>
      </c>
      <c r="H533" s="7">
        <f t="shared" ref="H533:H596" si="68">G533/($C$3*($D$6-$D$9))</f>
        <v>0</v>
      </c>
      <c r="I533" s="7">
        <f t="shared" ref="I533:I596" si="69">ABS(H533*$C$3*(($D$9-$D$6)-$C$2*(LN($D$9/$D$6))))</f>
        <v>0</v>
      </c>
      <c r="J533" s="7">
        <v>1051.8107564092079</v>
      </c>
      <c r="K533" s="7">
        <f t="shared" ref="K533:K596" si="70">J533/($C$3*($D$10-$D$7))</f>
        <v>16.775291170800767</v>
      </c>
      <c r="L533" s="7">
        <f t="shared" ref="L533:L596" si="71">K533*$C$3*(($D$10-$D$7)-$C$2*LN($D$10/$D$7))</f>
        <v>63.142390322515865</v>
      </c>
      <c r="M533" s="7">
        <v>0</v>
      </c>
      <c r="N533" s="7">
        <f t="shared" ref="N533:N596" si="72">M533/($C$3*($D$7-$D$11))</f>
        <v>0</v>
      </c>
      <c r="O533" s="7">
        <f t="shared" ref="O533:O596" si="73">ABS(N533*$C$3*(($D$11-$D$7)-$C$2*LN($D$11/$D$7)))</f>
        <v>0</v>
      </c>
    </row>
    <row r="534" spans="3:15" x14ac:dyDescent="0.2">
      <c r="C534">
        <v>515</v>
      </c>
      <c r="D534" s="7">
        <v>3416.3758540406802</v>
      </c>
      <c r="E534" s="7">
        <f t="shared" si="66"/>
        <v>102.16434970217345</v>
      </c>
      <c r="F534" s="7">
        <f t="shared" si="67"/>
        <v>275.88088484008995</v>
      </c>
      <c r="G534" s="7">
        <v>0</v>
      </c>
      <c r="H534" s="7">
        <f t="shared" si="68"/>
        <v>0</v>
      </c>
      <c r="I534" s="7">
        <f t="shared" si="69"/>
        <v>0</v>
      </c>
      <c r="J534" s="7">
        <v>1293.1255784443142</v>
      </c>
      <c r="K534" s="7">
        <f t="shared" si="70"/>
        <v>20.624012415379813</v>
      </c>
      <c r="L534" s="7">
        <f t="shared" si="71"/>
        <v>77.629021677729995</v>
      </c>
      <c r="M534" s="7">
        <v>0</v>
      </c>
      <c r="N534" s="7">
        <f t="shared" si="72"/>
        <v>0</v>
      </c>
      <c r="O534" s="7">
        <f t="shared" si="73"/>
        <v>0</v>
      </c>
    </row>
    <row r="535" spans="3:15" x14ac:dyDescent="0.2">
      <c r="C535">
        <v>516</v>
      </c>
      <c r="D535" s="7">
        <v>3414.5426224034845</v>
      </c>
      <c r="E535" s="7">
        <f t="shared" si="66"/>
        <v>102.10952818192239</v>
      </c>
      <c r="F535" s="7">
        <f t="shared" si="67"/>
        <v>275.73284680569503</v>
      </c>
      <c r="G535" s="7">
        <v>0</v>
      </c>
      <c r="H535" s="7">
        <f t="shared" si="68"/>
        <v>0</v>
      </c>
      <c r="I535" s="7">
        <f t="shared" si="69"/>
        <v>0</v>
      </c>
      <c r="J535" s="7">
        <v>1534.4249846146449</v>
      </c>
      <c r="K535" s="7">
        <f t="shared" si="70"/>
        <v>24.472487792897049</v>
      </c>
      <c r="L535" s="7">
        <f t="shared" si="71"/>
        <v>92.114727586474885</v>
      </c>
      <c r="M535" s="7">
        <v>0</v>
      </c>
      <c r="N535" s="7">
        <f t="shared" si="72"/>
        <v>0</v>
      </c>
      <c r="O535" s="7">
        <f t="shared" si="73"/>
        <v>0</v>
      </c>
    </row>
    <row r="536" spans="3:15" x14ac:dyDescent="0.2">
      <c r="C536">
        <v>517</v>
      </c>
      <c r="D536" s="7">
        <v>3412.7247475383006</v>
      </c>
      <c r="E536" s="7">
        <f t="shared" si="66"/>
        <v>102.05516589528412</v>
      </c>
      <c r="F536" s="7">
        <f t="shared" si="67"/>
        <v>275.5860488690036</v>
      </c>
      <c r="G536" s="7">
        <v>0</v>
      </c>
      <c r="H536" s="7">
        <f t="shared" si="68"/>
        <v>0</v>
      </c>
      <c r="I536" s="7">
        <f t="shared" si="69"/>
        <v>0</v>
      </c>
      <c r="J536" s="7">
        <v>1775.7090340129657</v>
      </c>
      <c r="K536" s="7">
        <f t="shared" si="70"/>
        <v>28.320718245820828</v>
      </c>
      <c r="L536" s="7">
        <f t="shared" si="71"/>
        <v>106.59951159621237</v>
      </c>
      <c r="M536" s="7">
        <v>0</v>
      </c>
      <c r="N536" s="7">
        <f t="shared" si="72"/>
        <v>0</v>
      </c>
      <c r="O536" s="7">
        <f t="shared" si="73"/>
        <v>0</v>
      </c>
    </row>
    <row r="537" spans="3:15" x14ac:dyDescent="0.2">
      <c r="C537">
        <v>518</v>
      </c>
      <c r="D537" s="7">
        <v>3410.9221705262339</v>
      </c>
      <c r="E537" s="7">
        <f t="shared" si="66"/>
        <v>102.00126108032997</v>
      </c>
      <c r="F537" s="7">
        <f t="shared" si="67"/>
        <v>275.44048627216779</v>
      </c>
      <c r="G537" s="7">
        <v>0</v>
      </c>
      <c r="H537" s="7">
        <f t="shared" si="68"/>
        <v>0</v>
      </c>
      <c r="I537" s="7">
        <f t="shared" si="69"/>
        <v>0</v>
      </c>
      <c r="J537" s="7">
        <v>2016.9777855581683</v>
      </c>
      <c r="K537" s="7">
        <f t="shared" si="70"/>
        <v>32.168704713846388</v>
      </c>
      <c r="L537" s="7">
        <f t="shared" si="71"/>
        <v>121.08337724396618</v>
      </c>
      <c r="M537" s="7">
        <v>0</v>
      </c>
      <c r="N537" s="7">
        <f t="shared" si="72"/>
        <v>0</v>
      </c>
      <c r="O537" s="7">
        <f t="shared" si="73"/>
        <v>0</v>
      </c>
    </row>
    <row r="538" spans="3:15" x14ac:dyDescent="0.2">
      <c r="C538">
        <v>519</v>
      </c>
      <c r="D538" s="7">
        <v>3409.1348326218376</v>
      </c>
      <c r="E538" s="7">
        <f t="shared" si="66"/>
        <v>101.94781198031812</v>
      </c>
      <c r="F538" s="7">
        <f t="shared" si="67"/>
        <v>275.29615427134598</v>
      </c>
      <c r="G538" s="7">
        <v>0</v>
      </c>
      <c r="H538" s="7">
        <f t="shared" si="68"/>
        <v>0</v>
      </c>
      <c r="I538" s="7">
        <f t="shared" si="69"/>
        <v>0</v>
      </c>
      <c r="J538" s="7">
        <v>1859.1210071071391</v>
      </c>
      <c r="K538" s="7">
        <f t="shared" si="70"/>
        <v>29.65105274493045</v>
      </c>
      <c r="L538" s="7">
        <f t="shared" si="71"/>
        <v>111.60690606388637</v>
      </c>
      <c r="M538" s="7">
        <v>0</v>
      </c>
      <c r="N538" s="7">
        <f t="shared" si="72"/>
        <v>0</v>
      </c>
      <c r="O538" s="7">
        <f t="shared" si="73"/>
        <v>0</v>
      </c>
    </row>
    <row r="539" spans="3:15" x14ac:dyDescent="0.2">
      <c r="C539">
        <v>520</v>
      </c>
      <c r="D539" s="7">
        <v>3409.5766389956502</v>
      </c>
      <c r="E539" s="7">
        <f t="shared" si="66"/>
        <v>101.9610238934106</v>
      </c>
      <c r="F539" s="7">
        <f t="shared" si="67"/>
        <v>275.33183123973083</v>
      </c>
      <c r="G539" s="7">
        <v>2794.0911037121023</v>
      </c>
      <c r="H539" s="7">
        <f t="shared" si="68"/>
        <v>66.844284777801491</v>
      </c>
      <c r="I539" s="7">
        <f t="shared" si="69"/>
        <v>145.25943041452331</v>
      </c>
      <c r="J539" s="7">
        <v>2071.5380225405593</v>
      </c>
      <c r="K539" s="7">
        <f t="shared" si="70"/>
        <v>33.038883932066341</v>
      </c>
      <c r="L539" s="7">
        <f t="shared" si="71"/>
        <v>124.358741903092</v>
      </c>
      <c r="M539" s="7">
        <v>1171.0831205447864</v>
      </c>
      <c r="N539" s="7">
        <f t="shared" si="72"/>
        <v>93.387808655884086</v>
      </c>
      <c r="O539" s="7">
        <f t="shared" si="73"/>
        <v>35.350552650994224</v>
      </c>
    </row>
    <row r="540" spans="3:15" x14ac:dyDescent="0.2">
      <c r="C540">
        <v>521</v>
      </c>
      <c r="D540" s="7">
        <v>3414.0794893242282</v>
      </c>
      <c r="E540" s="7">
        <f t="shared" si="66"/>
        <v>102.09567850849966</v>
      </c>
      <c r="F540" s="7">
        <f t="shared" si="67"/>
        <v>275.69544765256825</v>
      </c>
      <c r="G540" s="7">
        <v>2791.9484367827963</v>
      </c>
      <c r="H540" s="7">
        <f t="shared" si="68"/>
        <v>66.793024803416188</v>
      </c>
      <c r="I540" s="7">
        <f t="shared" si="69"/>
        <v>145.14803727587244</v>
      </c>
      <c r="J540" s="7">
        <v>2812.0410485372913</v>
      </c>
      <c r="K540" s="7">
        <f t="shared" si="70"/>
        <v>44.849139530100345</v>
      </c>
      <c r="L540" s="7">
        <f t="shared" si="71"/>
        <v>168.81268080567045</v>
      </c>
      <c r="M540" s="7">
        <v>1173.2257874740919</v>
      </c>
      <c r="N540" s="7">
        <f t="shared" si="72"/>
        <v>93.558675237168416</v>
      </c>
      <c r="O540" s="7">
        <f t="shared" si="73"/>
        <v>35.415231629598857</v>
      </c>
    </row>
    <row r="541" spans="3:15" x14ac:dyDescent="0.2">
      <c r="C541">
        <v>522</v>
      </c>
      <c r="D541" s="7">
        <v>3418.5632288740958</v>
      </c>
      <c r="E541" s="7">
        <f t="shared" si="66"/>
        <v>102.22976162901004</v>
      </c>
      <c r="F541" s="7">
        <f t="shared" si="67"/>
        <v>276.05752082228315</v>
      </c>
      <c r="G541" s="7">
        <v>2789.4658315040037</v>
      </c>
      <c r="H541" s="7">
        <f t="shared" si="68"/>
        <v>66.733632332631672</v>
      </c>
      <c r="I541" s="7">
        <f t="shared" si="69"/>
        <v>145.01897139528523</v>
      </c>
      <c r="J541" s="7">
        <v>2647.9131926320001</v>
      </c>
      <c r="K541" s="7">
        <f t="shared" si="70"/>
        <v>42.231470376905904</v>
      </c>
      <c r="L541" s="7">
        <f t="shared" si="71"/>
        <v>158.95974378518454</v>
      </c>
      <c r="M541" s="7">
        <v>1175.7083927528847</v>
      </c>
      <c r="N541" s="7">
        <f t="shared" si="72"/>
        <v>93.756650139783474</v>
      </c>
      <c r="O541" s="7">
        <f t="shared" si="73"/>
        <v>35.490172056183411</v>
      </c>
    </row>
    <row r="542" spans="3:15" x14ac:dyDescent="0.2">
      <c r="C542">
        <v>523</v>
      </c>
      <c r="D542" s="7">
        <v>3423.0278263934624</v>
      </c>
      <c r="E542" s="7">
        <f t="shared" si="66"/>
        <v>102.36327232037867</v>
      </c>
      <c r="F542" s="7">
        <f t="shared" si="67"/>
        <v>276.41804822521539</v>
      </c>
      <c r="G542" s="7">
        <v>2786.9309077648832</v>
      </c>
      <c r="H542" s="7">
        <f t="shared" si="68"/>
        <v>66.672988224040267</v>
      </c>
      <c r="I542" s="7">
        <f t="shared" si="69"/>
        <v>144.88718557842344</v>
      </c>
      <c r="J542" s="7">
        <v>2962.7368278234808</v>
      </c>
      <c r="K542" s="7">
        <f t="shared" si="70"/>
        <v>47.252580986020433</v>
      </c>
      <c r="L542" s="7">
        <f t="shared" si="71"/>
        <v>177.85926229161063</v>
      </c>
      <c r="M542" s="7">
        <v>1178.2433164920053</v>
      </c>
      <c r="N542" s="7">
        <f t="shared" si="72"/>
        <v>93.958797168421484</v>
      </c>
      <c r="O542" s="7">
        <f t="shared" si="73"/>
        <v>35.566691778425124</v>
      </c>
    </row>
    <row r="543" spans="3:15" x14ac:dyDescent="0.2">
      <c r="C543">
        <v>524</v>
      </c>
      <c r="D543" s="7">
        <v>3427.4730632742112</v>
      </c>
      <c r="E543" s="7">
        <f t="shared" si="66"/>
        <v>102.49620404528144</v>
      </c>
      <c r="F543" s="7">
        <f t="shared" si="67"/>
        <v>276.77701220821342</v>
      </c>
      <c r="G543" s="7">
        <v>2784.451817860936</v>
      </c>
      <c r="H543" s="7">
        <f t="shared" si="68"/>
        <v>66.613679853132439</v>
      </c>
      <c r="I543" s="7">
        <f t="shared" si="69"/>
        <v>144.75830245542315</v>
      </c>
      <c r="J543" s="7">
        <v>2639.0033582318847</v>
      </c>
      <c r="K543" s="7">
        <f t="shared" si="70"/>
        <v>42.089367754894496</v>
      </c>
      <c r="L543" s="7">
        <f t="shared" si="71"/>
        <v>158.42486786955723</v>
      </c>
      <c r="M543" s="7">
        <v>1180.7224063959522</v>
      </c>
      <c r="N543" s="7">
        <f t="shared" si="72"/>
        <v>94.156491738114227</v>
      </c>
      <c r="O543" s="7">
        <f t="shared" si="73"/>
        <v>35.64152608919143</v>
      </c>
    </row>
    <row r="544" spans="3:15" x14ac:dyDescent="0.2">
      <c r="C544">
        <v>525</v>
      </c>
      <c r="D544" s="7">
        <v>3431.8993672569791</v>
      </c>
      <c r="E544" s="7">
        <f t="shared" si="66"/>
        <v>102.62856959500536</v>
      </c>
      <c r="F544" s="7">
        <f t="shared" si="67"/>
        <v>277.13444731240224</v>
      </c>
      <c r="G544" s="7">
        <v>2781.9207574796455</v>
      </c>
      <c r="H544" s="7">
        <f t="shared" si="68"/>
        <v>66.553128169369515</v>
      </c>
      <c r="I544" s="7">
        <f t="shared" si="69"/>
        <v>144.62671748711537</v>
      </c>
      <c r="J544" s="7">
        <v>3113.5094033153869</v>
      </c>
      <c r="K544" s="7">
        <f t="shared" si="70"/>
        <v>49.657247261808408</v>
      </c>
      <c r="L544" s="7">
        <f t="shared" si="71"/>
        <v>186.91045401372409</v>
      </c>
      <c r="M544" s="7">
        <v>1183.2534667772427</v>
      </c>
      <c r="N544" s="7">
        <f t="shared" si="72"/>
        <v>94.358330683990658</v>
      </c>
      <c r="O544" s="7">
        <f t="shared" si="73"/>
        <v>35.717929191329929</v>
      </c>
    </row>
    <row r="545" spans="3:15" x14ac:dyDescent="0.2">
      <c r="C545">
        <v>526</v>
      </c>
      <c r="D545" s="7">
        <v>3436.3065200413512</v>
      </c>
      <c r="E545" s="7">
        <f t="shared" si="66"/>
        <v>102.76036244142797</v>
      </c>
      <c r="F545" s="7">
        <f t="shared" si="67"/>
        <v>277.49033590947801</v>
      </c>
      <c r="G545" s="7">
        <v>2779.6613961363223</v>
      </c>
      <c r="H545" s="7">
        <f t="shared" si="68"/>
        <v>66.499076462591447</v>
      </c>
      <c r="I545" s="7">
        <f t="shared" si="69"/>
        <v>144.50925762999199</v>
      </c>
      <c r="J545" s="7">
        <v>2310.8816687538974</v>
      </c>
      <c r="K545" s="7">
        <f t="shared" si="70"/>
        <v>36.856166965771891</v>
      </c>
      <c r="L545" s="7">
        <f t="shared" si="71"/>
        <v>138.72703946834059</v>
      </c>
      <c r="M545" s="7">
        <v>1185.5128281205662</v>
      </c>
      <c r="N545" s="7">
        <f t="shared" si="72"/>
        <v>94.538503039917558</v>
      </c>
      <c r="O545" s="7">
        <f t="shared" si="73"/>
        <v>35.786130731189559</v>
      </c>
    </row>
    <row r="546" spans="3:15" x14ac:dyDescent="0.2">
      <c r="C546">
        <v>527</v>
      </c>
      <c r="D546" s="7">
        <v>3436.6418083804492</v>
      </c>
      <c r="E546" s="7">
        <f t="shared" si="66"/>
        <v>102.77038900659238</v>
      </c>
      <c r="F546" s="7">
        <f t="shared" si="67"/>
        <v>277.51741128046143</v>
      </c>
      <c r="G546" s="7">
        <v>0</v>
      </c>
      <c r="H546" s="7">
        <f t="shared" si="68"/>
        <v>0</v>
      </c>
      <c r="I546" s="7">
        <f t="shared" si="69"/>
        <v>0</v>
      </c>
      <c r="J546" s="7">
        <v>1512.3257986376802</v>
      </c>
      <c r="K546" s="7">
        <f t="shared" si="70"/>
        <v>24.120028686406386</v>
      </c>
      <c r="L546" s="7">
        <f t="shared" si="71"/>
        <v>90.788067426113798</v>
      </c>
      <c r="M546" s="7">
        <v>0</v>
      </c>
      <c r="N546" s="7">
        <f t="shared" si="72"/>
        <v>0</v>
      </c>
      <c r="O546" s="7">
        <f t="shared" si="73"/>
        <v>0</v>
      </c>
    </row>
    <row r="547" spans="3:15" x14ac:dyDescent="0.2">
      <c r="C547">
        <v>528</v>
      </c>
      <c r="D547" s="7">
        <v>3434.7986349525877</v>
      </c>
      <c r="E547" s="7">
        <f t="shared" si="66"/>
        <v>102.71527018398888</v>
      </c>
      <c r="F547" s="7">
        <f t="shared" si="67"/>
        <v>277.36857042163416</v>
      </c>
      <c r="G547" s="7">
        <v>0</v>
      </c>
      <c r="H547" s="7">
        <f t="shared" si="68"/>
        <v>0</v>
      </c>
      <c r="I547" s="7">
        <f t="shared" si="69"/>
        <v>0</v>
      </c>
      <c r="J547" s="7">
        <v>715.94839028842443</v>
      </c>
      <c r="K547" s="7">
        <f t="shared" si="70"/>
        <v>11.41863461385047</v>
      </c>
      <c r="L547" s="7">
        <f t="shared" si="71"/>
        <v>42.979872980858644</v>
      </c>
      <c r="M547" s="7">
        <v>0</v>
      </c>
      <c r="N547" s="7">
        <f t="shared" si="72"/>
        <v>0</v>
      </c>
      <c r="O547" s="7">
        <f t="shared" si="73"/>
        <v>0</v>
      </c>
    </row>
    <row r="548" spans="3:15" x14ac:dyDescent="0.2">
      <c r="C548">
        <v>529</v>
      </c>
      <c r="D548" s="7">
        <v>2713.9499780422011</v>
      </c>
      <c r="E548" s="7">
        <f t="shared" si="66"/>
        <v>81.158791209395972</v>
      </c>
      <c r="F548" s="7">
        <f t="shared" si="67"/>
        <v>219.15824058657853</v>
      </c>
      <c r="G548" s="7">
        <v>0</v>
      </c>
      <c r="H548" s="7">
        <f t="shared" si="68"/>
        <v>0</v>
      </c>
      <c r="I548" s="7">
        <f t="shared" si="69"/>
        <v>0</v>
      </c>
      <c r="J548" s="7">
        <v>0</v>
      </c>
      <c r="K548" s="7">
        <f t="shared" si="70"/>
        <v>0</v>
      </c>
      <c r="L548" s="7">
        <f t="shared" si="71"/>
        <v>0</v>
      </c>
      <c r="M548" s="7">
        <v>0</v>
      </c>
      <c r="N548" s="7">
        <f t="shared" si="72"/>
        <v>0</v>
      </c>
      <c r="O548" s="7">
        <f t="shared" si="73"/>
        <v>0</v>
      </c>
    </row>
    <row r="549" spans="3:15" x14ac:dyDescent="0.2">
      <c r="C549">
        <v>530</v>
      </c>
      <c r="D549" s="7">
        <v>2554.3058616867775</v>
      </c>
      <c r="E549" s="7">
        <f t="shared" si="66"/>
        <v>76.384744667666794</v>
      </c>
      <c r="F549" s="7">
        <f t="shared" si="67"/>
        <v>206.2665793756033</v>
      </c>
      <c r="G549" s="7">
        <v>0</v>
      </c>
      <c r="H549" s="7">
        <f t="shared" si="68"/>
        <v>0</v>
      </c>
      <c r="I549" s="7">
        <f t="shared" si="69"/>
        <v>0</v>
      </c>
      <c r="J549" s="7">
        <v>0</v>
      </c>
      <c r="K549" s="7">
        <f t="shared" si="70"/>
        <v>0</v>
      </c>
      <c r="L549" s="7">
        <f t="shared" si="71"/>
        <v>0</v>
      </c>
      <c r="M549" s="7">
        <v>0</v>
      </c>
      <c r="N549" s="7">
        <f t="shared" si="72"/>
        <v>0</v>
      </c>
      <c r="O549" s="7">
        <f t="shared" si="73"/>
        <v>0</v>
      </c>
    </row>
    <row r="550" spans="3:15" x14ac:dyDescent="0.2">
      <c r="C550">
        <v>531</v>
      </c>
      <c r="D550" s="7">
        <v>2745.8788013132853</v>
      </c>
      <c r="E550" s="7">
        <f t="shared" si="66"/>
        <v>82.113600517741787</v>
      </c>
      <c r="F550" s="7">
        <f t="shared" si="67"/>
        <v>221.73657282877352</v>
      </c>
      <c r="G550" s="7">
        <v>0</v>
      </c>
      <c r="H550" s="7">
        <f t="shared" si="68"/>
        <v>0</v>
      </c>
      <c r="I550" s="7">
        <f t="shared" si="69"/>
        <v>0</v>
      </c>
      <c r="J550" s="7">
        <v>0</v>
      </c>
      <c r="K550" s="7">
        <f t="shared" si="70"/>
        <v>0</v>
      </c>
      <c r="L550" s="7">
        <f t="shared" si="71"/>
        <v>0</v>
      </c>
      <c r="M550" s="7">
        <v>0</v>
      </c>
      <c r="N550" s="7">
        <f t="shared" si="72"/>
        <v>0</v>
      </c>
      <c r="O550" s="7">
        <f t="shared" si="73"/>
        <v>0</v>
      </c>
    </row>
    <row r="551" spans="3:15" x14ac:dyDescent="0.2">
      <c r="C551">
        <v>532</v>
      </c>
      <c r="D551" s="7">
        <v>2873.5940943976243</v>
      </c>
      <c r="E551" s="7">
        <f t="shared" si="66"/>
        <v>85.932837751125135</v>
      </c>
      <c r="F551" s="7">
        <f t="shared" si="67"/>
        <v>232.0499017975537</v>
      </c>
      <c r="G551" s="7">
        <v>0</v>
      </c>
      <c r="H551" s="7">
        <f t="shared" si="68"/>
        <v>0</v>
      </c>
      <c r="I551" s="7">
        <f t="shared" si="69"/>
        <v>0</v>
      </c>
      <c r="J551" s="7">
        <v>0</v>
      </c>
      <c r="K551" s="7">
        <f t="shared" si="70"/>
        <v>0</v>
      </c>
      <c r="L551" s="7">
        <f t="shared" si="71"/>
        <v>0</v>
      </c>
      <c r="M551" s="7">
        <v>0</v>
      </c>
      <c r="N551" s="7">
        <f t="shared" si="72"/>
        <v>0</v>
      </c>
      <c r="O551" s="7">
        <f t="shared" si="73"/>
        <v>0</v>
      </c>
    </row>
    <row r="552" spans="3:15" x14ac:dyDescent="0.2">
      <c r="C552">
        <v>533</v>
      </c>
      <c r="D552" s="7">
        <v>3170.0760247719822</v>
      </c>
      <c r="E552" s="7">
        <f t="shared" si="66"/>
        <v>94.798924185765031</v>
      </c>
      <c r="F552" s="7">
        <f t="shared" si="67"/>
        <v>255.99155833222193</v>
      </c>
      <c r="G552" s="7">
        <v>0</v>
      </c>
      <c r="H552" s="7">
        <f t="shared" si="68"/>
        <v>0</v>
      </c>
      <c r="I552" s="7">
        <f t="shared" si="69"/>
        <v>0</v>
      </c>
      <c r="J552" s="7">
        <v>0</v>
      </c>
      <c r="K552" s="7">
        <f t="shared" si="70"/>
        <v>0</v>
      </c>
      <c r="L552" s="7">
        <f t="shared" si="71"/>
        <v>0</v>
      </c>
      <c r="M552" s="7">
        <v>0</v>
      </c>
      <c r="N552" s="7">
        <f t="shared" si="72"/>
        <v>0</v>
      </c>
      <c r="O552" s="7">
        <f t="shared" si="73"/>
        <v>0</v>
      </c>
    </row>
    <row r="553" spans="3:15" x14ac:dyDescent="0.2">
      <c r="C553">
        <v>534</v>
      </c>
      <c r="D553" s="7">
        <v>3375.3327458003841</v>
      </c>
      <c r="E553" s="7">
        <f t="shared" si="66"/>
        <v>100.93698402513111</v>
      </c>
      <c r="F553" s="7">
        <f t="shared" si="67"/>
        <v>272.56655131776148</v>
      </c>
      <c r="G553" s="7">
        <v>0</v>
      </c>
      <c r="H553" s="7">
        <f t="shared" si="68"/>
        <v>0</v>
      </c>
      <c r="I553" s="7">
        <f t="shared" si="69"/>
        <v>0</v>
      </c>
      <c r="J553" s="7">
        <v>0</v>
      </c>
      <c r="K553" s="7">
        <f t="shared" si="70"/>
        <v>0</v>
      </c>
      <c r="L553" s="7">
        <f t="shared" si="71"/>
        <v>0</v>
      </c>
      <c r="M553" s="7">
        <v>0</v>
      </c>
      <c r="N553" s="7">
        <f t="shared" si="72"/>
        <v>0</v>
      </c>
      <c r="O553" s="7">
        <f t="shared" si="73"/>
        <v>0</v>
      </c>
    </row>
    <row r="554" spans="3:15" x14ac:dyDescent="0.2">
      <c r="C554">
        <v>535</v>
      </c>
      <c r="D554" s="7">
        <v>3431.0453266417794</v>
      </c>
      <c r="E554" s="7">
        <f t="shared" si="66"/>
        <v>102.60303010292404</v>
      </c>
      <c r="F554" s="7">
        <f t="shared" si="67"/>
        <v>277.06548139920159</v>
      </c>
      <c r="G554" s="7">
        <v>2778.3251057485304</v>
      </c>
      <c r="H554" s="7">
        <f t="shared" si="68"/>
        <v>66.467107793027054</v>
      </c>
      <c r="I554" s="7">
        <f t="shared" si="69"/>
        <v>144.43978645908382</v>
      </c>
      <c r="J554" s="7">
        <v>149.54414018700663</v>
      </c>
      <c r="K554" s="7">
        <f t="shared" si="70"/>
        <v>2.3850740061723545</v>
      </c>
      <c r="L554" s="7">
        <f t="shared" si="71"/>
        <v>8.9774461922876156</v>
      </c>
      <c r="M554" s="7">
        <v>1186.8491185083581</v>
      </c>
      <c r="N554" s="7">
        <f t="shared" si="72"/>
        <v>94.645065271798899</v>
      </c>
      <c r="O554" s="7">
        <f t="shared" si="73"/>
        <v>35.826468263924788</v>
      </c>
    </row>
    <row r="555" spans="3:15" x14ac:dyDescent="0.2">
      <c r="C555">
        <v>536</v>
      </c>
      <c r="D555" s="7">
        <v>3435.5211625165007</v>
      </c>
      <c r="E555" s="7">
        <f t="shared" si="66"/>
        <v>102.73687686951259</v>
      </c>
      <c r="F555" s="7">
        <f t="shared" si="67"/>
        <v>277.42691632740383</v>
      </c>
      <c r="G555" s="7">
        <v>2779.8603610996552</v>
      </c>
      <c r="H555" s="7">
        <f t="shared" si="68"/>
        <v>66.503836389943913</v>
      </c>
      <c r="I555" s="7">
        <f t="shared" si="69"/>
        <v>144.51960143632238</v>
      </c>
      <c r="J555" s="7">
        <v>350.32502534068726</v>
      </c>
      <c r="K555" s="7">
        <f t="shared" si="70"/>
        <v>5.5873209783203714</v>
      </c>
      <c r="L555" s="7">
        <f t="shared" si="71"/>
        <v>21.030740896132258</v>
      </c>
      <c r="M555" s="7">
        <v>1185.3138631572335</v>
      </c>
      <c r="N555" s="7">
        <f t="shared" si="72"/>
        <v>94.522636615409382</v>
      </c>
      <c r="O555" s="7">
        <f t="shared" si="73"/>
        <v>35.780124734442957</v>
      </c>
    </row>
    <row r="556" spans="3:15" x14ac:dyDescent="0.2">
      <c r="C556">
        <v>537</v>
      </c>
      <c r="D556" s="7">
        <v>3435.930271479132</v>
      </c>
      <c r="E556" s="7">
        <f t="shared" si="66"/>
        <v>102.7491109892085</v>
      </c>
      <c r="F556" s="7">
        <f t="shared" si="67"/>
        <v>277.45995289815272</v>
      </c>
      <c r="G556" s="7">
        <v>0</v>
      </c>
      <c r="H556" s="7">
        <f t="shared" si="68"/>
        <v>0</v>
      </c>
      <c r="I556" s="7">
        <f t="shared" si="69"/>
        <v>0</v>
      </c>
      <c r="J556" s="7">
        <v>555.17263740645694</v>
      </c>
      <c r="K556" s="7">
        <f t="shared" si="70"/>
        <v>8.8544280288111157</v>
      </c>
      <c r="L556" s="7">
        <f t="shared" si="71"/>
        <v>33.328169686316578</v>
      </c>
      <c r="M556" s="7">
        <v>0</v>
      </c>
      <c r="N556" s="7">
        <f t="shared" si="72"/>
        <v>0</v>
      </c>
      <c r="O556" s="7">
        <f t="shared" si="73"/>
        <v>0</v>
      </c>
    </row>
    <row r="557" spans="3:15" x14ac:dyDescent="0.2">
      <c r="C557">
        <v>538</v>
      </c>
      <c r="D557" s="7">
        <v>3434.1586920344862</v>
      </c>
      <c r="E557" s="7">
        <f t="shared" si="66"/>
        <v>102.69613313500258</v>
      </c>
      <c r="F557" s="7">
        <f t="shared" si="67"/>
        <v>277.31689343232273</v>
      </c>
      <c r="G557" s="7">
        <v>0</v>
      </c>
      <c r="H557" s="7">
        <f t="shared" si="68"/>
        <v>0</v>
      </c>
      <c r="I557" s="7">
        <f t="shared" si="69"/>
        <v>0</v>
      </c>
      <c r="J557" s="7">
        <v>762.20093787950464</v>
      </c>
      <c r="K557" s="7">
        <f t="shared" si="70"/>
        <v>12.156314798716183</v>
      </c>
      <c r="L557" s="7">
        <f t="shared" si="71"/>
        <v>45.756509743328209</v>
      </c>
      <c r="M557" s="7">
        <v>0</v>
      </c>
      <c r="N557" s="7">
        <f t="shared" si="72"/>
        <v>0</v>
      </c>
      <c r="O557" s="7">
        <f t="shared" si="73"/>
        <v>0</v>
      </c>
    </row>
    <row r="558" spans="3:15" x14ac:dyDescent="0.2">
      <c r="C558">
        <v>539</v>
      </c>
      <c r="D558" s="7">
        <v>3432.4020627113568</v>
      </c>
      <c r="E558" s="7">
        <f t="shared" si="66"/>
        <v>102.64360235380853</v>
      </c>
      <c r="F558" s="7">
        <f t="shared" si="67"/>
        <v>277.17504122615298</v>
      </c>
      <c r="G558" s="7">
        <v>0</v>
      </c>
      <c r="H558" s="7">
        <f t="shared" si="68"/>
        <v>0</v>
      </c>
      <c r="I558" s="7">
        <f t="shared" si="69"/>
        <v>0</v>
      </c>
      <c r="J558" s="7">
        <v>969.21428823103633</v>
      </c>
      <c r="K558" s="7">
        <f t="shared" si="70"/>
        <v>15.457963129681602</v>
      </c>
      <c r="L558" s="7">
        <f t="shared" si="71"/>
        <v>58.183952313408511</v>
      </c>
      <c r="M558" s="7">
        <v>0</v>
      </c>
      <c r="N558" s="7">
        <f t="shared" si="72"/>
        <v>0</v>
      </c>
      <c r="O558" s="7">
        <f t="shared" si="73"/>
        <v>0</v>
      </c>
    </row>
    <row r="559" spans="3:15" x14ac:dyDescent="0.2">
      <c r="C559">
        <v>540</v>
      </c>
      <c r="D559" s="7">
        <v>3430.6603260681832</v>
      </c>
      <c r="E559" s="7">
        <f t="shared" si="66"/>
        <v>102.5915169278763</v>
      </c>
      <c r="F559" s="7">
        <f t="shared" si="67"/>
        <v>277.03439164109369</v>
      </c>
      <c r="G559" s="7">
        <v>0</v>
      </c>
      <c r="H559" s="7">
        <f t="shared" si="68"/>
        <v>0</v>
      </c>
      <c r="I559" s="7">
        <f t="shared" si="69"/>
        <v>0</v>
      </c>
      <c r="J559" s="7">
        <v>1176.2127459026115</v>
      </c>
      <c r="K559" s="7">
        <f t="shared" si="70"/>
        <v>18.759373937840696</v>
      </c>
      <c r="L559" s="7">
        <f t="shared" si="71"/>
        <v>70.610500844893878</v>
      </c>
      <c r="M559" s="7">
        <v>0</v>
      </c>
      <c r="N559" s="7">
        <f t="shared" si="72"/>
        <v>0</v>
      </c>
      <c r="O559" s="7">
        <f t="shared" si="73"/>
        <v>0</v>
      </c>
    </row>
    <row r="560" spans="3:15" x14ac:dyDescent="0.2">
      <c r="C560">
        <v>541</v>
      </c>
      <c r="D560" s="7">
        <v>3428.9334248326413</v>
      </c>
      <c r="E560" s="7">
        <f t="shared" si="66"/>
        <v>102.5398751445168</v>
      </c>
      <c r="F560" s="7">
        <f t="shared" si="67"/>
        <v>276.89494005226186</v>
      </c>
      <c r="G560" s="7">
        <v>0</v>
      </c>
      <c r="H560" s="7">
        <f t="shared" si="68"/>
        <v>0</v>
      </c>
      <c r="I560" s="7">
        <f t="shared" si="69"/>
        <v>0</v>
      </c>
      <c r="J560" s="7">
        <v>1383.1963681665547</v>
      </c>
      <c r="K560" s="7">
        <f t="shared" si="70"/>
        <v>22.06054813662767</v>
      </c>
      <c r="L560" s="7">
        <f t="shared" si="71"/>
        <v>83.036158775961312</v>
      </c>
      <c r="M560" s="7">
        <v>0</v>
      </c>
      <c r="N560" s="7">
        <f t="shared" si="72"/>
        <v>0</v>
      </c>
      <c r="O560" s="7">
        <f t="shared" si="73"/>
        <v>0</v>
      </c>
    </row>
    <row r="561" spans="3:15" x14ac:dyDescent="0.2">
      <c r="C561">
        <v>542</v>
      </c>
      <c r="D561" s="7">
        <v>3427.221301901227</v>
      </c>
      <c r="E561" s="7">
        <f t="shared" si="66"/>
        <v>102.48867529608933</v>
      </c>
      <c r="F561" s="7">
        <f t="shared" si="67"/>
        <v>276.75668184840674</v>
      </c>
      <c r="G561" s="7">
        <v>0</v>
      </c>
      <c r="H561" s="7">
        <f t="shared" si="68"/>
        <v>0</v>
      </c>
      <c r="I561" s="7">
        <f t="shared" si="69"/>
        <v>0</v>
      </c>
      <c r="J561" s="7">
        <v>1590.1652121263705</v>
      </c>
      <c r="K561" s="7">
        <f t="shared" si="70"/>
        <v>25.361486636784221</v>
      </c>
      <c r="L561" s="7">
        <f t="shared" si="71"/>
        <v>95.460929534653047</v>
      </c>
      <c r="M561" s="7">
        <v>0</v>
      </c>
      <c r="N561" s="7">
        <f t="shared" si="72"/>
        <v>0</v>
      </c>
      <c r="O561" s="7">
        <f t="shared" si="73"/>
        <v>0</v>
      </c>
    </row>
    <row r="562" spans="3:15" x14ac:dyDescent="0.2">
      <c r="C562">
        <v>543</v>
      </c>
      <c r="D562" s="7">
        <v>3425.5239003388392</v>
      </c>
      <c r="E562" s="7">
        <f t="shared" si="66"/>
        <v>102.43791567998922</v>
      </c>
      <c r="F562" s="7">
        <f t="shared" si="67"/>
        <v>276.61961243187676</v>
      </c>
      <c r="G562" s="7">
        <v>0</v>
      </c>
      <c r="H562" s="7">
        <f t="shared" si="68"/>
        <v>0</v>
      </c>
      <c r="I562" s="7">
        <f t="shared" si="69"/>
        <v>0</v>
      </c>
      <c r="J562" s="7">
        <v>1797.1193347171607</v>
      </c>
      <c r="K562" s="7">
        <f t="shared" si="70"/>
        <v>28.662190346366202</v>
      </c>
      <c r="L562" s="7">
        <f t="shared" si="71"/>
        <v>107.88481653890184</v>
      </c>
      <c r="M562" s="7">
        <v>0</v>
      </c>
      <c r="N562" s="7">
        <f t="shared" si="72"/>
        <v>0</v>
      </c>
      <c r="O562" s="7">
        <f t="shared" si="73"/>
        <v>0</v>
      </c>
    </row>
    <row r="563" spans="3:15" x14ac:dyDescent="0.2">
      <c r="C563">
        <v>544</v>
      </c>
      <c r="D563" s="7">
        <v>3426.0218964917585</v>
      </c>
      <c r="E563" s="7">
        <f t="shared" si="66"/>
        <v>102.45280790944254</v>
      </c>
      <c r="F563" s="7">
        <f t="shared" si="67"/>
        <v>276.65982686529509</v>
      </c>
      <c r="G563" s="7">
        <v>2773.7364317780393</v>
      </c>
      <c r="H563" s="7">
        <f t="shared" si="68"/>
        <v>66.357330903780849</v>
      </c>
      <c r="I563" s="7">
        <f t="shared" si="69"/>
        <v>144.20123011193181</v>
      </c>
      <c r="J563" s="7">
        <v>2001.8780595926437</v>
      </c>
      <c r="K563" s="7">
        <f t="shared" si="70"/>
        <v>31.927879738319678</v>
      </c>
      <c r="L563" s="7">
        <f t="shared" si="71"/>
        <v>120.17690924592715</v>
      </c>
      <c r="M563" s="7">
        <v>1191.4377924788489</v>
      </c>
      <c r="N563" s="7">
        <f t="shared" si="72"/>
        <v>95.010988235952865</v>
      </c>
      <c r="O563" s="7">
        <f t="shared" si="73"/>
        <v>35.964982907288977</v>
      </c>
    </row>
    <row r="564" spans="3:15" x14ac:dyDescent="0.2">
      <c r="C564">
        <v>545</v>
      </c>
      <c r="D564" s="7">
        <v>3430.5699657007567</v>
      </c>
      <c r="E564" s="7">
        <f t="shared" si="66"/>
        <v>102.58881476377861</v>
      </c>
      <c r="F564" s="7">
        <f t="shared" si="67"/>
        <v>277.02709481569008</v>
      </c>
      <c r="G564" s="7">
        <v>2773.4465992584401</v>
      </c>
      <c r="H564" s="7">
        <f t="shared" si="68"/>
        <v>66.350397111445943</v>
      </c>
      <c r="I564" s="7">
        <f t="shared" si="69"/>
        <v>144.18616227586281</v>
      </c>
      <c r="J564" s="7">
        <v>1837.68587402822</v>
      </c>
      <c r="K564" s="7">
        <f t="shared" si="70"/>
        <v>29.309184593751517</v>
      </c>
      <c r="L564" s="7">
        <f t="shared" si="71"/>
        <v>110.32011038202361</v>
      </c>
      <c r="M564" s="7">
        <v>1191.7276249984482</v>
      </c>
      <c r="N564" s="7">
        <f t="shared" si="72"/>
        <v>95.034100877069235</v>
      </c>
      <c r="O564" s="7">
        <f t="shared" si="73"/>
        <v>35.97373185052308</v>
      </c>
    </row>
    <row r="565" spans="3:15" x14ac:dyDescent="0.2">
      <c r="C565">
        <v>546</v>
      </c>
      <c r="D565" s="7">
        <v>3435.1034425364173</v>
      </c>
      <c r="E565" s="7">
        <f t="shared" si="66"/>
        <v>102.72438524331392</v>
      </c>
      <c r="F565" s="7">
        <f t="shared" si="67"/>
        <v>277.39318439548407</v>
      </c>
      <c r="G565" s="7">
        <v>2773.102699460705</v>
      </c>
      <c r="H565" s="7">
        <f t="shared" si="68"/>
        <v>66.342169843557542</v>
      </c>
      <c r="I565" s="7">
        <f t="shared" si="69"/>
        <v>144.16828358584002</v>
      </c>
      <c r="J565" s="7">
        <v>2152.4406299034076</v>
      </c>
      <c r="K565" s="7">
        <f t="shared" si="70"/>
        <v>34.329196649177156</v>
      </c>
      <c r="L565" s="7">
        <f t="shared" si="71"/>
        <v>129.21549391963705</v>
      </c>
      <c r="M565" s="7">
        <v>1192.0715247961834</v>
      </c>
      <c r="N565" s="7">
        <f t="shared" si="72"/>
        <v>95.06152510336392</v>
      </c>
      <c r="O565" s="7">
        <f t="shared" si="73"/>
        <v>35.984112879583478</v>
      </c>
    </row>
    <row r="566" spans="3:15" x14ac:dyDescent="0.2">
      <c r="C566">
        <v>547</v>
      </c>
      <c r="D566" s="7">
        <v>3439.621760169267</v>
      </c>
      <c r="E566" s="7">
        <f t="shared" si="66"/>
        <v>102.85950239740632</v>
      </c>
      <c r="F566" s="7">
        <f t="shared" si="67"/>
        <v>277.75804983178108</v>
      </c>
      <c r="G566" s="7">
        <v>2772.3818735246773</v>
      </c>
      <c r="H566" s="7">
        <f t="shared" si="68"/>
        <v>66.324925203939657</v>
      </c>
      <c r="I566" s="7">
        <f t="shared" si="69"/>
        <v>144.13080922977613</v>
      </c>
      <c r="J566" s="7">
        <v>2467.2105449814053</v>
      </c>
      <c r="K566" s="7">
        <f t="shared" si="70"/>
        <v>39.349450478172336</v>
      </c>
      <c r="L566" s="7">
        <f t="shared" si="71"/>
        <v>148.1117874957674</v>
      </c>
      <c r="M566" s="7">
        <v>1192.7923507322112</v>
      </c>
      <c r="N566" s="7">
        <f t="shared" si="72"/>
        <v>95.119007235423538</v>
      </c>
      <c r="O566" s="7">
        <f t="shared" si="73"/>
        <v>36.005871877520271</v>
      </c>
    </row>
    <row r="567" spans="3:15" x14ac:dyDescent="0.2">
      <c r="C567">
        <v>548</v>
      </c>
      <c r="D567" s="7">
        <v>3444.1241947855756</v>
      </c>
      <c r="E567" s="7">
        <f t="shared" si="66"/>
        <v>102.99414458090837</v>
      </c>
      <c r="F567" s="7">
        <f t="shared" si="67"/>
        <v>278.12163267481424</v>
      </c>
      <c r="G567" s="7">
        <v>2771.3924395494496</v>
      </c>
      <c r="H567" s="7">
        <f t="shared" si="68"/>
        <v>66.301254534675834</v>
      </c>
      <c r="I567" s="7">
        <f t="shared" si="69"/>
        <v>144.0793704576175</v>
      </c>
      <c r="J567" s="7">
        <v>2622.3522267205203</v>
      </c>
      <c r="K567" s="7">
        <f t="shared" si="70"/>
        <v>41.823799469226799</v>
      </c>
      <c r="L567" s="7">
        <f t="shared" si="71"/>
        <v>157.42526576547579</v>
      </c>
      <c r="M567" s="7">
        <v>1193.7817847074389</v>
      </c>
      <c r="N567" s="7">
        <f t="shared" si="72"/>
        <v>95.197909466302946</v>
      </c>
      <c r="O567" s="7">
        <f t="shared" si="73"/>
        <v>36.035739132220087</v>
      </c>
    </row>
    <row r="568" spans="3:15" x14ac:dyDescent="0.2">
      <c r="C568">
        <v>549</v>
      </c>
      <c r="D568" s="7">
        <v>3448.6101881738632</v>
      </c>
      <c r="E568" s="7">
        <f t="shared" si="66"/>
        <v>103.12829510089304</v>
      </c>
      <c r="F568" s="7">
        <f t="shared" si="67"/>
        <v>278.48388784761198</v>
      </c>
      <c r="G568" s="7">
        <v>2770.027112406081</v>
      </c>
      <c r="H568" s="7">
        <f t="shared" si="68"/>
        <v>66.268591205887105</v>
      </c>
      <c r="I568" s="7">
        <f t="shared" si="69"/>
        <v>144.00838972155211</v>
      </c>
      <c r="J568" s="7">
        <v>3096.7985823985027</v>
      </c>
      <c r="K568" s="7">
        <f t="shared" si="70"/>
        <v>49.390726992001639</v>
      </c>
      <c r="L568" s="7">
        <f t="shared" si="71"/>
        <v>185.90726863031367</v>
      </c>
      <c r="M568" s="7">
        <v>1195.1471118508077</v>
      </c>
      <c r="N568" s="7">
        <f t="shared" si="72"/>
        <v>95.306787228932038</v>
      </c>
      <c r="O568" s="7">
        <f t="shared" si="73"/>
        <v>36.076953174349768</v>
      </c>
    </row>
    <row r="569" spans="3:15" x14ac:dyDescent="0.2">
      <c r="C569">
        <v>550</v>
      </c>
      <c r="D569" s="7">
        <v>3453.0792673168553</v>
      </c>
      <c r="E569" s="7">
        <f t="shared" si="66"/>
        <v>103.26193981210692</v>
      </c>
      <c r="F569" s="7">
        <f t="shared" si="67"/>
        <v>278.84477715284771</v>
      </c>
      <c r="G569" s="7">
        <v>2768.9328981859007</v>
      </c>
      <c r="H569" s="7">
        <f t="shared" si="68"/>
        <v>66.242413832198594</v>
      </c>
      <c r="I569" s="7">
        <f t="shared" si="69"/>
        <v>143.95150362568944</v>
      </c>
      <c r="J569" s="7">
        <v>2294.1089214783933</v>
      </c>
      <c r="K569" s="7">
        <f t="shared" si="70"/>
        <v>36.588659034743117</v>
      </c>
      <c r="L569" s="7">
        <f t="shared" si="71"/>
        <v>137.7201365166477</v>
      </c>
      <c r="M569" s="7">
        <v>1196.2413260709875</v>
      </c>
      <c r="N569" s="7">
        <f t="shared" si="72"/>
        <v>95.394045141227082</v>
      </c>
      <c r="O569" s="7">
        <f t="shared" si="73"/>
        <v>36.109983346780176</v>
      </c>
    </row>
    <row r="570" spans="3:15" x14ac:dyDescent="0.2">
      <c r="C570">
        <v>551</v>
      </c>
      <c r="D570" s="7">
        <v>3453.4854113568763</v>
      </c>
      <c r="E570" s="7">
        <f t="shared" si="66"/>
        <v>103.27408526784917</v>
      </c>
      <c r="F570" s="7">
        <f t="shared" si="67"/>
        <v>278.87757429868901</v>
      </c>
      <c r="G570" s="7">
        <v>0</v>
      </c>
      <c r="H570" s="7">
        <f t="shared" si="68"/>
        <v>0</v>
      </c>
      <c r="I570" s="7">
        <f t="shared" si="69"/>
        <v>0</v>
      </c>
      <c r="J570" s="7">
        <v>1495.4821956612532</v>
      </c>
      <c r="K570" s="7">
        <f t="shared" si="70"/>
        <v>23.851390680402762</v>
      </c>
      <c r="L570" s="7">
        <f t="shared" si="71"/>
        <v>89.77691085912268</v>
      </c>
      <c r="M570" s="7">
        <v>0</v>
      </c>
      <c r="N570" s="7">
        <f t="shared" si="72"/>
        <v>0</v>
      </c>
      <c r="O570" s="7">
        <f t="shared" si="73"/>
        <v>0</v>
      </c>
    </row>
    <row r="571" spans="3:15" x14ac:dyDescent="0.2">
      <c r="C571">
        <v>552</v>
      </c>
      <c r="D571" s="7">
        <v>3451.7287334203561</v>
      </c>
      <c r="E571" s="7">
        <f t="shared" si="66"/>
        <v>103.22155303290539</v>
      </c>
      <c r="F571" s="7">
        <f t="shared" si="67"/>
        <v>278.73571816686643</v>
      </c>
      <c r="G571" s="7">
        <v>0</v>
      </c>
      <c r="H571" s="7">
        <f t="shared" si="68"/>
        <v>0</v>
      </c>
      <c r="I571" s="7">
        <f t="shared" si="69"/>
        <v>0</v>
      </c>
      <c r="J571" s="7">
        <v>699.01829182065603</v>
      </c>
      <c r="K571" s="7">
        <f t="shared" si="70"/>
        <v>11.148617094428326</v>
      </c>
      <c r="L571" s="7">
        <f t="shared" si="71"/>
        <v>41.963523909377429</v>
      </c>
      <c r="M571" s="7">
        <v>0</v>
      </c>
      <c r="N571" s="7">
        <f t="shared" si="72"/>
        <v>0</v>
      </c>
      <c r="O571" s="7">
        <f t="shared" si="73"/>
        <v>0</v>
      </c>
    </row>
    <row r="572" spans="3:15" x14ac:dyDescent="0.2">
      <c r="C572">
        <v>553</v>
      </c>
      <c r="D572" s="7">
        <v>2713.9499780422011</v>
      </c>
      <c r="E572" s="7">
        <f t="shared" si="66"/>
        <v>81.158791209395972</v>
      </c>
      <c r="F572" s="7">
        <f t="shared" si="67"/>
        <v>219.15824058657853</v>
      </c>
      <c r="G572" s="7">
        <v>0</v>
      </c>
      <c r="H572" s="7">
        <f t="shared" si="68"/>
        <v>0</v>
      </c>
      <c r="I572" s="7">
        <f t="shared" si="69"/>
        <v>0</v>
      </c>
      <c r="J572" s="7">
        <v>0</v>
      </c>
      <c r="K572" s="7">
        <f t="shared" si="70"/>
        <v>0</v>
      </c>
      <c r="L572" s="7">
        <f t="shared" si="71"/>
        <v>0</v>
      </c>
      <c r="M572" s="7">
        <v>0</v>
      </c>
      <c r="N572" s="7">
        <f t="shared" si="72"/>
        <v>0</v>
      </c>
      <c r="O572" s="7">
        <f t="shared" si="73"/>
        <v>0</v>
      </c>
    </row>
    <row r="573" spans="3:15" x14ac:dyDescent="0.2">
      <c r="C573">
        <v>554</v>
      </c>
      <c r="D573" s="7">
        <v>2554.3058616867775</v>
      </c>
      <c r="E573" s="7">
        <f t="shared" si="66"/>
        <v>76.384744667666794</v>
      </c>
      <c r="F573" s="7">
        <f t="shared" si="67"/>
        <v>206.2665793756033</v>
      </c>
      <c r="G573" s="7">
        <v>0</v>
      </c>
      <c r="H573" s="7">
        <f t="shared" si="68"/>
        <v>0</v>
      </c>
      <c r="I573" s="7">
        <f t="shared" si="69"/>
        <v>0</v>
      </c>
      <c r="J573" s="7">
        <v>0</v>
      </c>
      <c r="K573" s="7">
        <f t="shared" si="70"/>
        <v>0</v>
      </c>
      <c r="L573" s="7">
        <f t="shared" si="71"/>
        <v>0</v>
      </c>
      <c r="M573" s="7">
        <v>0</v>
      </c>
      <c r="N573" s="7">
        <f t="shared" si="72"/>
        <v>0</v>
      </c>
      <c r="O573" s="7">
        <f t="shared" si="73"/>
        <v>0</v>
      </c>
    </row>
    <row r="574" spans="3:15" x14ac:dyDescent="0.2">
      <c r="C574">
        <v>555</v>
      </c>
      <c r="D574" s="7">
        <v>2713.9499780422011</v>
      </c>
      <c r="E574" s="7">
        <f t="shared" si="66"/>
        <v>81.158791209395972</v>
      </c>
      <c r="F574" s="7">
        <f t="shared" si="67"/>
        <v>219.15824058657853</v>
      </c>
      <c r="G574" s="7">
        <v>0</v>
      </c>
      <c r="H574" s="7">
        <f t="shared" si="68"/>
        <v>0</v>
      </c>
      <c r="I574" s="7">
        <f t="shared" si="69"/>
        <v>0</v>
      </c>
      <c r="J574" s="7">
        <v>0</v>
      </c>
      <c r="K574" s="7">
        <f t="shared" si="70"/>
        <v>0</v>
      </c>
      <c r="L574" s="7">
        <f t="shared" si="71"/>
        <v>0</v>
      </c>
      <c r="M574" s="7">
        <v>0</v>
      </c>
      <c r="N574" s="7">
        <f t="shared" si="72"/>
        <v>0</v>
      </c>
      <c r="O574" s="7">
        <f t="shared" si="73"/>
        <v>0</v>
      </c>
    </row>
    <row r="575" spans="3:15" x14ac:dyDescent="0.2">
      <c r="C575">
        <v>556</v>
      </c>
      <c r="D575" s="7">
        <v>2873.5940943976243</v>
      </c>
      <c r="E575" s="7">
        <f t="shared" si="66"/>
        <v>85.932837751125135</v>
      </c>
      <c r="F575" s="7">
        <f t="shared" si="67"/>
        <v>232.0499017975537</v>
      </c>
      <c r="G575" s="7">
        <v>0</v>
      </c>
      <c r="H575" s="7">
        <f t="shared" si="68"/>
        <v>0</v>
      </c>
      <c r="I575" s="7">
        <f t="shared" si="69"/>
        <v>0</v>
      </c>
      <c r="J575" s="7">
        <v>0</v>
      </c>
      <c r="K575" s="7">
        <f t="shared" si="70"/>
        <v>0</v>
      </c>
      <c r="L575" s="7">
        <f t="shared" si="71"/>
        <v>0</v>
      </c>
      <c r="M575" s="7">
        <v>0</v>
      </c>
      <c r="N575" s="7">
        <f t="shared" si="72"/>
        <v>0</v>
      </c>
      <c r="O575" s="7">
        <f t="shared" si="73"/>
        <v>0</v>
      </c>
    </row>
    <row r="576" spans="3:15" x14ac:dyDescent="0.2">
      <c r="C576">
        <v>557</v>
      </c>
      <c r="D576" s="7">
        <v>3217.4429603939211</v>
      </c>
      <c r="E576" s="7">
        <f t="shared" si="66"/>
        <v>96.215399533311043</v>
      </c>
      <c r="F576" s="7">
        <f t="shared" si="67"/>
        <v>259.81655671350029</v>
      </c>
      <c r="G576" s="7">
        <v>0</v>
      </c>
      <c r="H576" s="7">
        <f t="shared" si="68"/>
        <v>0</v>
      </c>
      <c r="I576" s="7">
        <f t="shared" si="69"/>
        <v>0</v>
      </c>
      <c r="J576" s="7">
        <v>0</v>
      </c>
      <c r="K576" s="7">
        <f t="shared" si="70"/>
        <v>0</v>
      </c>
      <c r="L576" s="7">
        <f t="shared" si="71"/>
        <v>0</v>
      </c>
      <c r="M576" s="7">
        <v>0</v>
      </c>
      <c r="N576" s="7">
        <f t="shared" si="72"/>
        <v>0</v>
      </c>
      <c r="O576" s="7">
        <f t="shared" si="73"/>
        <v>0</v>
      </c>
    </row>
    <row r="577" spans="3:15" x14ac:dyDescent="0.2">
      <c r="C577">
        <v>558</v>
      </c>
      <c r="D577" s="7">
        <v>3438.4886599629695</v>
      </c>
      <c r="E577" s="7">
        <f t="shared" si="66"/>
        <v>102.82561782185914</v>
      </c>
      <c r="F577" s="7">
        <f t="shared" si="67"/>
        <v>277.666549159466</v>
      </c>
      <c r="G577" s="7">
        <v>0</v>
      </c>
      <c r="H577" s="7">
        <f t="shared" si="68"/>
        <v>0</v>
      </c>
      <c r="I577" s="7">
        <f t="shared" si="69"/>
        <v>0</v>
      </c>
      <c r="J577" s="7">
        <v>0</v>
      </c>
      <c r="K577" s="7">
        <f t="shared" si="70"/>
        <v>0</v>
      </c>
      <c r="L577" s="7">
        <f t="shared" si="71"/>
        <v>0</v>
      </c>
      <c r="M577" s="7">
        <v>0</v>
      </c>
      <c r="N577" s="7">
        <f t="shared" si="72"/>
        <v>0</v>
      </c>
      <c r="O577" s="7">
        <f t="shared" si="73"/>
        <v>0</v>
      </c>
    </row>
    <row r="578" spans="3:15" x14ac:dyDescent="0.2">
      <c r="C578">
        <v>559</v>
      </c>
      <c r="D578" s="7">
        <v>3448.6547494721913</v>
      </c>
      <c r="E578" s="7">
        <f t="shared" si="66"/>
        <v>103.12962767560381</v>
      </c>
      <c r="F578" s="7">
        <f t="shared" si="67"/>
        <v>278.48748628377285</v>
      </c>
      <c r="G578" s="7">
        <v>2777.7703496784379</v>
      </c>
      <c r="H578" s="7">
        <f t="shared" si="68"/>
        <v>66.453836116709041</v>
      </c>
      <c r="I578" s="7">
        <f t="shared" si="69"/>
        <v>144.41094575641176</v>
      </c>
      <c r="J578" s="7">
        <v>210.87961005982606</v>
      </c>
      <c r="K578" s="7">
        <f t="shared" si="70"/>
        <v>3.3633111652284859</v>
      </c>
      <c r="L578" s="7">
        <f t="shared" si="71"/>
        <v>12.659542192661407</v>
      </c>
      <c r="M578" s="7">
        <v>1187.4038745784503</v>
      </c>
      <c r="N578" s="7">
        <f t="shared" si="72"/>
        <v>94.689304192858884</v>
      </c>
      <c r="O578" s="7">
        <f t="shared" si="73"/>
        <v>35.843214243198346</v>
      </c>
    </row>
    <row r="579" spans="3:15" x14ac:dyDescent="0.2">
      <c r="C579">
        <v>560</v>
      </c>
      <c r="D579" s="7">
        <v>3453.212617548807</v>
      </c>
      <c r="E579" s="7">
        <f t="shared" si="66"/>
        <v>103.26592755827772</v>
      </c>
      <c r="F579" s="7">
        <f t="shared" si="67"/>
        <v>278.85554551720702</v>
      </c>
      <c r="G579" s="7">
        <v>2780.3428628678839</v>
      </c>
      <c r="H579" s="7">
        <f t="shared" si="68"/>
        <v>66.515379494446989</v>
      </c>
      <c r="I579" s="7">
        <f t="shared" si="69"/>
        <v>144.54468577660526</v>
      </c>
      <c r="J579" s="7">
        <v>427.36744155225779</v>
      </c>
      <c r="K579" s="7">
        <f t="shared" si="70"/>
        <v>6.8160676483613685</v>
      </c>
      <c r="L579" s="7">
        <f t="shared" si="71"/>
        <v>25.655757598212944</v>
      </c>
      <c r="M579" s="7">
        <v>1184.8313613890043</v>
      </c>
      <c r="N579" s="7">
        <f t="shared" si="72"/>
        <v>94.484159600399082</v>
      </c>
      <c r="O579" s="7">
        <f t="shared" si="73"/>
        <v>35.765559838183457</v>
      </c>
    </row>
    <row r="580" spans="3:15" x14ac:dyDescent="0.2">
      <c r="C580">
        <v>561</v>
      </c>
      <c r="D580" s="7">
        <v>3453.7046900829005</v>
      </c>
      <c r="E580" s="7">
        <f t="shared" si="66"/>
        <v>103.28064264601976</v>
      </c>
      <c r="F580" s="7">
        <f t="shared" si="67"/>
        <v>278.89528160360709</v>
      </c>
      <c r="G580" s="7">
        <v>0</v>
      </c>
      <c r="H580" s="7">
        <f t="shared" si="68"/>
        <v>0</v>
      </c>
      <c r="I580" s="7">
        <f t="shared" si="69"/>
        <v>0</v>
      </c>
      <c r="J580" s="7">
        <v>647.92106858721263</v>
      </c>
      <c r="K580" s="7">
        <f t="shared" si="70"/>
        <v>10.333669355457937</v>
      </c>
      <c r="L580" s="7">
        <f t="shared" si="71"/>
        <v>38.896051178049341</v>
      </c>
      <c r="M580" s="7">
        <v>0</v>
      </c>
      <c r="N580" s="7">
        <f t="shared" si="72"/>
        <v>0</v>
      </c>
      <c r="O580" s="7">
        <f t="shared" si="73"/>
        <v>0</v>
      </c>
    </row>
    <row r="581" spans="3:15" x14ac:dyDescent="0.2">
      <c r="C581">
        <v>562</v>
      </c>
      <c r="D581" s="7">
        <v>3452.0142381430869</v>
      </c>
      <c r="E581" s="7">
        <f t="shared" si="66"/>
        <v>103.23009085356122</v>
      </c>
      <c r="F581" s="7">
        <f t="shared" si="67"/>
        <v>278.75877338646114</v>
      </c>
      <c r="G581" s="7">
        <v>0</v>
      </c>
      <c r="H581" s="7">
        <f t="shared" si="68"/>
        <v>0</v>
      </c>
      <c r="I581" s="7">
        <f t="shared" si="69"/>
        <v>0</v>
      </c>
      <c r="J581" s="7">
        <v>870.65722009607362</v>
      </c>
      <c r="K581" s="7">
        <f t="shared" si="70"/>
        <v>13.886080065328128</v>
      </c>
      <c r="L581" s="7">
        <f t="shared" si="71"/>
        <v>52.267366247616749</v>
      </c>
      <c r="M581" s="7">
        <v>0</v>
      </c>
      <c r="N581" s="7">
        <f t="shared" si="72"/>
        <v>0</v>
      </c>
      <c r="O581" s="7">
        <f t="shared" si="73"/>
        <v>0</v>
      </c>
    </row>
    <row r="582" spans="3:15" x14ac:dyDescent="0.2">
      <c r="C582">
        <v>563</v>
      </c>
      <c r="D582" s="7">
        <v>3450.3382515099443</v>
      </c>
      <c r="E582" s="7">
        <f t="shared" si="66"/>
        <v>103.17997163606293</v>
      </c>
      <c r="F582" s="7">
        <f t="shared" si="67"/>
        <v>278.62343327896548</v>
      </c>
      <c r="G582" s="7">
        <v>0</v>
      </c>
      <c r="H582" s="7">
        <f t="shared" si="68"/>
        <v>0</v>
      </c>
      <c r="I582" s="7">
        <f t="shared" si="69"/>
        <v>0</v>
      </c>
      <c r="J582" s="7">
        <v>1093.3789062982646</v>
      </c>
      <c r="K582" s="7">
        <f t="shared" si="70"/>
        <v>17.438260068552864</v>
      </c>
      <c r="L582" s="7">
        <f t="shared" si="71"/>
        <v>65.63781293469772</v>
      </c>
      <c r="M582" s="7">
        <v>0</v>
      </c>
      <c r="N582" s="7">
        <f t="shared" si="72"/>
        <v>0</v>
      </c>
      <c r="O582" s="7">
        <f t="shared" si="73"/>
        <v>0</v>
      </c>
    </row>
    <row r="583" spans="3:15" x14ac:dyDescent="0.2">
      <c r="C583">
        <v>564</v>
      </c>
      <c r="D583" s="7">
        <v>3448.6766744550237</v>
      </c>
      <c r="E583" s="7">
        <f t="shared" si="66"/>
        <v>103.13028332700431</v>
      </c>
      <c r="F583" s="7">
        <f t="shared" si="67"/>
        <v>278.48925678090853</v>
      </c>
      <c r="G583" s="7">
        <v>0</v>
      </c>
      <c r="H583" s="7">
        <f t="shared" si="68"/>
        <v>0</v>
      </c>
      <c r="I583" s="7">
        <f t="shared" si="69"/>
        <v>0</v>
      </c>
      <c r="J583" s="7">
        <v>1316.0861829222335</v>
      </c>
      <c r="K583" s="7">
        <f t="shared" si="70"/>
        <v>20.990210253943122</v>
      </c>
      <c r="L583" s="7">
        <f t="shared" si="71"/>
        <v>79.007394584787093</v>
      </c>
      <c r="M583" s="7">
        <v>0</v>
      </c>
      <c r="N583" s="7">
        <f t="shared" si="72"/>
        <v>0</v>
      </c>
      <c r="O583" s="7">
        <f t="shared" si="73"/>
        <v>0</v>
      </c>
    </row>
    <row r="584" spans="3:15" x14ac:dyDescent="0.2">
      <c r="C584">
        <v>565</v>
      </c>
      <c r="D584" s="7">
        <v>3447.0294514143125</v>
      </c>
      <c r="E584" s="7">
        <f t="shared" si="66"/>
        <v>103.08102426478207</v>
      </c>
      <c r="F584" s="7">
        <f t="shared" si="67"/>
        <v>278.35623940535748</v>
      </c>
      <c r="G584" s="7">
        <v>0</v>
      </c>
      <c r="H584" s="7">
        <f t="shared" si="68"/>
        <v>0</v>
      </c>
      <c r="I584" s="7">
        <f t="shared" si="69"/>
        <v>0</v>
      </c>
      <c r="J584" s="7">
        <v>1538.7791055319922</v>
      </c>
      <c r="K584" s="7">
        <f t="shared" si="70"/>
        <v>24.541931507687277</v>
      </c>
      <c r="L584" s="7">
        <f t="shared" si="71"/>
        <v>92.376114533508172</v>
      </c>
      <c r="M584" s="7">
        <v>0</v>
      </c>
      <c r="N584" s="7">
        <f t="shared" si="72"/>
        <v>0</v>
      </c>
      <c r="O584" s="7">
        <f t="shared" si="73"/>
        <v>0</v>
      </c>
    </row>
    <row r="585" spans="3:15" x14ac:dyDescent="0.2">
      <c r="C585">
        <v>566</v>
      </c>
      <c r="D585" s="7">
        <v>3445.3965269878213</v>
      </c>
      <c r="E585" s="7">
        <f t="shared" si="66"/>
        <v>103.03219279269801</v>
      </c>
      <c r="F585" s="7">
        <f t="shared" si="67"/>
        <v>278.22437667862488</v>
      </c>
      <c r="G585" s="7">
        <v>0</v>
      </c>
      <c r="H585" s="7">
        <f t="shared" si="68"/>
        <v>0</v>
      </c>
      <c r="I585" s="7">
        <f t="shared" si="69"/>
        <v>0</v>
      </c>
      <c r="J585" s="7">
        <v>1761.4577295275326</v>
      </c>
      <c r="K585" s="7">
        <f t="shared" si="70"/>
        <v>28.093424713357777</v>
      </c>
      <c r="L585" s="7">
        <f t="shared" si="71"/>
        <v>105.7439761066379</v>
      </c>
      <c r="M585" s="7">
        <v>0</v>
      </c>
      <c r="N585" s="7">
        <f t="shared" si="72"/>
        <v>0</v>
      </c>
      <c r="O585" s="7">
        <f t="shared" si="73"/>
        <v>0</v>
      </c>
    </row>
    <row r="586" spans="3:15" x14ac:dyDescent="0.2">
      <c r="C586">
        <v>567</v>
      </c>
      <c r="D586" s="7">
        <v>3443.7778459391952</v>
      </c>
      <c r="E586" s="7">
        <f t="shared" si="66"/>
        <v>102.98378725894723</v>
      </c>
      <c r="F586" s="7">
        <f t="shared" si="67"/>
        <v>278.09366414023697</v>
      </c>
      <c r="G586" s="7">
        <v>0</v>
      </c>
      <c r="H586" s="7">
        <f t="shared" si="68"/>
        <v>0</v>
      </c>
      <c r="I586" s="7">
        <f t="shared" si="69"/>
        <v>0</v>
      </c>
      <c r="J586" s="7">
        <v>1984.122110145207</v>
      </c>
      <c r="K586" s="7">
        <f t="shared" si="70"/>
        <v>31.644690751917178</v>
      </c>
      <c r="L586" s="7">
        <f t="shared" si="71"/>
        <v>119.11098262012953</v>
      </c>
      <c r="M586" s="7">
        <v>0</v>
      </c>
      <c r="N586" s="7">
        <f t="shared" si="72"/>
        <v>0</v>
      </c>
      <c r="O586" s="7">
        <f t="shared" si="73"/>
        <v>0</v>
      </c>
    </row>
    <row r="587" spans="3:15" x14ac:dyDescent="0.2">
      <c r="C587">
        <v>568</v>
      </c>
      <c r="D587" s="7">
        <v>3444.3665138540846</v>
      </c>
      <c r="E587" s="7">
        <f t="shared" si="66"/>
        <v>103.00139096453603</v>
      </c>
      <c r="F587" s="7">
        <f t="shared" si="67"/>
        <v>278.14120054494623</v>
      </c>
      <c r="G587" s="7">
        <v>2781.9871670290277</v>
      </c>
      <c r="H587" s="7">
        <f t="shared" si="68"/>
        <v>66.554716914570051</v>
      </c>
      <c r="I587" s="7">
        <f t="shared" si="69"/>
        <v>144.63016999204785</v>
      </c>
      <c r="J587" s="7">
        <v>1823.8893258748922</v>
      </c>
      <c r="K587" s="7">
        <f t="shared" si="70"/>
        <v>29.089143953347566</v>
      </c>
      <c r="L587" s="7">
        <f t="shared" si="71"/>
        <v>109.49187486219034</v>
      </c>
      <c r="M587" s="7">
        <v>1183.187057227861</v>
      </c>
      <c r="N587" s="7">
        <f t="shared" si="72"/>
        <v>94.353034866655591</v>
      </c>
      <c r="O587" s="7">
        <f t="shared" si="73"/>
        <v>35.715924539199975</v>
      </c>
    </row>
    <row r="588" spans="3:15" x14ac:dyDescent="0.2">
      <c r="C588">
        <v>569</v>
      </c>
      <c r="D588" s="7">
        <v>3449.012112520621</v>
      </c>
      <c r="E588" s="7">
        <f t="shared" si="66"/>
        <v>103.1403143696358</v>
      </c>
      <c r="F588" s="7">
        <f t="shared" si="67"/>
        <v>278.51634424268082</v>
      </c>
      <c r="G588" s="7">
        <v>2782.749644855835</v>
      </c>
      <c r="H588" s="7">
        <f t="shared" si="68"/>
        <v>66.572958010905154</v>
      </c>
      <c r="I588" s="7">
        <f t="shared" si="69"/>
        <v>144.66980974992069</v>
      </c>
      <c r="J588" s="7">
        <v>2106.6031366481197</v>
      </c>
      <c r="K588" s="7">
        <f t="shared" si="70"/>
        <v>33.598136150687715</v>
      </c>
      <c r="L588" s="7">
        <f t="shared" si="71"/>
        <v>126.46377373338231</v>
      </c>
      <c r="M588" s="7">
        <v>1182.4245794010533</v>
      </c>
      <c r="N588" s="7">
        <f t="shared" si="72"/>
        <v>94.292231212205209</v>
      </c>
      <c r="O588" s="7">
        <f t="shared" si="73"/>
        <v>35.692908228838299</v>
      </c>
    </row>
    <row r="589" spans="3:15" x14ac:dyDescent="0.2">
      <c r="C589">
        <v>570</v>
      </c>
      <c r="D589" s="7">
        <v>3453.6444793644882</v>
      </c>
      <c r="E589" s="7">
        <f t="shared" si="66"/>
        <v>103.27884208625862</v>
      </c>
      <c r="F589" s="7">
        <f t="shared" si="67"/>
        <v>278.89041943767978</v>
      </c>
      <c r="G589" s="7">
        <v>2783.1758686023436</v>
      </c>
      <c r="H589" s="7">
        <f t="shared" si="68"/>
        <v>66.583154751252238</v>
      </c>
      <c r="I589" s="7">
        <f t="shared" si="69"/>
        <v>144.69196830393653</v>
      </c>
      <c r="J589" s="7">
        <v>2389.3301792440147</v>
      </c>
      <c r="K589" s="7">
        <f t="shared" si="70"/>
        <v>38.107339381882213</v>
      </c>
      <c r="L589" s="7">
        <f t="shared" si="71"/>
        <v>143.43646693844707</v>
      </c>
      <c r="M589" s="7">
        <v>1181.9983556545449</v>
      </c>
      <c r="N589" s="7">
        <f t="shared" si="72"/>
        <v>94.258242077714911</v>
      </c>
      <c r="O589" s="7">
        <f t="shared" si="73"/>
        <v>35.680042152359427</v>
      </c>
    </row>
    <row r="590" spans="3:15" x14ac:dyDescent="0.2">
      <c r="C590">
        <v>571</v>
      </c>
      <c r="D590" s="7">
        <v>3458.2627623229714</v>
      </c>
      <c r="E590" s="7">
        <f t="shared" si="66"/>
        <v>103.41694863406016</v>
      </c>
      <c r="F590" s="7">
        <f t="shared" si="67"/>
        <v>279.26335732375026</v>
      </c>
      <c r="G590" s="7">
        <v>2783.0939601426326</v>
      </c>
      <c r="H590" s="7">
        <f t="shared" si="68"/>
        <v>66.581195218723266</v>
      </c>
      <c r="I590" s="7">
        <f t="shared" si="69"/>
        <v>144.68771004042185</v>
      </c>
      <c r="J590" s="7">
        <v>2927.5018918939718</v>
      </c>
      <c r="K590" s="7">
        <f t="shared" si="70"/>
        <v>46.690620285390303</v>
      </c>
      <c r="L590" s="7">
        <f t="shared" si="71"/>
        <v>175.74403570365936</v>
      </c>
      <c r="M590" s="7">
        <v>1182.0802641142557</v>
      </c>
      <c r="N590" s="7">
        <f t="shared" si="72"/>
        <v>94.264773852811459</v>
      </c>
      <c r="O590" s="7">
        <f t="shared" si="73"/>
        <v>35.682514657740782</v>
      </c>
    </row>
    <row r="591" spans="3:15" x14ac:dyDescent="0.2">
      <c r="C591">
        <v>572</v>
      </c>
      <c r="D591" s="7">
        <v>3462.8658732780523</v>
      </c>
      <c r="E591" s="7">
        <f t="shared" si="66"/>
        <v>103.55460147362598</v>
      </c>
      <c r="F591" s="7">
        <f t="shared" si="67"/>
        <v>279.63507003264408</v>
      </c>
      <c r="G591" s="7">
        <v>2782.6986285200965</v>
      </c>
      <c r="H591" s="7">
        <f t="shared" si="68"/>
        <v>66.571737524404227</v>
      </c>
      <c r="I591" s="7">
        <f t="shared" si="69"/>
        <v>144.66715750860274</v>
      </c>
      <c r="J591" s="7">
        <v>2922.8987809388909</v>
      </c>
      <c r="K591" s="7">
        <f t="shared" si="70"/>
        <v>46.61720543762187</v>
      </c>
      <c r="L591" s="7">
        <f t="shared" si="71"/>
        <v>175.46770136608723</v>
      </c>
      <c r="M591" s="7">
        <v>1182.4755957367922</v>
      </c>
      <c r="N591" s="7">
        <f t="shared" si="72"/>
        <v>94.29629950054165</v>
      </c>
      <c r="O591" s="7">
        <f t="shared" si="73"/>
        <v>35.694448218298454</v>
      </c>
    </row>
    <row r="592" spans="3:15" x14ac:dyDescent="0.2">
      <c r="C592">
        <v>573</v>
      </c>
      <c r="D592" s="7">
        <v>3467.4535365835391</v>
      </c>
      <c r="E592" s="7">
        <f t="shared" si="66"/>
        <v>103.69179236194795</v>
      </c>
      <c r="F592" s="7">
        <f t="shared" si="67"/>
        <v>280.00553530524257</v>
      </c>
      <c r="G592" s="7">
        <v>2782.1409643489137</v>
      </c>
      <c r="H592" s="7">
        <f t="shared" si="68"/>
        <v>66.558396276289812</v>
      </c>
      <c r="I592" s="7">
        <f t="shared" si="69"/>
        <v>144.63816561934013</v>
      </c>
      <c r="J592" s="7">
        <v>3237.5993503442514</v>
      </c>
      <c r="K592" s="7">
        <f t="shared" si="70"/>
        <v>51.636353275027936</v>
      </c>
      <c r="L592" s="7">
        <f t="shared" si="71"/>
        <v>194.35983197706233</v>
      </c>
      <c r="M592" s="7">
        <v>1183.0332599079748</v>
      </c>
      <c r="N592" s="7">
        <f t="shared" si="72"/>
        <v>94.340770327589695</v>
      </c>
      <c r="O592" s="7">
        <f t="shared" si="73"/>
        <v>35.711281982101475</v>
      </c>
    </row>
    <row r="593" spans="3:15" x14ac:dyDescent="0.2">
      <c r="C593">
        <v>574</v>
      </c>
      <c r="D593" s="7">
        <v>3472.0256884364258</v>
      </c>
      <c r="E593" s="7">
        <f t="shared" si="66"/>
        <v>103.82851939104145</v>
      </c>
      <c r="F593" s="7">
        <f t="shared" si="67"/>
        <v>280.37474798929361</v>
      </c>
      <c r="G593" s="7">
        <v>2781.9814155907843</v>
      </c>
      <c r="H593" s="7">
        <f t="shared" si="68"/>
        <v>66.554579320353696</v>
      </c>
      <c r="I593" s="7">
        <f t="shared" si="69"/>
        <v>144.62987098581922</v>
      </c>
      <c r="J593" s="7">
        <v>2402.8777934431623</v>
      </c>
      <c r="K593" s="7">
        <f t="shared" si="70"/>
        <v>38.323409783782495</v>
      </c>
      <c r="L593" s="7">
        <f t="shared" si="71"/>
        <v>144.249758434554</v>
      </c>
      <c r="M593" s="7">
        <v>1183.1928086661039</v>
      </c>
      <c r="N593" s="7">
        <f t="shared" si="72"/>
        <v>94.353493514043379</v>
      </c>
      <c r="O593" s="7">
        <f t="shared" si="73"/>
        <v>35.71609815328155</v>
      </c>
    </row>
    <row r="594" spans="3:15" x14ac:dyDescent="0.2">
      <c r="C594">
        <v>575</v>
      </c>
      <c r="D594" s="7">
        <v>3472.5270401074545</v>
      </c>
      <c r="E594" s="7">
        <f t="shared" si="66"/>
        <v>103.84351196493584</v>
      </c>
      <c r="F594" s="7">
        <f t="shared" si="67"/>
        <v>280.41523338918188</v>
      </c>
      <c r="G594" s="7">
        <v>0</v>
      </c>
      <c r="H594" s="7">
        <f t="shared" si="68"/>
        <v>0</v>
      </c>
      <c r="I594" s="7">
        <f t="shared" si="69"/>
        <v>0</v>
      </c>
      <c r="J594" s="7">
        <v>1572.2270367239312</v>
      </c>
      <c r="K594" s="7">
        <f t="shared" si="70"/>
        <v>25.075391335309909</v>
      </c>
      <c r="L594" s="7">
        <f t="shared" si="71"/>
        <v>94.384063505253053</v>
      </c>
      <c r="M594" s="7">
        <v>0</v>
      </c>
      <c r="N594" s="7">
        <f t="shared" si="72"/>
        <v>0</v>
      </c>
      <c r="O594" s="7">
        <f t="shared" si="73"/>
        <v>0</v>
      </c>
    </row>
    <row r="595" spans="3:15" x14ac:dyDescent="0.2">
      <c r="C595">
        <v>576</v>
      </c>
      <c r="D595" s="7">
        <v>3470.8440497830957</v>
      </c>
      <c r="E595" s="7">
        <f t="shared" si="66"/>
        <v>103.79318330691076</v>
      </c>
      <c r="F595" s="7">
        <f t="shared" si="67"/>
        <v>280.27932771612421</v>
      </c>
      <c r="G595" s="7">
        <v>0</v>
      </c>
      <c r="H595" s="7">
        <f t="shared" si="68"/>
        <v>0</v>
      </c>
      <c r="I595" s="7">
        <f t="shared" si="69"/>
        <v>0</v>
      </c>
      <c r="J595" s="7">
        <v>743.76062200008664</v>
      </c>
      <c r="K595" s="7">
        <f t="shared" si="70"/>
        <v>11.862210877194364</v>
      </c>
      <c r="L595" s="7">
        <f t="shared" si="71"/>
        <v>44.649499175282926</v>
      </c>
      <c r="M595" s="7">
        <v>0</v>
      </c>
      <c r="N595" s="7">
        <f t="shared" si="72"/>
        <v>0</v>
      </c>
      <c r="O595" s="7">
        <f t="shared" si="73"/>
        <v>0</v>
      </c>
    </row>
    <row r="596" spans="3:15" x14ac:dyDescent="0.2">
      <c r="C596">
        <v>577</v>
      </c>
      <c r="D596" s="7">
        <v>2713.9499780422011</v>
      </c>
      <c r="E596" s="7">
        <f t="shared" si="66"/>
        <v>81.158791209395972</v>
      </c>
      <c r="F596" s="7">
        <f t="shared" si="67"/>
        <v>219.15824058657853</v>
      </c>
      <c r="G596" s="7">
        <v>0</v>
      </c>
      <c r="H596" s="7">
        <f t="shared" si="68"/>
        <v>0</v>
      </c>
      <c r="I596" s="7">
        <f t="shared" si="69"/>
        <v>0</v>
      </c>
      <c r="J596" s="7">
        <v>0</v>
      </c>
      <c r="K596" s="7">
        <f t="shared" si="70"/>
        <v>0</v>
      </c>
      <c r="L596" s="7">
        <f t="shared" si="71"/>
        <v>0</v>
      </c>
      <c r="M596" s="7">
        <v>0</v>
      </c>
      <c r="N596" s="7">
        <f t="shared" si="72"/>
        <v>0</v>
      </c>
      <c r="O596" s="7">
        <f t="shared" si="73"/>
        <v>0</v>
      </c>
    </row>
    <row r="597" spans="3:15" x14ac:dyDescent="0.2">
      <c r="C597">
        <v>578</v>
      </c>
      <c r="D597" s="7">
        <v>2554.3058616867775</v>
      </c>
      <c r="E597" s="7">
        <f t="shared" ref="E597:E660" si="74">D597/($C$3*($D$8-$D$6))</f>
        <v>76.384744667666794</v>
      </c>
      <c r="F597" s="7">
        <f t="shared" ref="F597:F660" si="75">E597*$C$3*((($D$8)-($D$6))-$C$2*LN(($D$8)/($D$6)))</f>
        <v>206.2665793756033</v>
      </c>
      <c r="G597" s="7">
        <v>0</v>
      </c>
      <c r="H597" s="7">
        <f t="shared" ref="H597:H660" si="76">G597/($C$3*($D$6-$D$9))</f>
        <v>0</v>
      </c>
      <c r="I597" s="7">
        <f t="shared" ref="I597:I660" si="77">ABS(H597*$C$3*(($D$9-$D$6)-$C$2*(LN($D$9/$D$6))))</f>
        <v>0</v>
      </c>
      <c r="J597" s="7">
        <v>0</v>
      </c>
      <c r="K597" s="7">
        <f t="shared" ref="K597:K660" si="78">J597/($C$3*($D$10-$D$7))</f>
        <v>0</v>
      </c>
      <c r="L597" s="7">
        <f t="shared" ref="L597:L660" si="79">K597*$C$3*(($D$10-$D$7)-$C$2*LN($D$10/$D$7))</f>
        <v>0</v>
      </c>
      <c r="M597" s="7">
        <v>0</v>
      </c>
      <c r="N597" s="7">
        <f t="shared" ref="N597:N660" si="80">M597/($C$3*($D$7-$D$11))</f>
        <v>0</v>
      </c>
      <c r="O597" s="7">
        <f t="shared" ref="O597:O660" si="81">ABS(N597*$C$3*(($D$11-$D$7)-$C$2*LN($D$11/$D$7)))</f>
        <v>0</v>
      </c>
    </row>
    <row r="598" spans="3:15" x14ac:dyDescent="0.2">
      <c r="C598">
        <v>579</v>
      </c>
      <c r="D598" s="7">
        <v>2713.9499780422011</v>
      </c>
      <c r="E598" s="7">
        <f t="shared" si="74"/>
        <v>81.158791209395972</v>
      </c>
      <c r="F598" s="7">
        <f t="shared" si="75"/>
        <v>219.15824058657853</v>
      </c>
      <c r="G598" s="7">
        <v>0</v>
      </c>
      <c r="H598" s="7">
        <f t="shared" si="76"/>
        <v>0</v>
      </c>
      <c r="I598" s="7">
        <f t="shared" si="77"/>
        <v>0</v>
      </c>
      <c r="J598" s="7">
        <v>0</v>
      </c>
      <c r="K598" s="7">
        <f t="shared" si="78"/>
        <v>0</v>
      </c>
      <c r="L598" s="7">
        <f t="shared" si="79"/>
        <v>0</v>
      </c>
      <c r="M598" s="7">
        <v>0</v>
      </c>
      <c r="N598" s="7">
        <f t="shared" si="80"/>
        <v>0</v>
      </c>
      <c r="O598" s="7">
        <f t="shared" si="81"/>
        <v>0</v>
      </c>
    </row>
    <row r="599" spans="3:15" x14ac:dyDescent="0.2">
      <c r="C599">
        <v>580</v>
      </c>
      <c r="D599" s="7">
        <v>2873.5940943976243</v>
      </c>
      <c r="E599" s="7">
        <f t="shared" si="74"/>
        <v>85.932837751125135</v>
      </c>
      <c r="F599" s="7">
        <f t="shared" si="75"/>
        <v>232.0499017975537</v>
      </c>
      <c r="G599" s="7">
        <v>0</v>
      </c>
      <c r="H599" s="7">
        <f t="shared" si="76"/>
        <v>0</v>
      </c>
      <c r="I599" s="7">
        <f t="shared" si="77"/>
        <v>0</v>
      </c>
      <c r="J599" s="7">
        <v>0</v>
      </c>
      <c r="K599" s="7">
        <f t="shared" si="78"/>
        <v>0</v>
      </c>
      <c r="L599" s="7">
        <f t="shared" si="79"/>
        <v>0</v>
      </c>
      <c r="M599" s="7">
        <v>0</v>
      </c>
      <c r="N599" s="7">
        <f t="shared" si="80"/>
        <v>0</v>
      </c>
      <c r="O599" s="7">
        <f t="shared" si="81"/>
        <v>0</v>
      </c>
    </row>
    <row r="600" spans="3:15" x14ac:dyDescent="0.2">
      <c r="C600">
        <v>581</v>
      </c>
      <c r="D600" s="7">
        <v>3192.8823271084716</v>
      </c>
      <c r="E600" s="7">
        <f t="shared" si="74"/>
        <v>95.480930834583489</v>
      </c>
      <c r="F600" s="7">
        <f t="shared" si="75"/>
        <v>257.83322421950413</v>
      </c>
      <c r="G600" s="7">
        <v>0</v>
      </c>
      <c r="H600" s="7">
        <f t="shared" si="76"/>
        <v>0</v>
      </c>
      <c r="I600" s="7">
        <f t="shared" si="77"/>
        <v>0</v>
      </c>
      <c r="J600" s="7">
        <v>0</v>
      </c>
      <c r="K600" s="7">
        <f t="shared" si="78"/>
        <v>0</v>
      </c>
      <c r="L600" s="7">
        <f t="shared" si="79"/>
        <v>0</v>
      </c>
      <c r="M600" s="7">
        <v>0</v>
      </c>
      <c r="N600" s="7">
        <f t="shared" si="80"/>
        <v>0</v>
      </c>
      <c r="O600" s="7">
        <f t="shared" si="81"/>
        <v>0</v>
      </c>
    </row>
    <row r="601" spans="3:15" x14ac:dyDescent="0.2">
      <c r="C601">
        <v>582</v>
      </c>
      <c r="D601" s="7">
        <v>3405.741148915703</v>
      </c>
      <c r="E601" s="7">
        <f t="shared" si="74"/>
        <v>101.84632622355572</v>
      </c>
      <c r="F601" s="7">
        <f t="shared" si="75"/>
        <v>275.02210583413773</v>
      </c>
      <c r="G601" s="7">
        <v>0</v>
      </c>
      <c r="H601" s="7">
        <f t="shared" si="76"/>
        <v>0</v>
      </c>
      <c r="I601" s="7">
        <f t="shared" si="77"/>
        <v>0</v>
      </c>
      <c r="J601" s="7">
        <v>0</v>
      </c>
      <c r="K601" s="7">
        <f t="shared" si="78"/>
        <v>0</v>
      </c>
      <c r="L601" s="7">
        <f t="shared" si="79"/>
        <v>0</v>
      </c>
      <c r="M601" s="7">
        <v>0</v>
      </c>
      <c r="N601" s="7">
        <f t="shared" si="80"/>
        <v>0</v>
      </c>
      <c r="O601" s="7">
        <f t="shared" si="81"/>
        <v>0</v>
      </c>
    </row>
    <row r="602" spans="3:15" x14ac:dyDescent="0.2">
      <c r="C602">
        <v>583</v>
      </c>
      <c r="D602" s="7">
        <v>3468.6394093859135</v>
      </c>
      <c r="E602" s="7">
        <f t="shared" si="74"/>
        <v>103.72725506536824</v>
      </c>
      <c r="F602" s="7">
        <f t="shared" si="75"/>
        <v>280.10129749652486</v>
      </c>
      <c r="G602" s="7">
        <v>2800.6308269192</v>
      </c>
      <c r="H602" s="7">
        <f t="shared" si="76"/>
        <v>67.000737486105265</v>
      </c>
      <c r="I602" s="7">
        <f t="shared" si="77"/>
        <v>145.59941806448563</v>
      </c>
      <c r="J602" s="7">
        <v>149.96056133702041</v>
      </c>
      <c r="K602" s="7">
        <f t="shared" si="78"/>
        <v>2.3917154918185073</v>
      </c>
      <c r="L602" s="7">
        <f t="shared" si="79"/>
        <v>9.0024448212068382</v>
      </c>
      <c r="M602" s="7">
        <v>1164.5433973376885</v>
      </c>
      <c r="N602" s="7">
        <f t="shared" si="80"/>
        <v>92.866299628204828</v>
      </c>
      <c r="O602" s="7">
        <f t="shared" si="81"/>
        <v>35.153143239570127</v>
      </c>
    </row>
    <row r="603" spans="3:15" x14ac:dyDescent="0.2">
      <c r="C603">
        <v>584</v>
      </c>
      <c r="D603" s="7">
        <v>3473.3182724287135</v>
      </c>
      <c r="E603" s="7">
        <f t="shared" si="74"/>
        <v>103.86717321856202</v>
      </c>
      <c r="F603" s="7">
        <f t="shared" si="75"/>
        <v>280.47912737574222</v>
      </c>
      <c r="G603" s="7">
        <v>2804.3615502779758</v>
      </c>
      <c r="H603" s="7">
        <f t="shared" si="76"/>
        <v>67.0899892410999</v>
      </c>
      <c r="I603" s="7">
        <f t="shared" si="77"/>
        <v>145.79337120703346</v>
      </c>
      <c r="J603" s="7">
        <v>358.14052010145224</v>
      </c>
      <c r="K603" s="7">
        <f t="shared" si="78"/>
        <v>5.7119700175670216</v>
      </c>
      <c r="L603" s="7">
        <f t="shared" si="79"/>
        <v>21.499921324018857</v>
      </c>
      <c r="M603" s="7">
        <v>1160.8126739789127</v>
      </c>
      <c r="N603" s="7">
        <f t="shared" si="80"/>
        <v>92.568793778222712</v>
      </c>
      <c r="O603" s="7">
        <f t="shared" si="81"/>
        <v>35.040526867421121</v>
      </c>
    </row>
    <row r="604" spans="3:15" x14ac:dyDescent="0.2">
      <c r="C604">
        <v>585</v>
      </c>
      <c r="D604" s="7">
        <v>3477.9903665064148</v>
      </c>
      <c r="E604" s="7">
        <f t="shared" si="74"/>
        <v>104.00688895055069</v>
      </c>
      <c r="F604" s="7">
        <f t="shared" si="75"/>
        <v>280.85641064411794</v>
      </c>
      <c r="G604" s="7">
        <v>2807.8501135305737</v>
      </c>
      <c r="H604" s="7">
        <f t="shared" si="76"/>
        <v>67.173447692118998</v>
      </c>
      <c r="I604" s="7">
        <f t="shared" si="77"/>
        <v>145.97473491073094</v>
      </c>
      <c r="J604" s="7">
        <v>566.32724783098183</v>
      </c>
      <c r="K604" s="7">
        <f t="shared" si="78"/>
        <v>9.0323325012915774</v>
      </c>
      <c r="L604" s="7">
        <f t="shared" si="79"/>
        <v>33.997804181903476</v>
      </c>
      <c r="M604" s="7">
        <v>1157.3241107263148</v>
      </c>
      <c r="N604" s="7">
        <f t="shared" si="80"/>
        <v>92.290598941492405</v>
      </c>
      <c r="O604" s="7">
        <f t="shared" si="81"/>
        <v>34.935220389363508</v>
      </c>
    </row>
    <row r="605" spans="3:15" x14ac:dyDescent="0.2">
      <c r="C605">
        <v>586</v>
      </c>
      <c r="D605" s="7">
        <v>3482.6551495504355</v>
      </c>
      <c r="E605" s="7">
        <f t="shared" si="74"/>
        <v>104.14638605114939</v>
      </c>
      <c r="F605" s="7">
        <f t="shared" si="75"/>
        <v>281.23310352825985</v>
      </c>
      <c r="G605" s="7">
        <v>2811.0965527477952</v>
      </c>
      <c r="H605" s="7">
        <f t="shared" si="76"/>
        <v>67.251113702100369</v>
      </c>
      <c r="I605" s="7">
        <f t="shared" si="77"/>
        <v>146.14351105082977</v>
      </c>
      <c r="J605" s="7">
        <v>774.52128659419304</v>
      </c>
      <c r="K605" s="7">
        <f t="shared" si="78"/>
        <v>12.352811588424132</v>
      </c>
      <c r="L605" s="7">
        <f t="shared" si="79"/>
        <v>46.496125936366752</v>
      </c>
      <c r="M605" s="7">
        <v>1154.0776715090933</v>
      </c>
      <c r="N605" s="7">
        <f t="shared" si="80"/>
        <v>92.031712241554501</v>
      </c>
      <c r="O605" s="7">
        <f t="shared" si="81"/>
        <v>34.837222716556774</v>
      </c>
    </row>
    <row r="606" spans="3:15" x14ac:dyDescent="0.2">
      <c r="C606">
        <v>587</v>
      </c>
      <c r="D606" s="7">
        <v>3487.3120821287248</v>
      </c>
      <c r="E606" s="7">
        <f t="shared" si="74"/>
        <v>104.2856483890169</v>
      </c>
      <c r="F606" s="7">
        <f t="shared" si="75"/>
        <v>281.60916246768232</v>
      </c>
      <c r="G606" s="7">
        <v>2814.1009253927714</v>
      </c>
      <c r="H606" s="7">
        <f t="shared" si="76"/>
        <v>67.322988645760091</v>
      </c>
      <c r="I606" s="7">
        <f t="shared" si="77"/>
        <v>146.29970261472775</v>
      </c>
      <c r="J606" s="7">
        <v>982.72317582313553</v>
      </c>
      <c r="K606" s="7">
        <f t="shared" si="78"/>
        <v>15.67341588234666</v>
      </c>
      <c r="L606" s="7">
        <f t="shared" si="79"/>
        <v>58.994918970638111</v>
      </c>
      <c r="M606" s="7">
        <v>1151.0732988641171</v>
      </c>
      <c r="N606" s="7">
        <f t="shared" si="80"/>
        <v>91.792129096022109</v>
      </c>
      <c r="O606" s="7">
        <f t="shared" si="81"/>
        <v>34.746532114407174</v>
      </c>
    </row>
    <row r="607" spans="3:15" x14ac:dyDescent="0.2">
      <c r="C607">
        <v>588</v>
      </c>
      <c r="D607" s="7">
        <v>3491.9606274850721</v>
      </c>
      <c r="E607" s="7">
        <f t="shared" si="74"/>
        <v>104.42465991283112</v>
      </c>
      <c r="F607" s="7">
        <f t="shared" si="75"/>
        <v>281.98454411798048</v>
      </c>
      <c r="G607" s="7">
        <v>2816.8633102870322</v>
      </c>
      <c r="H607" s="7">
        <f t="shared" si="76"/>
        <v>67.389074408780672</v>
      </c>
      <c r="I607" s="7">
        <f t="shared" si="77"/>
        <v>146.44331370020484</v>
      </c>
      <c r="J607" s="7">
        <v>1190.9334522740191</v>
      </c>
      <c r="K607" s="7">
        <f t="shared" si="78"/>
        <v>18.99415394376426</v>
      </c>
      <c r="L607" s="7">
        <f t="shared" si="79"/>
        <v>71.494215507310727</v>
      </c>
      <c r="M607" s="7">
        <v>1148.3109139698563</v>
      </c>
      <c r="N607" s="7">
        <f t="shared" si="80"/>
        <v>91.571843219286791</v>
      </c>
      <c r="O607" s="7">
        <f t="shared" si="81"/>
        <v>34.663146203592021</v>
      </c>
    </row>
    <row r="608" spans="3:15" x14ac:dyDescent="0.2">
      <c r="C608">
        <v>589</v>
      </c>
      <c r="D608" s="7">
        <v>3496.6002515781265</v>
      </c>
      <c r="E608" s="7">
        <f t="shared" si="74"/>
        <v>104.56340465245594</v>
      </c>
      <c r="F608" s="7">
        <f t="shared" si="75"/>
        <v>282.359205353981</v>
      </c>
      <c r="G608" s="7">
        <v>2819.3838075747244</v>
      </c>
      <c r="H608" s="7">
        <f t="shared" si="76"/>
        <v>67.449373386955131</v>
      </c>
      <c r="I608" s="7">
        <f t="shared" si="77"/>
        <v>146.57434951356294</v>
      </c>
      <c r="J608" s="7">
        <v>1399.1526499881957</v>
      </c>
      <c r="K608" s="7">
        <f t="shared" si="78"/>
        <v>22.315034290082867</v>
      </c>
      <c r="L608" s="7">
        <f t="shared" si="79"/>
        <v>83.994047605999214</v>
      </c>
      <c r="M608" s="7">
        <v>1145.7904166821638</v>
      </c>
      <c r="N608" s="7">
        <f t="shared" si="80"/>
        <v>91.370846625371925</v>
      </c>
      <c r="O608" s="7">
        <f t="shared" si="81"/>
        <v>34.587061961139774</v>
      </c>
    </row>
    <row r="609" spans="3:15" x14ac:dyDescent="0.2">
      <c r="C609">
        <v>590</v>
      </c>
      <c r="D609" s="7">
        <v>3501.2304231201651</v>
      </c>
      <c r="E609" s="7">
        <f t="shared" si="74"/>
        <v>104.70186672010064</v>
      </c>
      <c r="F609" s="7">
        <f t="shared" si="75"/>
        <v>282.73310327287305</v>
      </c>
      <c r="G609" s="7">
        <v>2821.6625386849801</v>
      </c>
      <c r="H609" s="7">
        <f t="shared" si="76"/>
        <v>67.503888485286609</v>
      </c>
      <c r="I609" s="7">
        <f t="shared" si="77"/>
        <v>146.69281636766939</v>
      </c>
      <c r="J609" s="7">
        <v>1607.3813002533898</v>
      </c>
      <c r="K609" s="7">
        <f t="shared" si="78"/>
        <v>25.636065394790908</v>
      </c>
      <c r="L609" s="7">
        <f t="shared" si="79"/>
        <v>96.494447161012204</v>
      </c>
      <c r="M609" s="7">
        <v>1143.5116855719082</v>
      </c>
      <c r="N609" s="7">
        <f t="shared" si="80"/>
        <v>91.189129630933678</v>
      </c>
      <c r="O609" s="7">
        <f t="shared" si="81"/>
        <v>34.518275721566042</v>
      </c>
    </row>
    <row r="610" spans="3:15" x14ac:dyDescent="0.2">
      <c r="C610">
        <v>591</v>
      </c>
      <c r="D610" s="7">
        <v>3505.8508019067667</v>
      </c>
      <c r="E610" s="7">
        <f t="shared" si="74"/>
        <v>104.84003594218801</v>
      </c>
      <c r="F610" s="7">
        <f t="shared" si="75"/>
        <v>283.10621040229984</v>
      </c>
      <c r="G610" s="7">
        <v>2823.9509575136044</v>
      </c>
      <c r="H610" s="7">
        <f t="shared" si="76"/>
        <v>67.558635347215414</v>
      </c>
      <c r="I610" s="7">
        <f t="shared" si="77"/>
        <v>146.81178686764849</v>
      </c>
      <c r="J610" s="7">
        <v>1443.1168051113636</v>
      </c>
      <c r="K610" s="7">
        <f t="shared" si="78"/>
        <v>23.016216987422069</v>
      </c>
      <c r="L610" s="7">
        <f t="shared" si="79"/>
        <v>86.633307402565421</v>
      </c>
      <c r="M610" s="7">
        <v>1141.2232667432838</v>
      </c>
      <c r="N610" s="7">
        <f t="shared" si="80"/>
        <v>91.006640091170965</v>
      </c>
      <c r="O610" s="7">
        <f t="shared" si="81"/>
        <v>34.449197046560307</v>
      </c>
    </row>
    <row r="611" spans="3:15" x14ac:dyDescent="0.2">
      <c r="C611">
        <v>592</v>
      </c>
      <c r="D611" s="7">
        <v>3510.4615324244114</v>
      </c>
      <c r="E611" s="7">
        <f t="shared" si="74"/>
        <v>104.977916639486</v>
      </c>
      <c r="F611" s="7">
        <f t="shared" si="75"/>
        <v>283.47853840990547</v>
      </c>
      <c r="G611" s="7">
        <v>2826.1409956335397</v>
      </c>
      <c r="H611" s="7">
        <f t="shared" si="76"/>
        <v>67.611028603673205</v>
      </c>
      <c r="I611" s="7">
        <f t="shared" si="77"/>
        <v>146.92564274352358</v>
      </c>
      <c r="J611" s="7">
        <v>1811.0090127563753</v>
      </c>
      <c r="K611" s="7">
        <f t="shared" si="78"/>
        <v>28.883716311903914</v>
      </c>
      <c r="L611" s="7">
        <f t="shared" si="79"/>
        <v>108.71864283974732</v>
      </c>
      <c r="M611" s="7">
        <v>1139.0332286233488</v>
      </c>
      <c r="N611" s="7">
        <f t="shared" si="80"/>
        <v>90.831995902978377</v>
      </c>
      <c r="O611" s="7">
        <f t="shared" si="81"/>
        <v>34.38308811158528</v>
      </c>
    </row>
    <row r="612" spans="3:15" x14ac:dyDescent="0.2">
      <c r="C612">
        <v>593</v>
      </c>
      <c r="D612" s="7">
        <v>3515.0618712750056</v>
      </c>
      <c r="E612" s="7">
        <f t="shared" si="74"/>
        <v>105.11548658119037</v>
      </c>
      <c r="F612" s="7">
        <f t="shared" si="75"/>
        <v>283.85002726443685</v>
      </c>
      <c r="G612" s="7">
        <v>2827.87375192538</v>
      </c>
      <c r="H612" s="7">
        <f t="shared" si="76"/>
        <v>67.652482103477993</v>
      </c>
      <c r="I612" s="7">
        <f t="shared" si="77"/>
        <v>147.01572541536828</v>
      </c>
      <c r="J612" s="7">
        <v>2178.9116120684357</v>
      </c>
      <c r="K612" s="7">
        <f t="shared" si="78"/>
        <v>34.751381372702326</v>
      </c>
      <c r="L612" s="7">
        <f t="shared" si="79"/>
        <v>130.80460211034497</v>
      </c>
      <c r="M612" s="7">
        <v>1137.3004723315084</v>
      </c>
      <c r="N612" s="7">
        <f t="shared" si="80"/>
        <v>90.693817570295735</v>
      </c>
      <c r="O612" s="7">
        <f t="shared" si="81"/>
        <v>34.330782778640554</v>
      </c>
    </row>
    <row r="613" spans="3:15" x14ac:dyDescent="0.2">
      <c r="C613">
        <v>594</v>
      </c>
      <c r="D613" s="7">
        <v>3519.6508110755949</v>
      </c>
      <c r="E613" s="7">
        <f t="shared" si="74"/>
        <v>105.25271564221278</v>
      </c>
      <c r="F613" s="7">
        <f t="shared" si="75"/>
        <v>284.22059561720374</v>
      </c>
      <c r="G613" s="7">
        <v>2829.1497423955625</v>
      </c>
      <c r="H613" s="7">
        <f t="shared" si="76"/>
        <v>67.683008191281402</v>
      </c>
      <c r="I613" s="7">
        <f t="shared" si="77"/>
        <v>147.08206170936629</v>
      </c>
      <c r="J613" s="7">
        <v>2546.825610430501</v>
      </c>
      <c r="K613" s="7">
        <f t="shared" si="78"/>
        <v>40.619228236531121</v>
      </c>
      <c r="L613" s="7">
        <f t="shared" si="79"/>
        <v>152.89124568965531</v>
      </c>
      <c r="M613" s="7">
        <v>1136.024481861326</v>
      </c>
      <c r="N613" s="7">
        <f t="shared" si="80"/>
        <v>90.592063944284376</v>
      </c>
      <c r="O613" s="7">
        <f t="shared" si="81"/>
        <v>34.292265471451145</v>
      </c>
    </row>
    <row r="614" spans="3:15" x14ac:dyDescent="0.2">
      <c r="C614">
        <v>595</v>
      </c>
      <c r="D614" s="7">
        <v>3524.2277605428426</v>
      </c>
      <c r="E614" s="7">
        <f t="shared" si="74"/>
        <v>105.38958614063525</v>
      </c>
      <c r="F614" s="7">
        <f t="shared" si="75"/>
        <v>284.59019572059964</v>
      </c>
      <c r="G614" s="7">
        <v>2830.5170221989601</v>
      </c>
      <c r="H614" s="7">
        <f t="shared" si="76"/>
        <v>67.715718234424884</v>
      </c>
      <c r="I614" s="7">
        <f t="shared" si="77"/>
        <v>147.15314396047648</v>
      </c>
      <c r="J614" s="7">
        <v>2103.227340985839</v>
      </c>
      <c r="K614" s="7">
        <f t="shared" si="78"/>
        <v>33.544295709503018</v>
      </c>
      <c r="L614" s="7">
        <f t="shared" si="79"/>
        <v>126.26111768897707</v>
      </c>
      <c r="M614" s="7">
        <v>1134.6572020579283</v>
      </c>
      <c r="N614" s="7">
        <f t="shared" si="80"/>
        <v>90.483030467139429</v>
      </c>
      <c r="O614" s="7">
        <f t="shared" si="81"/>
        <v>34.250992485929707</v>
      </c>
    </row>
    <row r="615" spans="3:15" x14ac:dyDescent="0.2">
      <c r="C615">
        <v>596</v>
      </c>
      <c r="D615" s="7">
        <v>3528.7937701316223</v>
      </c>
      <c r="E615" s="7">
        <f t="shared" si="74"/>
        <v>105.52612948958202</v>
      </c>
      <c r="F615" s="7">
        <f t="shared" si="75"/>
        <v>284.95891240147978</v>
      </c>
      <c r="G615" s="7">
        <v>2832.5225369004747</v>
      </c>
      <c r="H615" s="7">
        <f t="shared" si="76"/>
        <v>67.76369705503528</v>
      </c>
      <c r="I615" s="7">
        <f t="shared" si="77"/>
        <v>147.25740681820611</v>
      </c>
      <c r="J615" s="7">
        <v>1659.640011419644</v>
      </c>
      <c r="K615" s="7">
        <f t="shared" si="78"/>
        <v>26.469537662195282</v>
      </c>
      <c r="L615" s="7">
        <f t="shared" si="79"/>
        <v>99.631646431987789</v>
      </c>
      <c r="M615" s="7">
        <v>1132.651687356414</v>
      </c>
      <c r="N615" s="7">
        <f t="shared" si="80"/>
        <v>90.323101065104794</v>
      </c>
      <c r="O615" s="7">
        <f t="shared" si="81"/>
        <v>34.190453612296857</v>
      </c>
    </row>
    <row r="616" spans="3:15" x14ac:dyDescent="0.2">
      <c r="C616">
        <v>597</v>
      </c>
      <c r="D616" s="7">
        <v>3533.3502925812154</v>
      </c>
      <c r="E616" s="7">
        <f t="shared" si="74"/>
        <v>105.66238913221339</v>
      </c>
      <c r="F616" s="7">
        <f t="shared" si="75"/>
        <v>285.32686297217026</v>
      </c>
      <c r="G616" s="7">
        <v>2835.1651268212709</v>
      </c>
      <c r="H616" s="7">
        <f t="shared" si="76"/>
        <v>67.826916909599788</v>
      </c>
      <c r="I616" s="7">
        <f t="shared" si="77"/>
        <v>147.39478999307971</v>
      </c>
      <c r="J616" s="7">
        <v>1216.0621689926356</v>
      </c>
      <c r="K616" s="7">
        <f t="shared" si="78"/>
        <v>19.39493092492242</v>
      </c>
      <c r="L616" s="7">
        <f t="shared" si="79"/>
        <v>73.002744707722812</v>
      </c>
      <c r="M616" s="7">
        <v>1130.0090974356178</v>
      </c>
      <c r="N616" s="7">
        <f t="shared" si="80"/>
        <v>90.112368216556447</v>
      </c>
      <c r="O616" s="7">
        <f t="shared" si="81"/>
        <v>34.110683856853164</v>
      </c>
    </row>
    <row r="617" spans="3:15" x14ac:dyDescent="0.2">
      <c r="C617">
        <v>598</v>
      </c>
      <c r="D617" s="7">
        <v>3537.8987713655351</v>
      </c>
      <c r="E617" s="7">
        <f t="shared" si="74"/>
        <v>105.79840823461529</v>
      </c>
      <c r="F617" s="7">
        <f t="shared" si="75"/>
        <v>285.69416399679562</v>
      </c>
      <c r="G617" s="7">
        <v>2838.4435776345313</v>
      </c>
      <c r="H617" s="7">
        <f t="shared" si="76"/>
        <v>67.905348747237596</v>
      </c>
      <c r="I617" s="7">
        <f t="shared" si="77"/>
        <v>147.56523035457815</v>
      </c>
      <c r="J617" s="7">
        <v>772.49237023090245</v>
      </c>
      <c r="K617" s="7">
        <f t="shared" si="78"/>
        <v>12.320452475771969</v>
      </c>
      <c r="L617" s="7">
        <f t="shared" si="79"/>
        <v>46.37432586143693</v>
      </c>
      <c r="M617" s="7">
        <v>1126.7306466223572</v>
      </c>
      <c r="N617" s="7">
        <f t="shared" si="80"/>
        <v>89.850928757763739</v>
      </c>
      <c r="O617" s="7">
        <f t="shared" si="81"/>
        <v>34.011719875514288</v>
      </c>
    </row>
    <row r="618" spans="3:15" x14ac:dyDescent="0.2">
      <c r="C618">
        <v>599</v>
      </c>
      <c r="D618" s="7">
        <v>3538.3446842797111</v>
      </c>
      <c r="E618" s="7">
        <f t="shared" si="74"/>
        <v>105.8117429509483</v>
      </c>
      <c r="F618" s="7">
        <f t="shared" si="75"/>
        <v>285.73017257857362</v>
      </c>
      <c r="G618" s="7">
        <v>0</v>
      </c>
      <c r="H618" s="7">
        <f t="shared" si="76"/>
        <v>0</v>
      </c>
      <c r="I618" s="7">
        <f t="shared" si="77"/>
        <v>0</v>
      </c>
      <c r="J618" s="7">
        <v>333.02513733931164</v>
      </c>
      <c r="K618" s="7">
        <f t="shared" si="78"/>
        <v>5.3114056991915737</v>
      </c>
      <c r="L618" s="7">
        <f t="shared" si="79"/>
        <v>19.992192588784764</v>
      </c>
      <c r="M618" s="7">
        <v>0</v>
      </c>
      <c r="N618" s="7">
        <f t="shared" si="80"/>
        <v>0</v>
      </c>
      <c r="O618" s="7">
        <f t="shared" si="81"/>
        <v>0</v>
      </c>
    </row>
    <row r="619" spans="3:15" x14ac:dyDescent="0.2">
      <c r="C619">
        <v>600</v>
      </c>
      <c r="D619" s="7">
        <v>3192.8823271084716</v>
      </c>
      <c r="E619" s="7">
        <f t="shared" si="74"/>
        <v>95.480930834583489</v>
      </c>
      <c r="F619" s="7">
        <f t="shared" si="75"/>
        <v>257.83322421950413</v>
      </c>
      <c r="G619" s="7">
        <v>0</v>
      </c>
      <c r="H619" s="7">
        <f t="shared" si="76"/>
        <v>0</v>
      </c>
      <c r="I619" s="7">
        <f t="shared" si="77"/>
        <v>0</v>
      </c>
      <c r="J619" s="7">
        <v>0</v>
      </c>
      <c r="K619" s="7">
        <f t="shared" si="78"/>
        <v>0</v>
      </c>
      <c r="L619" s="7">
        <f t="shared" si="79"/>
        <v>0</v>
      </c>
      <c r="M619" s="7">
        <v>0</v>
      </c>
      <c r="N619" s="7">
        <f t="shared" si="80"/>
        <v>0</v>
      </c>
      <c r="O619" s="7">
        <f t="shared" si="81"/>
        <v>0</v>
      </c>
    </row>
    <row r="620" spans="3:15" x14ac:dyDescent="0.2">
      <c r="C620">
        <v>601</v>
      </c>
      <c r="D620" s="7">
        <v>2713.9499780422011</v>
      </c>
      <c r="E620" s="7">
        <f t="shared" si="74"/>
        <v>81.158791209395972</v>
      </c>
      <c r="F620" s="7">
        <f t="shared" si="75"/>
        <v>219.15824058657853</v>
      </c>
      <c r="G620" s="7">
        <v>0</v>
      </c>
      <c r="H620" s="7">
        <f t="shared" si="76"/>
        <v>0</v>
      </c>
      <c r="I620" s="7">
        <f t="shared" si="77"/>
        <v>0</v>
      </c>
      <c r="J620" s="7">
        <v>0</v>
      </c>
      <c r="K620" s="7">
        <f t="shared" si="78"/>
        <v>0</v>
      </c>
      <c r="L620" s="7">
        <f t="shared" si="79"/>
        <v>0</v>
      </c>
      <c r="M620" s="7">
        <v>0</v>
      </c>
      <c r="N620" s="7">
        <f t="shared" si="80"/>
        <v>0</v>
      </c>
      <c r="O620" s="7">
        <f t="shared" si="81"/>
        <v>0</v>
      </c>
    </row>
    <row r="621" spans="3:15" x14ac:dyDescent="0.2">
      <c r="C621">
        <v>602</v>
      </c>
      <c r="D621" s="7">
        <v>2554.3058616867775</v>
      </c>
      <c r="E621" s="7">
        <f t="shared" si="74"/>
        <v>76.384744667666794</v>
      </c>
      <c r="F621" s="7">
        <f t="shared" si="75"/>
        <v>206.2665793756033</v>
      </c>
      <c r="G621" s="7">
        <v>0</v>
      </c>
      <c r="H621" s="7">
        <f t="shared" si="76"/>
        <v>0</v>
      </c>
      <c r="I621" s="7">
        <f t="shared" si="77"/>
        <v>0</v>
      </c>
      <c r="J621" s="7">
        <v>0</v>
      </c>
      <c r="K621" s="7">
        <f t="shared" si="78"/>
        <v>0</v>
      </c>
      <c r="L621" s="7">
        <f t="shared" si="79"/>
        <v>0</v>
      </c>
      <c r="M621" s="7">
        <v>0</v>
      </c>
      <c r="N621" s="7">
        <f t="shared" si="80"/>
        <v>0</v>
      </c>
      <c r="O621" s="7">
        <f t="shared" si="81"/>
        <v>0</v>
      </c>
    </row>
    <row r="622" spans="3:15" x14ac:dyDescent="0.2">
      <c r="C622">
        <v>603</v>
      </c>
      <c r="D622" s="7">
        <v>2713.9499780422011</v>
      </c>
      <c r="E622" s="7">
        <f t="shared" si="74"/>
        <v>81.158791209395972</v>
      </c>
      <c r="F622" s="7">
        <f t="shared" si="75"/>
        <v>219.15824058657853</v>
      </c>
      <c r="G622" s="7">
        <v>0</v>
      </c>
      <c r="H622" s="7">
        <f t="shared" si="76"/>
        <v>0</v>
      </c>
      <c r="I622" s="7">
        <f t="shared" si="77"/>
        <v>0</v>
      </c>
      <c r="J622" s="7">
        <v>0</v>
      </c>
      <c r="K622" s="7">
        <f t="shared" si="78"/>
        <v>0</v>
      </c>
      <c r="L622" s="7">
        <f t="shared" si="79"/>
        <v>0</v>
      </c>
      <c r="M622" s="7">
        <v>0</v>
      </c>
      <c r="N622" s="7">
        <f t="shared" si="80"/>
        <v>0</v>
      </c>
      <c r="O622" s="7">
        <f t="shared" si="81"/>
        <v>0</v>
      </c>
    </row>
    <row r="623" spans="3:15" x14ac:dyDescent="0.2">
      <c r="C623">
        <v>604</v>
      </c>
      <c r="D623" s="7">
        <v>2873.5940943976243</v>
      </c>
      <c r="E623" s="7">
        <f t="shared" si="74"/>
        <v>85.932837751125135</v>
      </c>
      <c r="F623" s="7">
        <f t="shared" si="75"/>
        <v>232.0499017975537</v>
      </c>
      <c r="G623" s="7">
        <v>0</v>
      </c>
      <c r="H623" s="7">
        <f t="shared" si="76"/>
        <v>0</v>
      </c>
      <c r="I623" s="7">
        <f t="shared" si="77"/>
        <v>0</v>
      </c>
      <c r="J623" s="7">
        <v>0</v>
      </c>
      <c r="K623" s="7">
        <f t="shared" si="78"/>
        <v>0</v>
      </c>
      <c r="L623" s="7">
        <f t="shared" si="79"/>
        <v>0</v>
      </c>
      <c r="M623" s="7">
        <v>0</v>
      </c>
      <c r="N623" s="7">
        <f t="shared" si="80"/>
        <v>0</v>
      </c>
      <c r="O623" s="7">
        <f t="shared" si="81"/>
        <v>0</v>
      </c>
    </row>
    <row r="624" spans="3:15" x14ac:dyDescent="0.2">
      <c r="C624">
        <v>605</v>
      </c>
      <c r="D624" s="7">
        <v>3163.8561241347584</v>
      </c>
      <c r="E624" s="7">
        <f t="shared" si="74"/>
        <v>94.61292237245091</v>
      </c>
      <c r="F624" s="7">
        <f t="shared" si="75"/>
        <v>255.48928581750863</v>
      </c>
      <c r="G624" s="7">
        <v>0</v>
      </c>
      <c r="H624" s="7">
        <f t="shared" si="76"/>
        <v>0</v>
      </c>
      <c r="I624" s="7">
        <f t="shared" si="77"/>
        <v>0</v>
      </c>
      <c r="J624" s="7">
        <v>0</v>
      </c>
      <c r="K624" s="7">
        <f t="shared" si="78"/>
        <v>0</v>
      </c>
      <c r="L624" s="7">
        <f t="shared" si="79"/>
        <v>0</v>
      </c>
      <c r="M624" s="7">
        <v>0</v>
      </c>
      <c r="N624" s="7">
        <f t="shared" si="80"/>
        <v>0</v>
      </c>
      <c r="O624" s="7">
        <f t="shared" si="81"/>
        <v>0</v>
      </c>
    </row>
    <row r="625" spans="3:15" x14ac:dyDescent="0.2">
      <c r="C625">
        <v>606</v>
      </c>
      <c r="D625" s="7">
        <v>3367.0395449507519</v>
      </c>
      <c r="E625" s="7">
        <f t="shared" si="74"/>
        <v>100.68898160737895</v>
      </c>
      <c r="F625" s="7">
        <f t="shared" si="75"/>
        <v>271.89685463147708</v>
      </c>
      <c r="G625" s="7">
        <v>0</v>
      </c>
      <c r="H625" s="7">
        <f t="shared" si="76"/>
        <v>0</v>
      </c>
      <c r="I625" s="7">
        <f t="shared" si="77"/>
        <v>0</v>
      </c>
      <c r="J625" s="7">
        <v>0</v>
      </c>
      <c r="K625" s="7">
        <f t="shared" si="78"/>
        <v>0</v>
      </c>
      <c r="L625" s="7">
        <f t="shared" si="79"/>
        <v>0</v>
      </c>
      <c r="M625" s="7">
        <v>0</v>
      </c>
      <c r="N625" s="7">
        <f t="shared" si="80"/>
        <v>0</v>
      </c>
      <c r="O625" s="7">
        <f t="shared" si="81"/>
        <v>0</v>
      </c>
    </row>
    <row r="626" spans="3:15" x14ac:dyDescent="0.2">
      <c r="C626">
        <v>607</v>
      </c>
      <c r="D626" s="7">
        <v>3535.4216089178767</v>
      </c>
      <c r="E626" s="7">
        <f t="shared" si="74"/>
        <v>105.72433041022359</v>
      </c>
      <c r="F626" s="7">
        <f t="shared" si="75"/>
        <v>285.49412694081877</v>
      </c>
      <c r="G626" s="7">
        <v>2869.2900364963061</v>
      </c>
      <c r="H626" s="7">
        <f t="shared" si="76"/>
        <v>68.643302308524071</v>
      </c>
      <c r="I626" s="7">
        <f t="shared" si="77"/>
        <v>149.16887851000638</v>
      </c>
      <c r="J626" s="7">
        <v>34.801356848868636</v>
      </c>
      <c r="K626" s="7">
        <f t="shared" si="78"/>
        <v>0.55504556377780923</v>
      </c>
      <c r="L626" s="7">
        <f t="shared" si="79"/>
        <v>2.0891979327215662</v>
      </c>
      <c r="M626" s="7">
        <v>1095.8841877605823</v>
      </c>
      <c r="N626" s="7">
        <f t="shared" si="80"/>
        <v>87.391083553475468</v>
      </c>
      <c r="O626" s="7">
        <f t="shared" si="81"/>
        <v>33.080582410581286</v>
      </c>
    </row>
    <row r="627" spans="3:15" x14ac:dyDescent="0.2">
      <c r="C627">
        <v>608</v>
      </c>
      <c r="D627" s="7">
        <v>3540.1005222986496</v>
      </c>
      <c r="E627" s="7">
        <f t="shared" si="74"/>
        <v>105.86425006873952</v>
      </c>
      <c r="F627" s="7">
        <f t="shared" si="75"/>
        <v>285.87196088495318</v>
      </c>
      <c r="G627" s="7">
        <v>2873.7632286348385</v>
      </c>
      <c r="H627" s="7">
        <f t="shared" si="76"/>
        <v>68.750316474517675</v>
      </c>
      <c r="I627" s="7">
        <f t="shared" si="77"/>
        <v>149.40143117849837</v>
      </c>
      <c r="J627" s="7">
        <v>233.30586428408969</v>
      </c>
      <c r="K627" s="7">
        <f t="shared" si="78"/>
        <v>3.7209866711976032</v>
      </c>
      <c r="L627" s="7">
        <f t="shared" si="79"/>
        <v>14.005836941095708</v>
      </c>
      <c r="M627" s="7">
        <v>1091.41099562205</v>
      </c>
      <c r="N627" s="7">
        <f t="shared" si="80"/>
        <v>87.034369666830145</v>
      </c>
      <c r="O627" s="7">
        <f t="shared" si="81"/>
        <v>32.945553725224066</v>
      </c>
    </row>
    <row r="628" spans="3:15" x14ac:dyDescent="0.2">
      <c r="C628">
        <v>609</v>
      </c>
      <c r="D628" s="7">
        <v>3544.7738477010466</v>
      </c>
      <c r="E628" s="7">
        <f t="shared" si="74"/>
        <v>106.00400262263896</v>
      </c>
      <c r="F628" s="7">
        <f t="shared" si="75"/>
        <v>286.24934358587416</v>
      </c>
      <c r="G628" s="7">
        <v>2877.9378163435422</v>
      </c>
      <c r="H628" s="7">
        <f t="shared" si="76"/>
        <v>68.850186993864654</v>
      </c>
      <c r="I628" s="7">
        <f t="shared" si="77"/>
        <v>149.61845997615501</v>
      </c>
      <c r="J628" s="7">
        <v>431.81595969768659</v>
      </c>
      <c r="K628" s="7">
        <f t="shared" si="78"/>
        <v>6.8870169010795319</v>
      </c>
      <c r="L628" s="7">
        <f t="shared" si="79"/>
        <v>25.922811407449881</v>
      </c>
      <c r="M628" s="7">
        <v>1087.2364079133463</v>
      </c>
      <c r="N628" s="7">
        <f t="shared" si="80"/>
        <v>86.701467935673548</v>
      </c>
      <c r="O628" s="7">
        <f t="shared" si="81"/>
        <v>32.819538773762652</v>
      </c>
    </row>
    <row r="629" spans="3:15" x14ac:dyDescent="0.2">
      <c r="C629">
        <v>610</v>
      </c>
      <c r="D629" s="7">
        <v>3549.4409109515059</v>
      </c>
      <c r="E629" s="7">
        <f t="shared" si="74"/>
        <v>106.14356791122925</v>
      </c>
      <c r="F629" s="7">
        <f t="shared" si="75"/>
        <v>286.62622060238232</v>
      </c>
      <c r="G629" s="7">
        <v>2881.8138594607722</v>
      </c>
      <c r="H629" s="7">
        <f t="shared" si="76"/>
        <v>68.942915298104609</v>
      </c>
      <c r="I629" s="7">
        <f t="shared" si="77"/>
        <v>149.8199680138575</v>
      </c>
      <c r="J629" s="7">
        <v>630.33231726322038</v>
      </c>
      <c r="K629" s="7">
        <f t="shared" si="78"/>
        <v>10.053147005792988</v>
      </c>
      <c r="L629" s="7">
        <f t="shared" si="79"/>
        <v>37.840161803827058</v>
      </c>
      <c r="M629" s="7">
        <v>1083.3603647961163</v>
      </c>
      <c r="N629" s="7">
        <f t="shared" si="80"/>
        <v>86.39237358820705</v>
      </c>
      <c r="O629" s="7">
        <f t="shared" si="81"/>
        <v>32.702535749904349</v>
      </c>
    </row>
    <row r="630" spans="3:15" x14ac:dyDescent="0.2">
      <c r="C630">
        <v>611</v>
      </c>
      <c r="D630" s="7">
        <v>3554.1010411709717</v>
      </c>
      <c r="E630" s="7">
        <f t="shared" si="74"/>
        <v>106.28292587233767</v>
      </c>
      <c r="F630" s="7">
        <f t="shared" si="75"/>
        <v>287.00253775931793</v>
      </c>
      <c r="G630" s="7">
        <v>2885.3914441711859</v>
      </c>
      <c r="H630" s="7">
        <f t="shared" si="76"/>
        <v>69.028503449071437</v>
      </c>
      <c r="I630" s="7">
        <f t="shared" si="77"/>
        <v>150.0059597721806</v>
      </c>
      <c r="J630" s="7">
        <v>828.85560785974803</v>
      </c>
      <c r="K630" s="7">
        <f t="shared" si="78"/>
        <v>13.219387685163447</v>
      </c>
      <c r="L630" s="7">
        <f t="shared" si="79"/>
        <v>49.757928404494294</v>
      </c>
      <c r="M630" s="7">
        <v>1079.7827800857024</v>
      </c>
      <c r="N630" s="7">
        <f t="shared" si="80"/>
        <v>86.107079751650915</v>
      </c>
      <c r="O630" s="7">
        <f t="shared" si="81"/>
        <v>32.594542052061584</v>
      </c>
    </row>
    <row r="631" spans="3:15" x14ac:dyDescent="0.2">
      <c r="C631">
        <v>612</v>
      </c>
      <c r="D631" s="7">
        <v>3558.7535708231239</v>
      </c>
      <c r="E631" s="7">
        <f t="shared" si="74"/>
        <v>106.42205654375371</v>
      </c>
      <c r="F631" s="7">
        <f t="shared" si="75"/>
        <v>287.37824115145571</v>
      </c>
      <c r="G631" s="7">
        <v>2888.6706829626064</v>
      </c>
      <c r="H631" s="7">
        <f t="shared" si="76"/>
        <v>69.106954137861408</v>
      </c>
      <c r="I631" s="7">
        <f t="shared" si="77"/>
        <v>150.17644109915028</v>
      </c>
      <c r="J631" s="7">
        <v>1027.3864990235902</v>
      </c>
      <c r="K631" s="7">
        <f t="shared" si="78"/>
        <v>16.385749585703195</v>
      </c>
      <c r="L631" s="7">
        <f t="shared" si="79"/>
        <v>61.676151283047176</v>
      </c>
      <c r="M631" s="7">
        <v>1076.5035412942818</v>
      </c>
      <c r="N631" s="7">
        <f t="shared" si="80"/>
        <v>85.845577455684364</v>
      </c>
      <c r="O631" s="7">
        <f t="shared" si="81"/>
        <v>32.495554284654119</v>
      </c>
    </row>
    <row r="632" spans="3:15" x14ac:dyDescent="0.2">
      <c r="C632">
        <v>613</v>
      </c>
      <c r="D632" s="7">
        <v>3563.3978357622682</v>
      </c>
      <c r="E632" s="7">
        <f t="shared" si="74"/>
        <v>106.56094006466114</v>
      </c>
      <c r="F632" s="7">
        <f t="shared" si="75"/>
        <v>287.75327714737153</v>
      </c>
      <c r="G632" s="7">
        <v>2891.6517145806051</v>
      </c>
      <c r="H632" s="7">
        <f t="shared" si="76"/>
        <v>69.178270683746533</v>
      </c>
      <c r="I632" s="7">
        <f t="shared" si="77"/>
        <v>150.33141920788225</v>
      </c>
      <c r="J632" s="7">
        <v>1225.9256549004403</v>
      </c>
      <c r="K632" s="7">
        <f t="shared" si="78"/>
        <v>19.552243299847536</v>
      </c>
      <c r="L632" s="7">
        <f t="shared" si="79"/>
        <v>73.594870309534926</v>
      </c>
      <c r="M632" s="7">
        <v>1073.5225096762833</v>
      </c>
      <c r="N632" s="7">
        <f t="shared" si="80"/>
        <v>85.607855636067256</v>
      </c>
      <c r="O632" s="7">
        <f t="shared" si="81"/>
        <v>32.405568259479992</v>
      </c>
    </row>
    <row r="633" spans="3:15" x14ac:dyDescent="0.2">
      <c r="C633">
        <v>614</v>
      </c>
      <c r="D633" s="7">
        <v>3568.0333240973177</v>
      </c>
      <c r="E633" s="7">
        <f t="shared" si="74"/>
        <v>106.69956112731214</v>
      </c>
      <c r="F633" s="7">
        <f t="shared" si="75"/>
        <v>288.1276044105814</v>
      </c>
      <c r="G633" s="7">
        <v>2894.5333284338958</v>
      </c>
      <c r="H633" s="7">
        <f t="shared" si="76"/>
        <v>69.247208814208037</v>
      </c>
      <c r="I633" s="7">
        <f t="shared" si="77"/>
        <v>150.48122877795942</v>
      </c>
      <c r="J633" s="7">
        <v>1130.0649572194334</v>
      </c>
      <c r="K633" s="7">
        <f t="shared" si="78"/>
        <v>18.02336454895428</v>
      </c>
      <c r="L633" s="7">
        <f t="shared" si="79"/>
        <v>67.84015297784795</v>
      </c>
      <c r="M633" s="7">
        <v>1070.6408958229927</v>
      </c>
      <c r="N633" s="7">
        <f t="shared" si="80"/>
        <v>85.378061867862257</v>
      </c>
      <c r="O633" s="7">
        <f t="shared" si="81"/>
        <v>32.318583279119935</v>
      </c>
    </row>
    <row r="634" spans="3:15" x14ac:dyDescent="0.2">
      <c r="C634">
        <v>615</v>
      </c>
      <c r="D634" s="7">
        <v>3572.6601208572083</v>
      </c>
      <c r="E634" s="7">
        <f t="shared" si="74"/>
        <v>106.83792227443806</v>
      </c>
      <c r="F634" s="7">
        <f t="shared" si="75"/>
        <v>288.50122980738433</v>
      </c>
      <c r="G634" s="7">
        <v>2897.5139231828516</v>
      </c>
      <c r="H634" s="7">
        <f t="shared" si="76"/>
        <v>69.318514908680669</v>
      </c>
      <c r="I634" s="7">
        <f t="shared" si="77"/>
        <v>150.63618417470892</v>
      </c>
      <c r="J634" s="7">
        <v>1034.2129511135872</v>
      </c>
      <c r="K634" s="7">
        <f t="shared" si="78"/>
        <v>16.494624419674437</v>
      </c>
      <c r="L634" s="7">
        <f t="shared" si="79"/>
        <v>62.085957419519922</v>
      </c>
      <c r="M634" s="7">
        <v>1067.6603010740366</v>
      </c>
      <c r="N634" s="7">
        <f t="shared" si="80"/>
        <v>85.140374886286821</v>
      </c>
      <c r="O634" s="7">
        <f t="shared" si="81"/>
        <v>32.228610441363351</v>
      </c>
    </row>
    <row r="635" spans="3:15" x14ac:dyDescent="0.2">
      <c r="C635">
        <v>616</v>
      </c>
      <c r="D635" s="7">
        <v>3577.2784583582188</v>
      </c>
      <c r="E635" s="7">
        <f t="shared" si="74"/>
        <v>106.97603045329602</v>
      </c>
      <c r="F635" s="7">
        <f t="shared" si="75"/>
        <v>288.87417209790021</v>
      </c>
      <c r="G635" s="7">
        <v>2900.593065040885</v>
      </c>
      <c r="H635" s="7">
        <f t="shared" si="76"/>
        <v>69.392178589494861</v>
      </c>
      <c r="I635" s="7">
        <f t="shared" si="77"/>
        <v>150.79626284639903</v>
      </c>
      <c r="J635" s="7">
        <v>938.36940426662022</v>
      </c>
      <c r="K635" s="7">
        <f t="shared" si="78"/>
        <v>14.966019206804152</v>
      </c>
      <c r="L635" s="7">
        <f t="shared" si="79"/>
        <v>56.33226968812059</v>
      </c>
      <c r="M635" s="7">
        <v>1064.5811592160035</v>
      </c>
      <c r="N635" s="7">
        <f t="shared" si="80"/>
        <v>84.894829283572847</v>
      </c>
      <c r="O635" s="7">
        <f t="shared" si="81"/>
        <v>32.135662840580203</v>
      </c>
    </row>
    <row r="636" spans="3:15" x14ac:dyDescent="0.2">
      <c r="C636">
        <v>617</v>
      </c>
      <c r="D636" s="7">
        <v>3581.8885669221036</v>
      </c>
      <c r="E636" s="7">
        <f t="shared" si="74"/>
        <v>107.11389255149832</v>
      </c>
      <c r="F636" s="7">
        <f t="shared" si="75"/>
        <v>289.24644988118598</v>
      </c>
      <c r="G636" s="7">
        <v>2903.770312161495</v>
      </c>
      <c r="H636" s="7">
        <f t="shared" si="76"/>
        <v>69.468189286160168</v>
      </c>
      <c r="I636" s="7">
        <f t="shared" si="77"/>
        <v>150.9614418222788</v>
      </c>
      <c r="J636" s="7">
        <v>842.53408635677897</v>
      </c>
      <c r="K636" s="7">
        <f t="shared" si="78"/>
        <v>13.437545236950223</v>
      </c>
      <c r="L636" s="7">
        <f t="shared" si="79"/>
        <v>50.579075956955371</v>
      </c>
      <c r="M636" s="7">
        <v>1061.4039120953937</v>
      </c>
      <c r="N636" s="7">
        <f t="shared" si="80"/>
        <v>84.6414602946885</v>
      </c>
      <c r="O636" s="7">
        <f t="shared" si="81"/>
        <v>32.039753814438583</v>
      </c>
    </row>
    <row r="637" spans="3:15" x14ac:dyDescent="0.2">
      <c r="C637">
        <v>618</v>
      </c>
      <c r="D637" s="7">
        <v>3586.490674865754</v>
      </c>
      <c r="E637" s="7">
        <f t="shared" si="74"/>
        <v>107.25151539670318</v>
      </c>
      <c r="F637" s="7">
        <f t="shared" si="75"/>
        <v>289.61808159440113</v>
      </c>
      <c r="G637" s="7">
        <v>2907.0452146881903</v>
      </c>
      <c r="H637" s="7">
        <f t="shared" si="76"/>
        <v>69.546536236559575</v>
      </c>
      <c r="I637" s="7">
        <f t="shared" si="77"/>
        <v>151.13169771517323</v>
      </c>
      <c r="J637" s="7">
        <v>746.70676906717199</v>
      </c>
      <c r="K637" s="7">
        <f t="shared" si="78"/>
        <v>11.909198868694929</v>
      </c>
      <c r="L637" s="7">
        <f t="shared" si="79"/>
        <v>44.826362519685794</v>
      </c>
      <c r="M637" s="7">
        <v>1058.1290095686982</v>
      </c>
      <c r="N637" s="7">
        <f t="shared" si="80"/>
        <v>84.380303793357115</v>
      </c>
      <c r="O637" s="7">
        <f t="shared" si="81"/>
        <v>31.940896942397799</v>
      </c>
    </row>
    <row r="638" spans="3:15" x14ac:dyDescent="0.2">
      <c r="C638">
        <v>619</v>
      </c>
      <c r="D638" s="7">
        <v>3591.085008491033</v>
      </c>
      <c r="E638" s="7">
        <f t="shared" si="74"/>
        <v>107.38890575631081</v>
      </c>
      <c r="F638" s="7">
        <f t="shared" si="75"/>
        <v>289.98908551198627</v>
      </c>
      <c r="G638" s="7">
        <v>2910.4173148050572</v>
      </c>
      <c r="H638" s="7">
        <f t="shared" si="76"/>
        <v>69.627208488159269</v>
      </c>
      <c r="I638" s="7">
        <f t="shared" si="77"/>
        <v>151.30700672411217</v>
      </c>
      <c r="J638" s="7">
        <v>650.88722609593651</v>
      </c>
      <c r="K638" s="7">
        <f t="shared" si="78"/>
        <v>10.380976492758158</v>
      </c>
      <c r="L638" s="7">
        <f t="shared" si="79"/>
        <v>39.074115790939686</v>
      </c>
      <c r="M638" s="7">
        <v>1054.7569094518312</v>
      </c>
      <c r="N638" s="7">
        <f t="shared" si="80"/>
        <v>84.111396288024821</v>
      </c>
      <c r="O638" s="7">
        <f t="shared" si="81"/>
        <v>31.839106044181904</v>
      </c>
    </row>
    <row r="639" spans="3:15" x14ac:dyDescent="0.2">
      <c r="C639">
        <v>620</v>
      </c>
      <c r="D639" s="7">
        <v>3595.6717920747533</v>
      </c>
      <c r="E639" s="7">
        <f t="shared" si="74"/>
        <v>107.52607033716369</v>
      </c>
      <c r="F639" s="7">
        <f t="shared" si="75"/>
        <v>290.35947974485447</v>
      </c>
      <c r="G639" s="7">
        <v>2913.8861467879642</v>
      </c>
      <c r="H639" s="7">
        <f t="shared" si="76"/>
        <v>69.710194899233599</v>
      </c>
      <c r="I639" s="7">
        <f t="shared" si="77"/>
        <v>151.48734463699245</v>
      </c>
      <c r="J639" s="7">
        <v>555.07523316625975</v>
      </c>
      <c r="K639" s="7">
        <f t="shared" si="78"/>
        <v>8.8528745321572533</v>
      </c>
      <c r="L639" s="7">
        <f t="shared" si="79"/>
        <v>33.322322306912895</v>
      </c>
      <c r="M639" s="7">
        <v>1051.2880774689245</v>
      </c>
      <c r="N639" s="7">
        <f t="shared" si="80"/>
        <v>83.834774917777082</v>
      </c>
      <c r="O639" s="7">
        <f t="shared" si="81"/>
        <v>31.734395178234017</v>
      </c>
    </row>
    <row r="640" spans="3:15" x14ac:dyDescent="0.2">
      <c r="C640">
        <v>621</v>
      </c>
      <c r="D640" s="7">
        <v>3600.2510403542469</v>
      </c>
      <c r="E640" s="7">
        <f t="shared" si="74"/>
        <v>107.6630095799715</v>
      </c>
      <c r="F640" s="7">
        <f t="shared" si="75"/>
        <v>290.72926548308203</v>
      </c>
      <c r="G640" s="7">
        <v>2917.1742818330831</v>
      </c>
      <c r="H640" s="7">
        <f t="shared" si="76"/>
        <v>69.788858417059416</v>
      </c>
      <c r="I640" s="7">
        <f t="shared" si="77"/>
        <v>151.65828846310657</v>
      </c>
      <c r="J640" s="7">
        <v>869.78421759761341</v>
      </c>
      <c r="K640" s="7">
        <f t="shared" si="78"/>
        <v>13.872156580504202</v>
      </c>
      <c r="L640" s="7">
        <f t="shared" si="79"/>
        <v>52.2149580894244</v>
      </c>
      <c r="M640" s="7">
        <v>1047.9999424238056</v>
      </c>
      <c r="N640" s="7">
        <f t="shared" si="80"/>
        <v>83.572563191691046</v>
      </c>
      <c r="O640" s="7">
        <f t="shared" si="81"/>
        <v>31.635138866707656</v>
      </c>
    </row>
    <row r="641" spans="3:15" x14ac:dyDescent="0.2">
      <c r="C641">
        <v>622</v>
      </c>
      <c r="D641" s="7">
        <v>3604.8223420382851</v>
      </c>
      <c r="E641" s="7">
        <f t="shared" si="74"/>
        <v>107.79971118535542</v>
      </c>
      <c r="F641" s="7">
        <f t="shared" si="75"/>
        <v>291.09840951387469</v>
      </c>
      <c r="G641" s="7">
        <v>2920.5433887010718</v>
      </c>
      <c r="H641" s="7">
        <f t="shared" si="76"/>
        <v>69.869459059834256</v>
      </c>
      <c r="I641" s="7">
        <f t="shared" si="77"/>
        <v>151.83344185878485</v>
      </c>
      <c r="J641" s="7">
        <v>386.28056684730382</v>
      </c>
      <c r="K641" s="7">
        <f t="shared" si="78"/>
        <v>6.1607745908660903</v>
      </c>
      <c r="L641" s="7">
        <f t="shared" si="79"/>
        <v>23.189226937688705</v>
      </c>
      <c r="M641" s="7">
        <v>1044.6308355558167</v>
      </c>
      <c r="N641" s="7">
        <f t="shared" si="80"/>
        <v>83.303894382441527</v>
      </c>
      <c r="O641" s="7">
        <f t="shared" si="81"/>
        <v>31.533438323309621</v>
      </c>
    </row>
    <row r="642" spans="3:15" x14ac:dyDescent="0.2">
      <c r="C642">
        <v>623</v>
      </c>
      <c r="D642" s="7">
        <v>3512.1705598193189</v>
      </c>
      <c r="E642" s="7">
        <f t="shared" si="74"/>
        <v>105.02902391804184</v>
      </c>
      <c r="F642" s="7">
        <f t="shared" si="75"/>
        <v>283.61654664145453</v>
      </c>
      <c r="G642" s="7">
        <v>0</v>
      </c>
      <c r="H642" s="7">
        <f t="shared" si="76"/>
        <v>0</v>
      </c>
      <c r="I642" s="7">
        <f t="shared" si="77"/>
        <v>0</v>
      </c>
      <c r="J642" s="7">
        <v>0</v>
      </c>
      <c r="K642" s="7">
        <f t="shared" si="78"/>
        <v>0</v>
      </c>
      <c r="L642" s="7">
        <f t="shared" si="79"/>
        <v>0</v>
      </c>
      <c r="M642" s="7">
        <v>0</v>
      </c>
      <c r="N642" s="7">
        <f t="shared" si="80"/>
        <v>0</v>
      </c>
      <c r="O642" s="7">
        <f t="shared" si="81"/>
        <v>0</v>
      </c>
    </row>
    <row r="643" spans="3:15" x14ac:dyDescent="0.2">
      <c r="C643">
        <v>624</v>
      </c>
      <c r="D643" s="7">
        <v>3033.238210753048</v>
      </c>
      <c r="E643" s="7">
        <f t="shared" si="74"/>
        <v>90.706884292854312</v>
      </c>
      <c r="F643" s="7">
        <f t="shared" si="75"/>
        <v>244.9415630085289</v>
      </c>
      <c r="G643" s="7">
        <v>0</v>
      </c>
      <c r="H643" s="7">
        <f t="shared" si="76"/>
        <v>0</v>
      </c>
      <c r="I643" s="7">
        <f t="shared" si="77"/>
        <v>0</v>
      </c>
      <c r="J643" s="7">
        <v>0</v>
      </c>
      <c r="K643" s="7">
        <f t="shared" si="78"/>
        <v>0</v>
      </c>
      <c r="L643" s="7">
        <f t="shared" si="79"/>
        <v>0</v>
      </c>
      <c r="M643" s="7">
        <v>0</v>
      </c>
      <c r="N643" s="7">
        <f t="shared" si="80"/>
        <v>0</v>
      </c>
      <c r="O643" s="7">
        <f t="shared" si="81"/>
        <v>0</v>
      </c>
    </row>
    <row r="644" spans="3:15" x14ac:dyDescent="0.2">
      <c r="C644">
        <v>625</v>
      </c>
      <c r="D644" s="7">
        <v>2554.3058616867775</v>
      </c>
      <c r="E644" s="7">
        <f t="shared" si="74"/>
        <v>76.384744667666794</v>
      </c>
      <c r="F644" s="7">
        <f t="shared" si="75"/>
        <v>206.2665793756033</v>
      </c>
      <c r="G644" s="7">
        <v>0</v>
      </c>
      <c r="H644" s="7">
        <f t="shared" si="76"/>
        <v>0</v>
      </c>
      <c r="I644" s="7">
        <f t="shared" si="77"/>
        <v>0</v>
      </c>
      <c r="J644" s="7">
        <v>0</v>
      </c>
      <c r="K644" s="7">
        <f t="shared" si="78"/>
        <v>0</v>
      </c>
      <c r="L644" s="7">
        <f t="shared" si="79"/>
        <v>0</v>
      </c>
      <c r="M644" s="7">
        <v>0</v>
      </c>
      <c r="N644" s="7">
        <f t="shared" si="80"/>
        <v>0</v>
      </c>
      <c r="O644" s="7">
        <f t="shared" si="81"/>
        <v>0</v>
      </c>
    </row>
    <row r="645" spans="3:15" x14ac:dyDescent="0.2">
      <c r="C645">
        <v>626</v>
      </c>
      <c r="D645" s="7">
        <v>2554.3058616867775</v>
      </c>
      <c r="E645" s="7">
        <f t="shared" si="74"/>
        <v>76.384744667666794</v>
      </c>
      <c r="F645" s="7">
        <f t="shared" si="75"/>
        <v>206.2665793756033</v>
      </c>
      <c r="G645" s="7">
        <v>0</v>
      </c>
      <c r="H645" s="7">
        <f t="shared" si="76"/>
        <v>0</v>
      </c>
      <c r="I645" s="7">
        <f t="shared" si="77"/>
        <v>0</v>
      </c>
      <c r="J645" s="7">
        <v>0</v>
      </c>
      <c r="K645" s="7">
        <f t="shared" si="78"/>
        <v>0</v>
      </c>
      <c r="L645" s="7">
        <f t="shared" si="79"/>
        <v>0</v>
      </c>
      <c r="M645" s="7">
        <v>0</v>
      </c>
      <c r="N645" s="7">
        <f t="shared" si="80"/>
        <v>0</v>
      </c>
      <c r="O645" s="7">
        <f t="shared" si="81"/>
        <v>0</v>
      </c>
    </row>
    <row r="646" spans="3:15" x14ac:dyDescent="0.2">
      <c r="C646">
        <v>627</v>
      </c>
      <c r="D646" s="7">
        <v>2736.7562803786905</v>
      </c>
      <c r="E646" s="7">
        <f t="shared" si="74"/>
        <v>81.84079785821443</v>
      </c>
      <c r="F646" s="7">
        <f t="shared" si="75"/>
        <v>220.9999064738607</v>
      </c>
      <c r="G646" s="7">
        <v>0</v>
      </c>
      <c r="H646" s="7">
        <f t="shared" si="76"/>
        <v>0</v>
      </c>
      <c r="I646" s="7">
        <f t="shared" si="77"/>
        <v>0</v>
      </c>
      <c r="J646" s="7">
        <v>0</v>
      </c>
      <c r="K646" s="7">
        <f t="shared" si="78"/>
        <v>0</v>
      </c>
      <c r="L646" s="7">
        <f t="shared" si="79"/>
        <v>0</v>
      </c>
      <c r="M646" s="7">
        <v>0</v>
      </c>
      <c r="N646" s="7">
        <f t="shared" si="80"/>
        <v>0</v>
      </c>
      <c r="O646" s="7">
        <f t="shared" si="81"/>
        <v>0</v>
      </c>
    </row>
    <row r="647" spans="3:15" x14ac:dyDescent="0.2">
      <c r="C647">
        <v>628</v>
      </c>
      <c r="D647" s="7">
        <v>2919.2066990706026</v>
      </c>
      <c r="E647" s="7">
        <f t="shared" si="74"/>
        <v>87.296851048762051</v>
      </c>
      <c r="F647" s="7">
        <f t="shared" si="75"/>
        <v>235.73323357211805</v>
      </c>
      <c r="G647" s="7">
        <v>0</v>
      </c>
      <c r="H647" s="7">
        <f t="shared" si="76"/>
        <v>0</v>
      </c>
      <c r="I647" s="7">
        <f t="shared" si="77"/>
        <v>0</v>
      </c>
      <c r="J647" s="7">
        <v>0</v>
      </c>
      <c r="K647" s="7">
        <f t="shared" si="78"/>
        <v>0</v>
      </c>
      <c r="L647" s="7">
        <f t="shared" si="79"/>
        <v>0</v>
      </c>
      <c r="M647" s="7">
        <v>0</v>
      </c>
      <c r="N647" s="7">
        <f t="shared" si="80"/>
        <v>0</v>
      </c>
      <c r="O647" s="7">
        <f t="shared" si="81"/>
        <v>0</v>
      </c>
    </row>
    <row r="648" spans="3:15" x14ac:dyDescent="0.2">
      <c r="C648">
        <v>629</v>
      </c>
      <c r="D648" s="7">
        <v>3101.6571177625156</v>
      </c>
      <c r="E648" s="7">
        <f t="shared" si="74"/>
        <v>92.752904239309686</v>
      </c>
      <c r="F648" s="7">
        <f t="shared" si="75"/>
        <v>250.46656067037546</v>
      </c>
      <c r="G648" s="7">
        <v>0</v>
      </c>
      <c r="H648" s="7">
        <f t="shared" si="76"/>
        <v>0</v>
      </c>
      <c r="I648" s="7">
        <f t="shared" si="77"/>
        <v>0</v>
      </c>
      <c r="J648" s="7">
        <v>0</v>
      </c>
      <c r="K648" s="7">
        <f t="shared" si="78"/>
        <v>0</v>
      </c>
      <c r="L648" s="7">
        <f t="shared" si="79"/>
        <v>0</v>
      </c>
      <c r="M648" s="7">
        <v>0</v>
      </c>
      <c r="N648" s="7">
        <f t="shared" si="80"/>
        <v>0</v>
      </c>
      <c r="O648" s="7">
        <f t="shared" si="81"/>
        <v>0</v>
      </c>
    </row>
    <row r="649" spans="3:15" x14ac:dyDescent="0.2">
      <c r="C649">
        <v>630</v>
      </c>
      <c r="D649" s="7">
        <v>3284.1075364544286</v>
      </c>
      <c r="E649" s="7">
        <f t="shared" si="74"/>
        <v>98.208957429857321</v>
      </c>
      <c r="F649" s="7">
        <f t="shared" si="75"/>
        <v>265.19988776863283</v>
      </c>
      <c r="G649" s="7">
        <v>0</v>
      </c>
      <c r="H649" s="7">
        <f t="shared" si="76"/>
        <v>0</v>
      </c>
      <c r="I649" s="7">
        <f t="shared" si="77"/>
        <v>0</v>
      </c>
      <c r="J649" s="7">
        <v>0</v>
      </c>
      <c r="K649" s="7">
        <f t="shared" si="78"/>
        <v>0</v>
      </c>
      <c r="L649" s="7">
        <f t="shared" si="79"/>
        <v>0</v>
      </c>
      <c r="M649" s="7">
        <v>0</v>
      </c>
      <c r="N649" s="7">
        <f t="shared" si="80"/>
        <v>0</v>
      </c>
      <c r="O649" s="7">
        <f t="shared" si="81"/>
        <v>0</v>
      </c>
    </row>
    <row r="650" spans="3:15" x14ac:dyDescent="0.2">
      <c r="C650">
        <v>631</v>
      </c>
      <c r="D650" s="7">
        <v>3466.5579551463411</v>
      </c>
      <c r="E650" s="7">
        <f t="shared" si="74"/>
        <v>103.66501062040494</v>
      </c>
      <c r="F650" s="7">
        <f t="shared" si="75"/>
        <v>279.93321486689024</v>
      </c>
      <c r="G650" s="7">
        <v>2946.6637985573188</v>
      </c>
      <c r="H650" s="7">
        <f t="shared" si="76"/>
        <v>70.49434924778275</v>
      </c>
      <c r="I650" s="7">
        <f t="shared" si="77"/>
        <v>153.19139180281906</v>
      </c>
      <c r="J650" s="7">
        <v>0</v>
      </c>
      <c r="K650" s="7">
        <f t="shared" si="78"/>
        <v>0</v>
      </c>
      <c r="L650" s="7">
        <f t="shared" si="79"/>
        <v>0</v>
      </c>
      <c r="M650" s="7">
        <v>1018.5104256995696</v>
      </c>
      <c r="N650" s="7">
        <f t="shared" si="80"/>
        <v>81.220927089279883</v>
      </c>
      <c r="O650" s="7">
        <f t="shared" si="81"/>
        <v>30.744962332417312</v>
      </c>
    </row>
    <row r="651" spans="3:15" x14ac:dyDescent="0.2">
      <c r="C651">
        <v>632</v>
      </c>
      <c r="D651" s="7">
        <v>3608.3644152649172</v>
      </c>
      <c r="E651" s="7">
        <f t="shared" si="74"/>
        <v>107.90563442777864</v>
      </c>
      <c r="F651" s="7">
        <f t="shared" si="75"/>
        <v>291.38444077556272</v>
      </c>
      <c r="G651" s="7">
        <v>2950.53359574769</v>
      </c>
      <c r="H651" s="7">
        <f t="shared" si="76"/>
        <v>70.586928127935167</v>
      </c>
      <c r="I651" s="7">
        <f t="shared" si="77"/>
        <v>153.39257512677949</v>
      </c>
      <c r="J651" s="7">
        <v>40.643958573336477</v>
      </c>
      <c r="K651" s="7">
        <f t="shared" si="78"/>
        <v>0.64822900435943354</v>
      </c>
      <c r="L651" s="7">
        <f t="shared" si="79"/>
        <v>2.4399414826780239</v>
      </c>
      <c r="M651" s="7">
        <v>1014.6406285091983</v>
      </c>
      <c r="N651" s="7">
        <f t="shared" si="80"/>
        <v>80.912330822105133</v>
      </c>
      <c r="O651" s="7">
        <f t="shared" si="81"/>
        <v>30.628147849374255</v>
      </c>
    </row>
    <row r="652" spans="3:15" x14ac:dyDescent="0.2">
      <c r="C652">
        <v>633</v>
      </c>
      <c r="D652" s="7">
        <v>3608.8739256143131</v>
      </c>
      <c r="E652" s="7">
        <f t="shared" si="74"/>
        <v>107.92087098128927</v>
      </c>
      <c r="F652" s="7">
        <f t="shared" si="75"/>
        <v>291.42558500911076</v>
      </c>
      <c r="G652" s="7">
        <v>0</v>
      </c>
      <c r="H652" s="7">
        <f t="shared" si="76"/>
        <v>0</v>
      </c>
      <c r="I652" s="7">
        <f t="shared" si="77"/>
        <v>0</v>
      </c>
      <c r="J652" s="7">
        <v>222.58486691585358</v>
      </c>
      <c r="K652" s="7">
        <f t="shared" si="78"/>
        <v>3.549997877445831</v>
      </c>
      <c r="L652" s="7">
        <f t="shared" si="79"/>
        <v>13.362233140367449</v>
      </c>
      <c r="M652" s="7">
        <v>0</v>
      </c>
      <c r="N652" s="7">
        <f t="shared" si="80"/>
        <v>0</v>
      </c>
      <c r="O652" s="7">
        <f t="shared" si="81"/>
        <v>0</v>
      </c>
    </row>
    <row r="653" spans="3:15" x14ac:dyDescent="0.2">
      <c r="C653">
        <v>634</v>
      </c>
      <c r="D653" s="7">
        <v>3606.9224319180494</v>
      </c>
      <c r="E653" s="7">
        <f t="shared" si="74"/>
        <v>107.86251291620962</v>
      </c>
      <c r="F653" s="7">
        <f t="shared" si="75"/>
        <v>291.26799701800951</v>
      </c>
      <c r="G653" s="7">
        <v>0</v>
      </c>
      <c r="H653" s="7">
        <f t="shared" si="76"/>
        <v>0</v>
      </c>
      <c r="I653" s="7">
        <f t="shared" si="77"/>
        <v>0</v>
      </c>
      <c r="J653" s="7">
        <v>406.98677930402982</v>
      </c>
      <c r="K653" s="7">
        <f t="shared" si="78"/>
        <v>6.4910172137803803</v>
      </c>
      <c r="L653" s="7">
        <f t="shared" si="79"/>
        <v>24.432263996471995</v>
      </c>
      <c r="M653" s="7">
        <v>0</v>
      </c>
      <c r="N653" s="7">
        <f t="shared" si="80"/>
        <v>0</v>
      </c>
      <c r="O653" s="7">
        <f t="shared" si="81"/>
        <v>0</v>
      </c>
    </row>
    <row r="654" spans="3:15" x14ac:dyDescent="0.2">
      <c r="C654">
        <v>635</v>
      </c>
      <c r="D654" s="7">
        <v>3604.985621273333</v>
      </c>
      <c r="E654" s="7">
        <f t="shared" si="74"/>
        <v>107.80459393759968</v>
      </c>
      <c r="F654" s="7">
        <f t="shared" si="75"/>
        <v>291.11159472000116</v>
      </c>
      <c r="G654" s="7">
        <v>0</v>
      </c>
      <c r="H654" s="7">
        <f t="shared" si="76"/>
        <v>0</v>
      </c>
      <c r="I654" s="7">
        <f t="shared" si="77"/>
        <v>0</v>
      </c>
      <c r="J654" s="7">
        <v>591.37400864065876</v>
      </c>
      <c r="K654" s="7">
        <f t="shared" si="78"/>
        <v>9.4318023706644141</v>
      </c>
      <c r="L654" s="7">
        <f t="shared" si="79"/>
        <v>35.501413398411636</v>
      </c>
      <c r="M654" s="7">
        <v>0</v>
      </c>
      <c r="N654" s="7">
        <f t="shared" si="80"/>
        <v>0</v>
      </c>
      <c r="O654" s="7">
        <f t="shared" si="81"/>
        <v>0</v>
      </c>
    </row>
    <row r="655" spans="3:15" x14ac:dyDescent="0.2">
      <c r="C655">
        <v>636</v>
      </c>
      <c r="D655" s="7">
        <v>3603.0634386019287</v>
      </c>
      <c r="E655" s="7">
        <f t="shared" si="74"/>
        <v>107.74711239838304</v>
      </c>
      <c r="F655" s="7">
        <f t="shared" si="75"/>
        <v>290.95637366738072</v>
      </c>
      <c r="G655" s="7">
        <v>0</v>
      </c>
      <c r="H655" s="7">
        <f t="shared" si="76"/>
        <v>0</v>
      </c>
      <c r="I655" s="7">
        <f t="shared" si="77"/>
        <v>0</v>
      </c>
      <c r="J655" s="7">
        <v>775.746610003976</v>
      </c>
      <c r="K655" s="7">
        <f t="shared" si="78"/>
        <v>12.372354226538693</v>
      </c>
      <c r="L655" s="7">
        <f t="shared" si="79"/>
        <v>46.569684652647581</v>
      </c>
      <c r="M655" s="7">
        <v>0</v>
      </c>
      <c r="N655" s="7">
        <f t="shared" si="80"/>
        <v>0</v>
      </c>
      <c r="O655" s="7">
        <f t="shared" si="81"/>
        <v>0</v>
      </c>
    </row>
    <row r="656" spans="3:15" x14ac:dyDescent="0.2">
      <c r="C656">
        <v>637</v>
      </c>
      <c r="D656" s="7">
        <v>3601.1558289856621</v>
      </c>
      <c r="E656" s="7">
        <f t="shared" si="74"/>
        <v>107.69006665626981</v>
      </c>
      <c r="F656" s="7">
        <f t="shared" si="75"/>
        <v>290.80232942536833</v>
      </c>
      <c r="G656" s="7">
        <v>0</v>
      </c>
      <c r="H656" s="7">
        <f t="shared" si="76"/>
        <v>0</v>
      </c>
      <c r="I656" s="7">
        <f t="shared" si="77"/>
        <v>0</v>
      </c>
      <c r="J656" s="7">
        <v>868.87942896619825</v>
      </c>
      <c r="K656" s="7">
        <f t="shared" si="78"/>
        <v>13.857726139811776</v>
      </c>
      <c r="L656" s="7">
        <f t="shared" si="79"/>
        <v>52.160641743469519</v>
      </c>
      <c r="M656" s="7">
        <v>0</v>
      </c>
      <c r="N656" s="7">
        <f t="shared" si="80"/>
        <v>0</v>
      </c>
      <c r="O656" s="7">
        <f t="shared" si="81"/>
        <v>0</v>
      </c>
    </row>
    <row r="657" spans="3:15" x14ac:dyDescent="0.2">
      <c r="C657">
        <v>638</v>
      </c>
      <c r="D657" s="7">
        <v>3599.262737666048</v>
      </c>
      <c r="E657" s="7">
        <f t="shared" si="74"/>
        <v>107.63345507374547</v>
      </c>
      <c r="F657" s="7">
        <f t="shared" si="75"/>
        <v>290.64945757207954</v>
      </c>
      <c r="G657" s="7">
        <v>0</v>
      </c>
      <c r="H657" s="7">
        <f t="shared" si="76"/>
        <v>0</v>
      </c>
      <c r="I657" s="7">
        <f t="shared" si="77"/>
        <v>0</v>
      </c>
      <c r="J657" s="7">
        <v>870.77252028581233</v>
      </c>
      <c r="K657" s="7">
        <f t="shared" si="78"/>
        <v>13.887918983824759</v>
      </c>
      <c r="L657" s="7">
        <f t="shared" si="79"/>
        <v>52.274287958143454</v>
      </c>
      <c r="M657" s="7">
        <v>0</v>
      </c>
      <c r="N657" s="7">
        <f t="shared" si="80"/>
        <v>0</v>
      </c>
      <c r="O657" s="7">
        <f t="shared" si="81"/>
        <v>0</v>
      </c>
    </row>
    <row r="658" spans="3:15" x14ac:dyDescent="0.2">
      <c r="C658">
        <v>639</v>
      </c>
      <c r="D658" s="7">
        <v>3597.3841100438958</v>
      </c>
      <c r="E658" s="7">
        <f t="shared" si="74"/>
        <v>107.5772760180591</v>
      </c>
      <c r="F658" s="7">
        <f t="shared" si="75"/>
        <v>290.49775369849334</v>
      </c>
      <c r="G658" s="7">
        <v>0</v>
      </c>
      <c r="H658" s="7">
        <f t="shared" si="76"/>
        <v>0</v>
      </c>
      <c r="I658" s="7">
        <f t="shared" si="77"/>
        <v>0</v>
      </c>
      <c r="J658" s="7">
        <v>1328.7771946377461</v>
      </c>
      <c r="K658" s="7">
        <f t="shared" si="78"/>
        <v>21.192618734254324</v>
      </c>
      <c r="L658" s="7">
        <f t="shared" si="79"/>
        <v>79.769262449748112</v>
      </c>
      <c r="M658" s="7">
        <v>0</v>
      </c>
      <c r="N658" s="7">
        <f t="shared" si="80"/>
        <v>0</v>
      </c>
      <c r="O658" s="7">
        <f t="shared" si="81"/>
        <v>0</v>
      </c>
    </row>
    <row r="659" spans="3:15" x14ac:dyDescent="0.2">
      <c r="C659">
        <v>640</v>
      </c>
      <c r="D659" s="7">
        <v>3598.0094211014639</v>
      </c>
      <c r="E659" s="7">
        <f t="shared" si="74"/>
        <v>107.59597551140742</v>
      </c>
      <c r="F659" s="7">
        <f t="shared" si="75"/>
        <v>290.54824912851404</v>
      </c>
      <c r="G659" s="7">
        <v>2963.9008848274943</v>
      </c>
      <c r="H659" s="7">
        <f t="shared" si="76"/>
        <v>70.906719732715175</v>
      </c>
      <c r="I659" s="7">
        <f t="shared" si="77"/>
        <v>154.08751481408567</v>
      </c>
      <c r="J659" s="7">
        <v>1510.602302272091</v>
      </c>
      <c r="K659" s="7">
        <f t="shared" si="78"/>
        <v>24.092540706093956</v>
      </c>
      <c r="L659" s="7">
        <f t="shared" si="79"/>
        <v>90.684602349746825</v>
      </c>
      <c r="M659" s="7">
        <v>1001.2733394293944</v>
      </c>
      <c r="N659" s="7">
        <f t="shared" si="80"/>
        <v>79.846358806171807</v>
      </c>
      <c r="O659" s="7">
        <f t="shared" si="81"/>
        <v>30.224640149428204</v>
      </c>
    </row>
    <row r="660" spans="3:15" x14ac:dyDescent="0.2">
      <c r="C660">
        <v>641</v>
      </c>
      <c r="D660" s="7">
        <v>3602.803454220752</v>
      </c>
      <c r="E660" s="7">
        <f t="shared" si="74"/>
        <v>107.7393377458359</v>
      </c>
      <c r="F660" s="7">
        <f t="shared" si="75"/>
        <v>290.93537927912018</v>
      </c>
      <c r="G660" s="7">
        <v>2965.6022449343732</v>
      </c>
      <c r="H660" s="7">
        <f t="shared" si="76"/>
        <v>70.947422127616591</v>
      </c>
      <c r="I660" s="7">
        <f t="shared" si="77"/>
        <v>154.17596525857078</v>
      </c>
      <c r="J660" s="7">
        <v>1250.3776829841249</v>
      </c>
      <c r="K660" s="7">
        <f t="shared" si="78"/>
        <v>19.942227798789872</v>
      </c>
      <c r="L660" s="7">
        <f t="shared" si="79"/>
        <v>75.062776481846825</v>
      </c>
      <c r="M660" s="7">
        <v>999.5719793225154</v>
      </c>
      <c r="N660" s="7">
        <f t="shared" si="80"/>
        <v>79.710684156500434</v>
      </c>
      <c r="O660" s="7">
        <f t="shared" si="81"/>
        <v>30.173282548091976</v>
      </c>
    </row>
    <row r="661" spans="3:15" x14ac:dyDescent="0.2">
      <c r="C661">
        <v>642</v>
      </c>
      <c r="D661" s="7">
        <v>3607.5854434002808</v>
      </c>
      <c r="E661" s="7">
        <f t="shared" ref="E661:E691" si="82">D661/($C$3*($D$8-$D$6))</f>
        <v>107.88233981460171</v>
      </c>
      <c r="F661" s="7">
        <f t="shared" ref="F661:F691" si="83">E661*$C$3*((($D$8)-($D$6))-$C$2*LN(($D$8)/($D$6)))</f>
        <v>291.32153685150314</v>
      </c>
      <c r="G661" s="7">
        <v>2967.6195760781688</v>
      </c>
      <c r="H661" s="7">
        <f t="shared" ref="H661:H691" si="84">G661/($C$3*($D$6-$D$9))</f>
        <v>70.995683638233714</v>
      </c>
      <c r="I661" s="7">
        <f t="shared" ref="I661:I691" si="85">ABS(H661*$C$3*(($D$9-$D$6)-$C$2*(LN($D$9/$D$6))))</f>
        <v>154.28084243044106</v>
      </c>
      <c r="J661" s="7">
        <v>990.16510763591805</v>
      </c>
      <c r="K661" s="7">
        <f t="shared" ref="K661:K691" si="86">J661/($C$3*($D$10-$D$7))</f>
        <v>15.792106979839204</v>
      </c>
      <c r="L661" s="7">
        <f t="shared" ref="L661:L691" si="87">K661*$C$3*(($D$10-$D$7)-$C$2*LN($D$10/$D$7))</f>
        <v>59.441673636734571</v>
      </c>
      <c r="M661" s="7">
        <v>997.5546481787195</v>
      </c>
      <c r="N661" s="7">
        <f t="shared" ref="N661:N691" si="88">M661/($C$3*($D$7-$D$11))</f>
        <v>79.549812454443341</v>
      </c>
      <c r="O661" s="7">
        <f t="shared" ref="O661:O691" si="89">ABS(N661*$C$3*(($D$11-$D$7)-$C$2*LN($D$11/$D$7)))</f>
        <v>30.112386980935245</v>
      </c>
    </row>
    <row r="662" spans="3:15" x14ac:dyDescent="0.2">
      <c r="C662">
        <v>643</v>
      </c>
      <c r="D662" s="7">
        <v>3612.3560576265172</v>
      </c>
      <c r="E662" s="7">
        <f t="shared" si="82"/>
        <v>108.02500172328102</v>
      </c>
      <c r="F662" s="7">
        <f t="shared" si="83"/>
        <v>291.70677586799144</v>
      </c>
      <c r="G662" s="7">
        <v>2969.8660375275836</v>
      </c>
      <c r="H662" s="7">
        <f t="shared" si="84"/>
        <v>71.049426735109662</v>
      </c>
      <c r="I662" s="7">
        <f t="shared" si="85"/>
        <v>154.39763164685445</v>
      </c>
      <c r="J662" s="7">
        <v>857.67920032534312</v>
      </c>
      <c r="K662" s="7">
        <f t="shared" si="86"/>
        <v>13.679094104072458</v>
      </c>
      <c r="L662" s="7">
        <f t="shared" si="87"/>
        <v>51.48826869134686</v>
      </c>
      <c r="M662" s="7">
        <v>995.30818672930479</v>
      </c>
      <c r="N662" s="7">
        <f t="shared" si="88"/>
        <v>79.370668798190181</v>
      </c>
      <c r="O662" s="7">
        <f t="shared" si="89"/>
        <v>30.044574839890107</v>
      </c>
    </row>
    <row r="663" spans="3:15" x14ac:dyDescent="0.2">
      <c r="C663">
        <v>644</v>
      </c>
      <c r="D663" s="7">
        <v>3617.1158327248804</v>
      </c>
      <c r="E663" s="7">
        <f t="shared" si="82"/>
        <v>108.16733949536126</v>
      </c>
      <c r="F663" s="7">
        <f t="shared" si="83"/>
        <v>292.0911395978261</v>
      </c>
      <c r="G663" s="7">
        <v>2972.4272702308076</v>
      </c>
      <c r="H663" s="7">
        <f t="shared" si="84"/>
        <v>71.110700244756174</v>
      </c>
      <c r="I663" s="7">
        <f t="shared" si="85"/>
        <v>154.53078521623345</v>
      </c>
      <c r="J663" s="7">
        <v>469.77354597396243</v>
      </c>
      <c r="K663" s="7">
        <f t="shared" si="86"/>
        <v>7.4924010522163069</v>
      </c>
      <c r="L663" s="7">
        <f t="shared" si="87"/>
        <v>28.20148436620476</v>
      </c>
      <c r="M663" s="7">
        <v>992.74695402608097</v>
      </c>
      <c r="N663" s="7">
        <f t="shared" si="88"/>
        <v>79.166423766035166</v>
      </c>
      <c r="O663" s="7">
        <f t="shared" si="89"/>
        <v>29.967260949920757</v>
      </c>
    </row>
    <row r="664" spans="3:15" x14ac:dyDescent="0.2">
      <c r="C664">
        <v>645</v>
      </c>
      <c r="D664" s="7">
        <v>3621.8656875856345</v>
      </c>
      <c r="E664" s="7">
        <f t="shared" si="82"/>
        <v>108.30938060961826</v>
      </c>
      <c r="F664" s="7">
        <f t="shared" si="83"/>
        <v>292.47470224369158</v>
      </c>
      <c r="G664" s="7">
        <v>2975.3886282052458</v>
      </c>
      <c r="H664" s="7">
        <f t="shared" si="84"/>
        <v>71.18154612931211</v>
      </c>
      <c r="I664" s="7">
        <f t="shared" si="85"/>
        <v>154.68474053002009</v>
      </c>
      <c r="J664" s="7">
        <v>209.59310494453075</v>
      </c>
      <c r="K664" s="7">
        <f t="shared" si="86"/>
        <v>3.3427927423370138</v>
      </c>
      <c r="L664" s="7">
        <f t="shared" si="87"/>
        <v>12.582310611175007</v>
      </c>
      <c r="M664" s="7">
        <v>989.78559605164253</v>
      </c>
      <c r="N664" s="7">
        <f t="shared" si="88"/>
        <v>78.930270817515364</v>
      </c>
      <c r="O664" s="7">
        <f t="shared" si="89"/>
        <v>29.877868797342277</v>
      </c>
    </row>
    <row r="665" spans="3:15" x14ac:dyDescent="0.2">
      <c r="C665">
        <v>646</v>
      </c>
      <c r="D665" s="7">
        <v>3576.0282063614877</v>
      </c>
      <c r="E665" s="7">
        <f t="shared" si="82"/>
        <v>106.93864253473349</v>
      </c>
      <c r="F665" s="7">
        <f t="shared" si="83"/>
        <v>288.77321112584457</v>
      </c>
      <c r="G665" s="7">
        <v>2978.6564548047149</v>
      </c>
      <c r="H665" s="7">
        <f t="shared" si="84"/>
        <v>71.259723799155864</v>
      </c>
      <c r="I665" s="7">
        <f t="shared" si="85"/>
        <v>154.85462855904734</v>
      </c>
      <c r="J665" s="7">
        <v>0</v>
      </c>
      <c r="K665" s="7">
        <f t="shared" si="86"/>
        <v>0</v>
      </c>
      <c r="L665" s="7">
        <f t="shared" si="87"/>
        <v>0</v>
      </c>
      <c r="M665" s="7">
        <v>986.51776945217341</v>
      </c>
      <c r="N665" s="7">
        <f t="shared" si="88"/>
        <v>78.669678584702822</v>
      </c>
      <c r="O665" s="7">
        <f t="shared" si="89"/>
        <v>29.77922552067621</v>
      </c>
    </row>
    <row r="666" spans="3:15" x14ac:dyDescent="0.2">
      <c r="C666">
        <v>647</v>
      </c>
      <c r="D666" s="7">
        <v>2873.5940943976243</v>
      </c>
      <c r="E666" s="7">
        <f t="shared" si="82"/>
        <v>85.932837751125135</v>
      </c>
      <c r="F666" s="7">
        <f t="shared" si="83"/>
        <v>232.0499017975537</v>
      </c>
      <c r="G666" s="7">
        <v>0</v>
      </c>
      <c r="H666" s="7">
        <f t="shared" si="84"/>
        <v>0</v>
      </c>
      <c r="I666" s="7">
        <f t="shared" si="85"/>
        <v>0</v>
      </c>
      <c r="J666" s="7">
        <v>0</v>
      </c>
      <c r="K666" s="7">
        <f t="shared" si="86"/>
        <v>0</v>
      </c>
      <c r="L666" s="7">
        <f t="shared" si="87"/>
        <v>0</v>
      </c>
      <c r="M666" s="7">
        <v>0</v>
      </c>
      <c r="N666" s="7">
        <f t="shared" si="88"/>
        <v>0</v>
      </c>
      <c r="O666" s="7">
        <f t="shared" si="89"/>
        <v>0</v>
      </c>
    </row>
    <row r="667" spans="3:15" x14ac:dyDescent="0.2">
      <c r="C667">
        <v>648</v>
      </c>
      <c r="D667" s="7">
        <v>2713.9499780422011</v>
      </c>
      <c r="E667" s="7">
        <f t="shared" si="82"/>
        <v>81.158791209395972</v>
      </c>
      <c r="F667" s="7">
        <f t="shared" si="83"/>
        <v>219.15824058657853</v>
      </c>
      <c r="G667" s="7">
        <v>0</v>
      </c>
      <c r="H667" s="7">
        <f t="shared" si="84"/>
        <v>0</v>
      </c>
      <c r="I667" s="7">
        <f t="shared" si="85"/>
        <v>0</v>
      </c>
      <c r="J667" s="7">
        <v>0</v>
      </c>
      <c r="K667" s="7">
        <f t="shared" si="86"/>
        <v>0</v>
      </c>
      <c r="L667" s="7">
        <f t="shared" si="87"/>
        <v>0</v>
      </c>
      <c r="M667" s="7">
        <v>0</v>
      </c>
      <c r="N667" s="7">
        <f t="shared" si="88"/>
        <v>0</v>
      </c>
      <c r="O667" s="7">
        <f t="shared" si="89"/>
        <v>0</v>
      </c>
    </row>
    <row r="668" spans="3:15" x14ac:dyDescent="0.2">
      <c r="C668">
        <v>649</v>
      </c>
      <c r="D668" s="7">
        <v>2554.3058616867775</v>
      </c>
      <c r="E668" s="7">
        <f t="shared" si="82"/>
        <v>76.384744667666794</v>
      </c>
      <c r="F668" s="7">
        <f t="shared" si="83"/>
        <v>206.2665793756033</v>
      </c>
      <c r="G668" s="7">
        <v>0</v>
      </c>
      <c r="H668" s="7">
        <f t="shared" si="84"/>
        <v>0</v>
      </c>
      <c r="I668" s="7">
        <f t="shared" si="85"/>
        <v>0</v>
      </c>
      <c r="J668" s="7">
        <v>0</v>
      </c>
      <c r="K668" s="7">
        <f t="shared" si="86"/>
        <v>0</v>
      </c>
      <c r="L668" s="7">
        <f t="shared" si="87"/>
        <v>0</v>
      </c>
      <c r="M668" s="7">
        <v>0</v>
      </c>
      <c r="N668" s="7">
        <f t="shared" si="88"/>
        <v>0</v>
      </c>
      <c r="O668" s="7">
        <f t="shared" si="89"/>
        <v>0</v>
      </c>
    </row>
    <row r="669" spans="3:15" x14ac:dyDescent="0.2">
      <c r="C669">
        <v>650</v>
      </c>
      <c r="D669" s="7">
        <v>2554.3058616867775</v>
      </c>
      <c r="E669" s="7">
        <f t="shared" si="82"/>
        <v>76.384744667666794</v>
      </c>
      <c r="F669" s="7">
        <f t="shared" si="83"/>
        <v>206.2665793756033</v>
      </c>
      <c r="G669" s="7">
        <v>0</v>
      </c>
      <c r="H669" s="7">
        <f t="shared" si="84"/>
        <v>0</v>
      </c>
      <c r="I669" s="7">
        <f t="shared" si="85"/>
        <v>0</v>
      </c>
      <c r="J669" s="7">
        <v>0</v>
      </c>
      <c r="K669" s="7">
        <f t="shared" si="86"/>
        <v>0</v>
      </c>
      <c r="L669" s="7">
        <f t="shared" si="87"/>
        <v>0</v>
      </c>
      <c r="M669" s="7">
        <v>0</v>
      </c>
      <c r="N669" s="7">
        <f t="shared" si="88"/>
        <v>0</v>
      </c>
      <c r="O669" s="7">
        <f t="shared" si="89"/>
        <v>0</v>
      </c>
    </row>
    <row r="670" spans="3:15" x14ac:dyDescent="0.2">
      <c r="C670">
        <v>651</v>
      </c>
      <c r="D670" s="7">
        <v>2713.9499780422016</v>
      </c>
      <c r="E670" s="7">
        <f t="shared" si="82"/>
        <v>81.158791209395986</v>
      </c>
      <c r="F670" s="7">
        <f t="shared" si="83"/>
        <v>219.15824058657856</v>
      </c>
      <c r="G670" s="7">
        <v>0</v>
      </c>
      <c r="H670" s="7">
        <f t="shared" si="84"/>
        <v>0</v>
      </c>
      <c r="I670" s="7">
        <f t="shared" si="85"/>
        <v>0</v>
      </c>
      <c r="J670" s="7">
        <v>0</v>
      </c>
      <c r="K670" s="7">
        <f t="shared" si="86"/>
        <v>0</v>
      </c>
      <c r="L670" s="7">
        <f t="shared" si="87"/>
        <v>0</v>
      </c>
      <c r="M670" s="7">
        <v>0</v>
      </c>
      <c r="N670" s="7">
        <f t="shared" si="88"/>
        <v>0</v>
      </c>
      <c r="O670" s="7">
        <f t="shared" si="89"/>
        <v>0</v>
      </c>
    </row>
    <row r="671" spans="3:15" x14ac:dyDescent="0.2">
      <c r="C671">
        <v>652</v>
      </c>
      <c r="D671" s="7">
        <v>2873.5940943976243</v>
      </c>
      <c r="E671" s="7">
        <f t="shared" si="82"/>
        <v>85.932837751125135</v>
      </c>
      <c r="F671" s="7">
        <f t="shared" si="83"/>
        <v>232.0499017975537</v>
      </c>
      <c r="G671" s="7">
        <v>0</v>
      </c>
      <c r="H671" s="7">
        <f t="shared" si="84"/>
        <v>0</v>
      </c>
      <c r="I671" s="7">
        <f t="shared" si="85"/>
        <v>0</v>
      </c>
      <c r="J671" s="7">
        <v>0</v>
      </c>
      <c r="K671" s="7">
        <f t="shared" si="86"/>
        <v>0</v>
      </c>
      <c r="L671" s="7">
        <f t="shared" si="87"/>
        <v>0</v>
      </c>
      <c r="M671" s="7">
        <v>0</v>
      </c>
      <c r="N671" s="7">
        <f t="shared" si="88"/>
        <v>0</v>
      </c>
      <c r="O671" s="7">
        <f t="shared" si="89"/>
        <v>0</v>
      </c>
    </row>
    <row r="672" spans="3:15" x14ac:dyDescent="0.2">
      <c r="C672">
        <v>653</v>
      </c>
      <c r="D672" s="7">
        <v>3033.238210753048</v>
      </c>
      <c r="E672" s="7">
        <f t="shared" si="82"/>
        <v>90.706884292854312</v>
      </c>
      <c r="F672" s="7">
        <f t="shared" si="83"/>
        <v>244.9415630085289</v>
      </c>
      <c r="G672" s="7">
        <v>0</v>
      </c>
      <c r="H672" s="7">
        <f t="shared" si="84"/>
        <v>0</v>
      </c>
      <c r="I672" s="7">
        <f t="shared" si="85"/>
        <v>0</v>
      </c>
      <c r="J672" s="7">
        <v>0</v>
      </c>
      <c r="K672" s="7">
        <f t="shared" si="86"/>
        <v>0</v>
      </c>
      <c r="L672" s="7">
        <f t="shared" si="87"/>
        <v>0</v>
      </c>
      <c r="M672" s="7">
        <v>0</v>
      </c>
      <c r="N672" s="7">
        <f t="shared" si="88"/>
        <v>0</v>
      </c>
      <c r="O672" s="7">
        <f t="shared" si="89"/>
        <v>0</v>
      </c>
    </row>
    <row r="673" spans="3:15" x14ac:dyDescent="0.2">
      <c r="C673">
        <v>654</v>
      </c>
      <c r="D673" s="7">
        <v>3192.8823271084716</v>
      </c>
      <c r="E673" s="7">
        <f t="shared" si="82"/>
        <v>95.480930834583489</v>
      </c>
      <c r="F673" s="7">
        <f t="shared" si="83"/>
        <v>257.83322421950413</v>
      </c>
      <c r="G673" s="7">
        <v>0</v>
      </c>
      <c r="H673" s="7">
        <f t="shared" si="84"/>
        <v>0</v>
      </c>
      <c r="I673" s="7">
        <f t="shared" si="85"/>
        <v>0</v>
      </c>
      <c r="J673" s="7">
        <v>0</v>
      </c>
      <c r="K673" s="7">
        <f t="shared" si="86"/>
        <v>0</v>
      </c>
      <c r="L673" s="7">
        <f t="shared" si="87"/>
        <v>0</v>
      </c>
      <c r="M673" s="7">
        <v>0</v>
      </c>
      <c r="N673" s="7">
        <f t="shared" si="88"/>
        <v>0</v>
      </c>
      <c r="O673" s="7">
        <f t="shared" si="89"/>
        <v>0</v>
      </c>
    </row>
    <row r="674" spans="3:15" x14ac:dyDescent="0.2">
      <c r="C674">
        <v>655</v>
      </c>
      <c r="D674" s="7">
        <v>3352.5264434638952</v>
      </c>
      <c r="E674" s="7">
        <f t="shared" si="82"/>
        <v>100.25497737631267</v>
      </c>
      <c r="F674" s="7">
        <f t="shared" si="83"/>
        <v>270.72488543047933</v>
      </c>
      <c r="G674" s="7">
        <v>2997.8393885125297</v>
      </c>
      <c r="H674" s="7">
        <f t="shared" si="84"/>
        <v>71.71864565819449</v>
      </c>
      <c r="I674" s="7">
        <f t="shared" si="85"/>
        <v>155.85191244158599</v>
      </c>
      <c r="J674" s="7">
        <v>0</v>
      </c>
      <c r="K674" s="7">
        <f t="shared" si="86"/>
        <v>0</v>
      </c>
      <c r="L674" s="7">
        <f t="shared" si="87"/>
        <v>0</v>
      </c>
      <c r="M674" s="7">
        <v>967.33483574435854</v>
      </c>
      <c r="N674" s="7">
        <f t="shared" si="88"/>
        <v>77.139939054574057</v>
      </c>
      <c r="O674" s="7">
        <f t="shared" si="89"/>
        <v>29.200165592186103</v>
      </c>
    </row>
    <row r="675" spans="3:15" x14ac:dyDescent="0.2">
      <c r="C675">
        <v>656</v>
      </c>
      <c r="D675" s="7">
        <v>3512.1705598193189</v>
      </c>
      <c r="E675" s="7">
        <f t="shared" si="82"/>
        <v>105.02902391804184</v>
      </c>
      <c r="F675" s="7">
        <f t="shared" si="83"/>
        <v>283.61654664145453</v>
      </c>
      <c r="G675" s="7">
        <v>3000.8413716173745</v>
      </c>
      <c r="H675" s="7">
        <f t="shared" si="84"/>
        <v>71.79046343582236</v>
      </c>
      <c r="I675" s="7">
        <f t="shared" si="85"/>
        <v>156.00797977788167</v>
      </c>
      <c r="J675" s="7">
        <v>0</v>
      </c>
      <c r="K675" s="7">
        <f t="shared" si="86"/>
        <v>0</v>
      </c>
      <c r="L675" s="7">
        <f t="shared" si="87"/>
        <v>0</v>
      </c>
      <c r="M675" s="7">
        <v>964.33285263951404</v>
      </c>
      <c r="N675" s="7">
        <f t="shared" si="88"/>
        <v>76.900546462481188</v>
      </c>
      <c r="O675" s="7">
        <f t="shared" si="89"/>
        <v>29.109547121179677</v>
      </c>
    </row>
    <row r="676" spans="3:15" x14ac:dyDescent="0.2">
      <c r="C676">
        <v>657</v>
      </c>
      <c r="D676" s="7">
        <v>3635.1619928709729</v>
      </c>
      <c r="E676" s="7">
        <f t="shared" si="82"/>
        <v>108.7069973944669</v>
      </c>
      <c r="F676" s="7">
        <f t="shared" si="83"/>
        <v>293.54841211167485</v>
      </c>
      <c r="G676" s="7">
        <v>0</v>
      </c>
      <c r="H676" s="7">
        <f t="shared" si="84"/>
        <v>0</v>
      </c>
      <c r="I676" s="7">
        <f t="shared" si="85"/>
        <v>0</v>
      </c>
      <c r="J676" s="7">
        <v>36.652683303770118</v>
      </c>
      <c r="K676" s="7">
        <f t="shared" si="86"/>
        <v>0.58457230149553618</v>
      </c>
      <c r="L676" s="7">
        <f t="shared" si="87"/>
        <v>2.2003369155827661</v>
      </c>
      <c r="M676" s="7">
        <v>0</v>
      </c>
      <c r="N676" s="7">
        <f t="shared" si="88"/>
        <v>0</v>
      </c>
      <c r="O676" s="7">
        <f t="shared" si="89"/>
        <v>0</v>
      </c>
    </row>
    <row r="677" spans="3:15" x14ac:dyDescent="0.2">
      <c r="C677">
        <v>658</v>
      </c>
      <c r="D677" s="7">
        <v>3633.2259912248974</v>
      </c>
      <c r="E677" s="7">
        <f t="shared" si="82"/>
        <v>108.64910260840004</v>
      </c>
      <c r="F677" s="7">
        <f t="shared" si="83"/>
        <v>293.39207514232777</v>
      </c>
      <c r="G677" s="7">
        <v>0</v>
      </c>
      <c r="H677" s="7">
        <f t="shared" si="84"/>
        <v>0</v>
      </c>
      <c r="I677" s="7">
        <f t="shared" si="85"/>
        <v>0</v>
      </c>
      <c r="J677" s="7">
        <v>198.23280130526928</v>
      </c>
      <c r="K677" s="7">
        <f t="shared" si="86"/>
        <v>3.1616076763200844</v>
      </c>
      <c r="L677" s="7">
        <f t="shared" si="87"/>
        <v>11.900327923508451</v>
      </c>
      <c r="M677" s="7">
        <v>0</v>
      </c>
      <c r="N677" s="7">
        <f t="shared" si="88"/>
        <v>0</v>
      </c>
      <c r="O677" s="7">
        <f t="shared" si="89"/>
        <v>0</v>
      </c>
    </row>
    <row r="678" spans="3:15" x14ac:dyDescent="0.2">
      <c r="C678">
        <v>659</v>
      </c>
      <c r="D678" s="7">
        <v>3631.3044353497507</v>
      </c>
      <c r="E678" s="7">
        <f t="shared" si="82"/>
        <v>108.59163981309064</v>
      </c>
      <c r="F678" s="7">
        <f t="shared" si="83"/>
        <v>293.23690470507097</v>
      </c>
      <c r="G678" s="7">
        <v>0</v>
      </c>
      <c r="H678" s="7">
        <f t="shared" si="84"/>
        <v>0</v>
      </c>
      <c r="I678" s="7">
        <f t="shared" si="85"/>
        <v>0</v>
      </c>
      <c r="J678" s="7">
        <v>359.79847353583909</v>
      </c>
      <c r="K678" s="7">
        <f t="shared" si="86"/>
        <v>5.7384126560739892</v>
      </c>
      <c r="L678" s="7">
        <f t="shared" si="87"/>
        <v>21.599451721718918</v>
      </c>
      <c r="M678" s="7">
        <v>0</v>
      </c>
      <c r="N678" s="7">
        <f t="shared" si="88"/>
        <v>0</v>
      </c>
      <c r="O678" s="7">
        <f t="shared" si="89"/>
        <v>0</v>
      </c>
    </row>
    <row r="679" spans="3:15" x14ac:dyDescent="0.2">
      <c r="C679">
        <v>660</v>
      </c>
      <c r="D679" s="7">
        <v>3629.3972711587785</v>
      </c>
      <c r="E679" s="7">
        <f t="shared" si="82"/>
        <v>108.53460739111181</v>
      </c>
      <c r="F679" s="7">
        <f t="shared" si="83"/>
        <v>293.08289643226385</v>
      </c>
      <c r="G679" s="7">
        <v>0</v>
      </c>
      <c r="H679" s="7">
        <f t="shared" si="84"/>
        <v>0</v>
      </c>
      <c r="I679" s="7">
        <f t="shared" si="85"/>
        <v>0</v>
      </c>
      <c r="J679" s="7">
        <v>521.34975408223545</v>
      </c>
      <c r="K679" s="7">
        <f t="shared" si="86"/>
        <v>8.3149881033849358</v>
      </c>
      <c r="L679" s="7">
        <f t="shared" si="87"/>
        <v>31.297711557154766</v>
      </c>
      <c r="M679" s="7">
        <v>0</v>
      </c>
      <c r="N679" s="7">
        <f t="shared" si="88"/>
        <v>0</v>
      </c>
      <c r="O679" s="7">
        <f t="shared" si="89"/>
        <v>0</v>
      </c>
    </row>
    <row r="680" spans="3:15" x14ac:dyDescent="0.2">
      <c r="C680">
        <v>661</v>
      </c>
      <c r="D680" s="7">
        <v>3627.5044447222404</v>
      </c>
      <c r="E680" s="7">
        <f t="shared" si="82"/>
        <v>108.47800372973208</v>
      </c>
      <c r="F680" s="7">
        <f t="shared" si="83"/>
        <v>292.93004596894514</v>
      </c>
      <c r="G680" s="7">
        <v>0</v>
      </c>
      <c r="H680" s="7">
        <f t="shared" si="84"/>
        <v>0</v>
      </c>
      <c r="I680" s="7">
        <f t="shared" si="85"/>
        <v>0</v>
      </c>
      <c r="J680" s="7">
        <v>682.88669687419724</v>
      </c>
      <c r="K680" s="7">
        <f t="shared" si="86"/>
        <v>10.891334878376352</v>
      </c>
      <c r="L680" s="7">
        <f t="shared" si="87"/>
        <v>40.995110667330543</v>
      </c>
      <c r="M680" s="7">
        <v>0</v>
      </c>
      <c r="N680" s="7">
        <f t="shared" si="88"/>
        <v>0</v>
      </c>
      <c r="O680" s="7">
        <f t="shared" si="89"/>
        <v>0</v>
      </c>
    </row>
    <row r="681" spans="3:15" x14ac:dyDescent="0.2">
      <c r="C681">
        <v>662</v>
      </c>
      <c r="D681" s="7">
        <v>3625.625902267032</v>
      </c>
      <c r="E681" s="7">
        <f t="shared" si="82"/>
        <v>108.42182722090408</v>
      </c>
      <c r="F681" s="7">
        <f t="shared" si="83"/>
        <v>292.77834897280241</v>
      </c>
      <c r="G681" s="7">
        <v>0</v>
      </c>
      <c r="H681" s="7">
        <f t="shared" si="84"/>
        <v>0</v>
      </c>
      <c r="I681" s="7">
        <f t="shared" si="85"/>
        <v>0</v>
      </c>
      <c r="J681" s="7">
        <v>844.40935568483019</v>
      </c>
      <c r="K681" s="7">
        <f t="shared" si="86"/>
        <v>13.467453838673528</v>
      </c>
      <c r="L681" s="7">
        <f t="shared" si="87"/>
        <v>50.691652280357779</v>
      </c>
      <c r="M681" s="7">
        <v>0</v>
      </c>
      <c r="N681" s="7">
        <f t="shared" si="88"/>
        <v>0</v>
      </c>
      <c r="O681" s="7">
        <f t="shared" si="89"/>
        <v>0</v>
      </c>
    </row>
    <row r="682" spans="3:15" x14ac:dyDescent="0.2">
      <c r="C682">
        <v>663</v>
      </c>
      <c r="D682" s="7">
        <v>3623.7615901763152</v>
      </c>
      <c r="E682" s="7">
        <f t="shared" si="82"/>
        <v>108.36607626125345</v>
      </c>
      <c r="F682" s="7">
        <f t="shared" si="83"/>
        <v>292.62780111414196</v>
      </c>
      <c r="G682" s="7">
        <v>0</v>
      </c>
      <c r="H682" s="7">
        <f t="shared" si="84"/>
        <v>0</v>
      </c>
      <c r="I682" s="7">
        <f t="shared" si="85"/>
        <v>0</v>
      </c>
      <c r="J682" s="7">
        <v>686.62955142012243</v>
      </c>
      <c r="K682" s="7">
        <f t="shared" si="86"/>
        <v>10.951029528231619</v>
      </c>
      <c r="L682" s="7">
        <f t="shared" si="87"/>
        <v>41.219802020997655</v>
      </c>
      <c r="M682" s="7">
        <v>0</v>
      </c>
      <c r="N682" s="7">
        <f t="shared" si="88"/>
        <v>0</v>
      </c>
      <c r="O682" s="7">
        <f t="shared" si="89"/>
        <v>0</v>
      </c>
    </row>
    <row r="683" spans="3:15" x14ac:dyDescent="0.2">
      <c r="C683">
        <v>664</v>
      </c>
      <c r="D683" s="7">
        <v>3624.4788127282836</v>
      </c>
      <c r="E683" s="7">
        <f t="shared" si="82"/>
        <v>108.38752430407547</v>
      </c>
      <c r="F683" s="7">
        <f t="shared" si="83"/>
        <v>292.68571862694444</v>
      </c>
      <c r="G683" s="7">
        <v>3010.3453325687678</v>
      </c>
      <c r="H683" s="7">
        <f t="shared" si="84"/>
        <v>72.017830922697797</v>
      </c>
      <c r="I683" s="7">
        <f t="shared" si="85"/>
        <v>156.50207245533488</v>
      </c>
      <c r="J683" s="7">
        <v>845.5564452235767</v>
      </c>
      <c r="K683" s="7">
        <f t="shared" si="86"/>
        <v>13.485748727648753</v>
      </c>
      <c r="L683" s="7">
        <f t="shared" si="87"/>
        <v>50.760514454421951</v>
      </c>
      <c r="M683" s="7">
        <v>954.82889168812051</v>
      </c>
      <c r="N683" s="7">
        <f t="shared" si="88"/>
        <v>76.14265483956305</v>
      </c>
      <c r="O683" s="7">
        <f t="shared" si="89"/>
        <v>28.822658627859976</v>
      </c>
    </row>
    <row r="684" spans="3:15" x14ac:dyDescent="0.2">
      <c r="C684">
        <v>665</v>
      </c>
      <c r="D684" s="7">
        <v>3629.390138868449</v>
      </c>
      <c r="E684" s="7">
        <f t="shared" si="82"/>
        <v>108.53439410491774</v>
      </c>
      <c r="F684" s="7">
        <f t="shared" si="83"/>
        <v>293.08232048200216</v>
      </c>
      <c r="G684" s="7">
        <v>3011.4341649850212</v>
      </c>
      <c r="H684" s="7">
        <f t="shared" si="84"/>
        <v>72.043879545096203</v>
      </c>
      <c r="I684" s="7">
        <f t="shared" si="85"/>
        <v>156.55867876154718</v>
      </c>
      <c r="J684" s="7">
        <v>1479.221584505106</v>
      </c>
      <c r="K684" s="7">
        <f t="shared" si="86"/>
        <v>23.59205078955512</v>
      </c>
      <c r="L684" s="7">
        <f t="shared" si="87"/>
        <v>88.800752505305041</v>
      </c>
      <c r="M684" s="7">
        <v>953.74005927186704</v>
      </c>
      <c r="N684" s="7">
        <f t="shared" si="88"/>
        <v>76.055826098235016</v>
      </c>
      <c r="O684" s="7">
        <f t="shared" si="89"/>
        <v>28.789790911654681</v>
      </c>
    </row>
    <row r="685" spans="3:15" x14ac:dyDescent="0.2">
      <c r="C685">
        <v>666</v>
      </c>
      <c r="D685" s="7">
        <v>3634.2863851849474</v>
      </c>
      <c r="E685" s="7">
        <f t="shared" si="82"/>
        <v>108.68081295409533</v>
      </c>
      <c r="F685" s="7">
        <f t="shared" si="83"/>
        <v>293.47770460362716</v>
      </c>
      <c r="G685" s="7">
        <v>3012.1683841034719</v>
      </c>
      <c r="H685" s="7">
        <f t="shared" si="84"/>
        <v>72.061444595776848</v>
      </c>
      <c r="I685" s="7">
        <f t="shared" si="85"/>
        <v>156.59684940344354</v>
      </c>
      <c r="J685" s="7">
        <v>1314.6812218331829</v>
      </c>
      <c r="K685" s="7">
        <f t="shared" si="86"/>
        <v>20.967802581071499</v>
      </c>
      <c r="L685" s="7">
        <f t="shared" si="87"/>
        <v>78.923051844486892</v>
      </c>
      <c r="M685" s="7">
        <v>953.00584015341678</v>
      </c>
      <c r="N685" s="7">
        <f t="shared" si="88"/>
        <v>75.99727592929959</v>
      </c>
      <c r="O685" s="7">
        <f t="shared" si="89"/>
        <v>28.767627624396241</v>
      </c>
    </row>
    <row r="686" spans="3:15" x14ac:dyDescent="0.2">
      <c r="C686">
        <v>667</v>
      </c>
      <c r="D686" s="7">
        <v>3639.167358580487</v>
      </c>
      <c r="E686" s="7">
        <f t="shared" si="82"/>
        <v>108.82677507716768</v>
      </c>
      <c r="F686" s="7">
        <f t="shared" si="83"/>
        <v>293.87185539873059</v>
      </c>
      <c r="G686" s="7">
        <v>3012.7635755691645</v>
      </c>
      <c r="H686" s="7">
        <f t="shared" si="84"/>
        <v>72.075683626056573</v>
      </c>
      <c r="I686" s="7">
        <f t="shared" si="85"/>
        <v>156.6277922646764</v>
      </c>
      <c r="J686" s="7">
        <v>1629.0884811484898</v>
      </c>
      <c r="K686" s="7">
        <f t="shared" si="86"/>
        <v>25.982272426610685</v>
      </c>
      <c r="L686" s="7">
        <f t="shared" si="87"/>
        <v>97.797574439876627</v>
      </c>
      <c r="M686" s="7">
        <v>952.41064868772423</v>
      </c>
      <c r="N686" s="7">
        <f t="shared" si="88"/>
        <v>75.949812495033839</v>
      </c>
      <c r="O686" s="7">
        <f t="shared" si="89"/>
        <v>28.749661054068085</v>
      </c>
    </row>
    <row r="687" spans="3:15" x14ac:dyDescent="0.2">
      <c r="C687">
        <v>668</v>
      </c>
      <c r="D687" s="7">
        <v>3644.0326413961752</v>
      </c>
      <c r="E687" s="7">
        <f t="shared" si="82"/>
        <v>108.97226798433539</v>
      </c>
      <c r="F687" s="7">
        <f t="shared" si="83"/>
        <v>294.26473914031362</v>
      </c>
      <c r="G687" s="7">
        <v>3013.3492817505039</v>
      </c>
      <c r="H687" s="7">
        <f t="shared" si="84"/>
        <v>72.089695735657997</v>
      </c>
      <c r="I687" s="7">
        <f t="shared" si="85"/>
        <v>156.65824200419229</v>
      </c>
      <c r="J687" s="7">
        <v>1273.006142350871</v>
      </c>
      <c r="K687" s="7">
        <f t="shared" si="86"/>
        <v>20.303128267159028</v>
      </c>
      <c r="L687" s="7">
        <f t="shared" si="87"/>
        <v>76.421210026118729</v>
      </c>
      <c r="M687" s="7">
        <v>951.82494250638456</v>
      </c>
      <c r="N687" s="7">
        <f t="shared" si="88"/>
        <v>75.903105463029078</v>
      </c>
      <c r="O687" s="7">
        <f t="shared" si="89"/>
        <v>28.731980808457653</v>
      </c>
    </row>
    <row r="688" spans="3:15" x14ac:dyDescent="0.2">
      <c r="C688">
        <v>669</v>
      </c>
      <c r="D688" s="7">
        <v>3648.8829307951523</v>
      </c>
      <c r="E688" s="7">
        <f t="shared" si="82"/>
        <v>109.11731252377848</v>
      </c>
      <c r="F688" s="7">
        <f t="shared" si="83"/>
        <v>294.65641212604135</v>
      </c>
      <c r="G688" s="7">
        <v>3014.3775751323592</v>
      </c>
      <c r="H688" s="7">
        <f t="shared" si="84"/>
        <v>72.114296055798079</v>
      </c>
      <c r="I688" s="7">
        <f t="shared" si="85"/>
        <v>156.71170100227178</v>
      </c>
      <c r="J688" s="7">
        <v>916.93879696996237</v>
      </c>
      <c r="K688" s="7">
        <f t="shared" si="86"/>
        <v>14.624223237160486</v>
      </c>
      <c r="L688" s="7">
        <f t="shared" si="87"/>
        <v>55.045745698392849</v>
      </c>
      <c r="M688" s="7">
        <v>950.79664912452904</v>
      </c>
      <c r="N688" s="7">
        <f t="shared" si="88"/>
        <v>75.82110439589546</v>
      </c>
      <c r="O688" s="7">
        <f t="shared" si="89"/>
        <v>28.700940535826071</v>
      </c>
    </row>
    <row r="689" spans="3:15" x14ac:dyDescent="0.2">
      <c r="C689">
        <v>670</v>
      </c>
      <c r="D689" s="7">
        <v>3653.7192575299296</v>
      </c>
      <c r="E689" s="7">
        <f t="shared" si="82"/>
        <v>109.2619395194357</v>
      </c>
      <c r="F689" s="7">
        <f t="shared" si="83"/>
        <v>295.04695759175411</v>
      </c>
      <c r="G689" s="7">
        <v>3015.8476747493946</v>
      </c>
      <c r="H689" s="7">
        <f t="shared" si="84"/>
        <v>72.149465903095575</v>
      </c>
      <c r="I689" s="7">
        <f t="shared" si="85"/>
        <v>156.78812865802698</v>
      </c>
      <c r="J689" s="7">
        <v>560.88541425325275</v>
      </c>
      <c r="K689" s="7">
        <f t="shared" si="86"/>
        <v>8.9455408971810648</v>
      </c>
      <c r="L689" s="7">
        <f t="shared" si="87"/>
        <v>33.671119578478994</v>
      </c>
      <c r="M689" s="7">
        <v>949.32654950749372</v>
      </c>
      <c r="N689" s="7">
        <f t="shared" si="88"/>
        <v>75.703871571570474</v>
      </c>
      <c r="O689" s="7">
        <f t="shared" si="89"/>
        <v>28.656563810551404</v>
      </c>
    </row>
    <row r="690" spans="3:15" x14ac:dyDescent="0.2">
      <c r="C690">
        <v>671</v>
      </c>
      <c r="D690" s="7">
        <v>3654.344148248289</v>
      </c>
      <c r="E690" s="7">
        <f t="shared" si="82"/>
        <v>109.28062644283162</v>
      </c>
      <c r="F690" s="7">
        <f t="shared" si="83"/>
        <v>295.0974190783337</v>
      </c>
      <c r="G690" s="7">
        <v>0</v>
      </c>
      <c r="H690" s="7">
        <f t="shared" si="84"/>
        <v>0</v>
      </c>
      <c r="I690" s="7">
        <f t="shared" si="85"/>
        <v>0</v>
      </c>
      <c r="J690" s="7">
        <v>209.04346755296183</v>
      </c>
      <c r="K690" s="7">
        <f t="shared" si="86"/>
        <v>3.3340265957410185</v>
      </c>
      <c r="L690" s="7">
        <f t="shared" si="87"/>
        <v>12.549314733824623</v>
      </c>
      <c r="M690" s="7">
        <v>0</v>
      </c>
      <c r="N690" s="7">
        <f t="shared" si="88"/>
        <v>0</v>
      </c>
      <c r="O690" s="7">
        <f t="shared" si="89"/>
        <v>0</v>
      </c>
    </row>
    <row r="691" spans="3:15" x14ac:dyDescent="0.2">
      <c r="C691">
        <v>672</v>
      </c>
      <c r="D691" s="7">
        <v>3512.1705598193189</v>
      </c>
      <c r="E691" s="7">
        <f t="shared" si="82"/>
        <v>105.02902391804184</v>
      </c>
      <c r="F691" s="7">
        <f t="shared" si="83"/>
        <v>283.61654664145453</v>
      </c>
      <c r="G691" s="7">
        <v>0</v>
      </c>
      <c r="H691" s="7">
        <f t="shared" si="84"/>
        <v>0</v>
      </c>
      <c r="I691" s="7">
        <f t="shared" si="85"/>
        <v>0</v>
      </c>
      <c r="J691">
        <v>0</v>
      </c>
      <c r="K691" s="7">
        <f t="shared" si="86"/>
        <v>0</v>
      </c>
      <c r="L691" s="7">
        <f t="shared" si="87"/>
        <v>0</v>
      </c>
      <c r="M691" s="7">
        <v>0</v>
      </c>
      <c r="N691" s="7">
        <f t="shared" si="88"/>
        <v>0</v>
      </c>
      <c r="O691" s="7">
        <f t="shared" si="89"/>
        <v>0</v>
      </c>
    </row>
    <row r="692" spans="3:15" x14ac:dyDescent="0.2">
      <c r="C692" s="3" t="s">
        <v>35</v>
      </c>
      <c r="D692" s="9">
        <f>SUM(D20:D691)</f>
        <v>2182261.1702704765</v>
      </c>
      <c r="E692" s="9"/>
      <c r="F692" s="9">
        <f t="shared" ref="F692:O692" si="90">SUM(F20:F691)</f>
        <v>176223.04111953219</v>
      </c>
      <c r="G692" s="9">
        <f t="shared" si="90"/>
        <v>879763.27907483291</v>
      </c>
      <c r="H692" s="9"/>
      <c r="I692" s="9">
        <f t="shared" si="90"/>
        <v>45737.203288841309</v>
      </c>
      <c r="J692" s="9">
        <f t="shared" si="90"/>
        <v>640290.51631481654</v>
      </c>
      <c r="K692" s="9"/>
      <c r="L692" s="9">
        <f t="shared" si="90"/>
        <v>38437.973232920856</v>
      </c>
      <c r="M692" s="9">
        <f t="shared" si="90"/>
        <v>341510.38199628983</v>
      </c>
      <c r="N692" s="9"/>
      <c r="O692" s="9">
        <f t="shared" si="90"/>
        <v>10308.90167215871</v>
      </c>
    </row>
  </sheetData>
  <mergeCells count="11">
    <mergeCell ref="D13:O13"/>
    <mergeCell ref="D14:I14"/>
    <mergeCell ref="J14:O14"/>
    <mergeCell ref="P14:Q14"/>
    <mergeCell ref="R14:S14"/>
    <mergeCell ref="V14:W14"/>
    <mergeCell ref="D15:F15"/>
    <mergeCell ref="G15:I15"/>
    <mergeCell ref="J15:L15"/>
    <mergeCell ref="M15:O15"/>
    <mergeCell ref="T14:U14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EBA8-F490-5449-9BED-EB79318515B5}">
  <dimension ref="A2:W692"/>
  <sheetViews>
    <sheetView topLeftCell="I5" zoomScale="197" zoomScaleNormal="197" workbookViewId="0">
      <selection activeCell="P18" sqref="P18"/>
    </sheetView>
  </sheetViews>
  <sheetFormatPr baseColWidth="10" defaultRowHeight="16" x14ac:dyDescent="0.2"/>
  <cols>
    <col min="4" max="4" width="13" bestFit="1" customWidth="1"/>
  </cols>
  <sheetData>
    <row r="2" spans="1:23" ht="18" x14ac:dyDescent="0.25">
      <c r="A2" s="4" t="s">
        <v>8</v>
      </c>
      <c r="B2" s="1" t="s">
        <v>7</v>
      </c>
      <c r="C2">
        <f>Winter!C2</f>
        <v>273</v>
      </c>
    </row>
    <row r="3" spans="1:23" ht="18" x14ac:dyDescent="0.25">
      <c r="A3" s="5" t="s">
        <v>9</v>
      </c>
      <c r="B3" s="1" t="s">
        <v>6</v>
      </c>
      <c r="C3">
        <f>Winter!C3</f>
        <v>4.18</v>
      </c>
    </row>
    <row r="4" spans="1:23" ht="18" x14ac:dyDescent="0.25">
      <c r="A4" s="5" t="s">
        <v>30</v>
      </c>
      <c r="B4" s="6" t="s">
        <v>11</v>
      </c>
      <c r="C4">
        <f>Winter!C4</f>
        <v>30</v>
      </c>
    </row>
    <row r="5" spans="1:23" ht="18" x14ac:dyDescent="0.25">
      <c r="A5" s="5" t="s">
        <v>31</v>
      </c>
      <c r="B5" s="6" t="s">
        <v>11</v>
      </c>
      <c r="C5">
        <f>Winter!C5</f>
        <v>5</v>
      </c>
    </row>
    <row r="6" spans="1:23" ht="18" x14ac:dyDescent="0.25">
      <c r="A6" s="5" t="s">
        <v>24</v>
      </c>
      <c r="B6" s="6" t="s">
        <v>11</v>
      </c>
      <c r="C6">
        <f>Winter!C6</f>
        <v>20</v>
      </c>
      <c r="D6" s="5">
        <f>C6+$C$2</f>
        <v>293</v>
      </c>
      <c r="E6" t="s">
        <v>7</v>
      </c>
      <c r="F6" s="8"/>
      <c r="H6" s="3"/>
      <c r="I6" s="3"/>
      <c r="J6" s="3"/>
    </row>
    <row r="7" spans="1:23" ht="18" x14ac:dyDescent="0.25">
      <c r="A7" s="5" t="s">
        <v>25</v>
      </c>
      <c r="B7" s="1" t="s">
        <v>11</v>
      </c>
      <c r="C7">
        <f>Winter!C7</f>
        <v>10</v>
      </c>
      <c r="D7" s="5">
        <f t="shared" ref="D7:D9" si="0">C7+$C$2</f>
        <v>283</v>
      </c>
      <c r="E7" s="8" t="s">
        <v>7</v>
      </c>
      <c r="F7" s="8" t="s">
        <v>34</v>
      </c>
      <c r="G7" s="5"/>
      <c r="H7" s="3"/>
      <c r="I7" s="3"/>
      <c r="J7" s="3"/>
    </row>
    <row r="8" spans="1:23" ht="18" x14ac:dyDescent="0.25">
      <c r="A8" s="5" t="s">
        <v>26</v>
      </c>
      <c r="B8" s="1" t="s">
        <v>11</v>
      </c>
      <c r="C8">
        <f>Winter!C8</f>
        <v>28</v>
      </c>
      <c r="D8" s="5">
        <f t="shared" si="0"/>
        <v>301</v>
      </c>
      <c r="E8" s="8" t="s">
        <v>7</v>
      </c>
      <c r="F8" s="5">
        <f>Winter!F8</f>
        <v>2</v>
      </c>
      <c r="G8" s="8" t="s">
        <v>7</v>
      </c>
      <c r="H8" s="3"/>
      <c r="I8" s="3"/>
      <c r="J8" s="3"/>
    </row>
    <row r="9" spans="1:23" ht="18" x14ac:dyDescent="0.25">
      <c r="A9" s="5" t="s">
        <v>27</v>
      </c>
      <c r="B9" s="1" t="s">
        <v>11</v>
      </c>
      <c r="C9">
        <f>Winter!C9</f>
        <v>10</v>
      </c>
      <c r="D9" s="5">
        <f t="shared" si="0"/>
        <v>283</v>
      </c>
      <c r="E9" s="8" t="s">
        <v>7</v>
      </c>
      <c r="F9" s="5">
        <f>Winter!F9</f>
        <v>5</v>
      </c>
      <c r="G9" s="8" t="s">
        <v>7</v>
      </c>
      <c r="H9" s="3"/>
      <c r="I9" s="3"/>
      <c r="J9" s="3"/>
    </row>
    <row r="10" spans="1:23" ht="18" x14ac:dyDescent="0.25">
      <c r="A10" s="5" t="s">
        <v>28</v>
      </c>
      <c r="B10" s="1" t="s">
        <v>11</v>
      </c>
      <c r="C10">
        <f>Winter!C10</f>
        <v>25</v>
      </c>
      <c r="D10" s="5">
        <f>C10+273</f>
        <v>298</v>
      </c>
      <c r="E10" s="8" t="s">
        <v>7</v>
      </c>
      <c r="F10" s="5">
        <f>Winter!F10</f>
        <v>5</v>
      </c>
      <c r="G10" s="8" t="s">
        <v>7</v>
      </c>
      <c r="H10" s="3"/>
      <c r="I10" s="3"/>
      <c r="J10" s="3"/>
    </row>
    <row r="11" spans="1:23" ht="18" x14ac:dyDescent="0.25">
      <c r="A11" s="5" t="s">
        <v>29</v>
      </c>
      <c r="B11" s="1" t="s">
        <v>11</v>
      </c>
      <c r="C11">
        <f>Winter!C11</f>
        <v>7</v>
      </c>
      <c r="D11" s="5">
        <f>C11+273</f>
        <v>280</v>
      </c>
      <c r="E11" s="8" t="s">
        <v>7</v>
      </c>
      <c r="F11" s="5">
        <f>Winter!F11</f>
        <v>2</v>
      </c>
      <c r="G11" s="8" t="s">
        <v>7</v>
      </c>
      <c r="H11" s="3"/>
      <c r="I11" s="3"/>
      <c r="J11" s="3"/>
    </row>
    <row r="12" spans="1:23" x14ac:dyDescent="0.2">
      <c r="A12" s="5"/>
      <c r="B12" s="1"/>
      <c r="E12" s="5"/>
      <c r="F12" s="5"/>
      <c r="G12" s="5"/>
    </row>
    <row r="13" spans="1:23" x14ac:dyDescent="0.2">
      <c r="D13" s="12" t="s">
        <v>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23" s="1" customFormat="1" x14ac:dyDescent="0.2">
      <c r="D14" s="14" t="s">
        <v>0</v>
      </c>
      <c r="E14" s="14"/>
      <c r="F14" s="14"/>
      <c r="G14" s="14"/>
      <c r="H14" s="14"/>
      <c r="I14" s="14"/>
      <c r="J14" s="12" t="s">
        <v>1</v>
      </c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</row>
    <row r="15" spans="1:23" s="1" customFormat="1" x14ac:dyDescent="0.2">
      <c r="D15" s="12" t="s">
        <v>32</v>
      </c>
      <c r="E15" s="12"/>
      <c r="F15" s="12"/>
      <c r="G15" s="12" t="s">
        <v>33</v>
      </c>
      <c r="H15" s="12"/>
      <c r="I15" s="12"/>
      <c r="J15" s="12" t="s">
        <v>32</v>
      </c>
      <c r="K15" s="12"/>
      <c r="L15" s="12"/>
      <c r="M15" s="12" t="s">
        <v>33</v>
      </c>
      <c r="N15" s="12"/>
      <c r="O15" s="12"/>
    </row>
    <row r="16" spans="1:23" s="1" customFormat="1" ht="18" x14ac:dyDescent="0.25">
      <c r="D16" s="1" t="s">
        <v>18</v>
      </c>
      <c r="E16" s="2" t="s">
        <v>13</v>
      </c>
      <c r="F16" s="2" t="s">
        <v>17</v>
      </c>
      <c r="G16" s="1" t="s">
        <v>19</v>
      </c>
      <c r="H16" s="2" t="s">
        <v>14</v>
      </c>
      <c r="I16" s="2" t="s">
        <v>20</v>
      </c>
      <c r="J16" s="2" t="s">
        <v>21</v>
      </c>
      <c r="K16" s="2" t="s">
        <v>15</v>
      </c>
      <c r="L16" s="2" t="s">
        <v>22</v>
      </c>
      <c r="M16" s="2" t="s">
        <v>23</v>
      </c>
      <c r="N16" s="2" t="s">
        <v>16</v>
      </c>
      <c r="O16" s="2" t="s">
        <v>20</v>
      </c>
      <c r="P16" s="2"/>
      <c r="Q16" s="2"/>
      <c r="R16" s="2"/>
      <c r="S16" s="2"/>
      <c r="T16" s="2"/>
      <c r="U16" s="2"/>
      <c r="V16" s="2"/>
      <c r="W16" s="2"/>
    </row>
    <row r="17" spans="3:23" x14ac:dyDescent="0.2">
      <c r="D17" s="1" t="s">
        <v>12</v>
      </c>
      <c r="E17" s="6" t="s">
        <v>5</v>
      </c>
      <c r="F17" s="6" t="s">
        <v>12</v>
      </c>
      <c r="G17" s="1" t="s">
        <v>12</v>
      </c>
      <c r="H17" s="6" t="s">
        <v>5</v>
      </c>
      <c r="I17" s="6" t="s">
        <v>12</v>
      </c>
      <c r="J17" s="1" t="s">
        <v>12</v>
      </c>
      <c r="K17" s="6" t="s">
        <v>5</v>
      </c>
      <c r="L17" s="6" t="s">
        <v>12</v>
      </c>
      <c r="M17" s="1" t="s">
        <v>12</v>
      </c>
      <c r="N17" s="6" t="s">
        <v>5</v>
      </c>
      <c r="O17" s="6" t="s">
        <v>12</v>
      </c>
      <c r="P17" s="6"/>
      <c r="Q17" s="6"/>
      <c r="R17" s="6"/>
      <c r="S17" s="6"/>
      <c r="T17" s="6"/>
      <c r="U17" s="6"/>
      <c r="V17" s="6"/>
      <c r="W17" s="6"/>
    </row>
    <row r="18" spans="3:23" x14ac:dyDescent="0.2">
      <c r="C18" s="3" t="s">
        <v>35</v>
      </c>
      <c r="D18" s="10">
        <f>D692</f>
        <v>1999013.7215437628</v>
      </c>
      <c r="E18" s="10"/>
      <c r="F18" s="10">
        <f t="shared" ref="F18:O18" si="1">F692</f>
        <v>161425.35185486282</v>
      </c>
      <c r="G18" s="10">
        <f t="shared" si="1"/>
        <v>0</v>
      </c>
      <c r="H18" s="10"/>
      <c r="I18" s="10">
        <f t="shared" si="1"/>
        <v>0</v>
      </c>
      <c r="J18" s="10">
        <f t="shared" si="1"/>
        <v>1028260.9548372098</v>
      </c>
      <c r="K18" s="10"/>
      <c r="L18" s="10">
        <f t="shared" si="1"/>
        <v>61728.64668677529</v>
      </c>
      <c r="M18" s="10">
        <f t="shared" si="1"/>
        <v>209555.26694969658</v>
      </c>
      <c r="N18" s="10"/>
      <c r="O18" s="10">
        <f t="shared" si="1"/>
        <v>6325.6778000116165</v>
      </c>
      <c r="P18" s="11">
        <f>O18+L18+I18+F18</f>
        <v>229479.67634164973</v>
      </c>
      <c r="Q18" s="6"/>
      <c r="R18" s="6"/>
      <c r="S18" s="6"/>
      <c r="T18" s="6"/>
      <c r="U18" s="6"/>
      <c r="V18" s="6"/>
      <c r="W18" s="6"/>
    </row>
    <row r="19" spans="3:23" x14ac:dyDescent="0.2">
      <c r="C19" s="1" t="s">
        <v>10</v>
      </c>
      <c r="D19" s="1"/>
      <c r="E19" s="6"/>
      <c r="F19" s="6"/>
      <c r="G19" s="1"/>
      <c r="H19" s="6"/>
      <c r="I19" s="6"/>
      <c r="J19" s="1"/>
      <c r="K19" s="6"/>
      <c r="L19" s="6"/>
      <c r="M19" s="1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3:23" x14ac:dyDescent="0.2">
      <c r="C20">
        <v>1</v>
      </c>
      <c r="D20" s="7">
        <v>2910.7959583306606</v>
      </c>
      <c r="E20" s="7">
        <f>D20/($C$3*($D$8-$D$6))</f>
        <v>87.045333682136985</v>
      </c>
      <c r="F20" s="7">
        <f>E20*$C$3*((($D$8)-($D$6))-$C$2*LN(($D$8)/($D$6)))</f>
        <v>235.05404524605862</v>
      </c>
      <c r="G20">
        <v>0</v>
      </c>
      <c r="H20" s="7">
        <f>G20/($C$3*($D$6-$D$9))</f>
        <v>0</v>
      </c>
      <c r="I20" s="7">
        <f>ABS(H20*$C$3*(($D$9-$D$6)-$C$2*(LN($D$9/$D$6))))</f>
        <v>0</v>
      </c>
      <c r="J20" s="7">
        <v>0</v>
      </c>
      <c r="K20" s="7">
        <f>J20/($C$3*($D$10-$D$7))</f>
        <v>0</v>
      </c>
      <c r="L20" s="7">
        <f>K20*$C$3*(($D$10-$D$7)-$C$2*LN($D$10/$D$7))</f>
        <v>0</v>
      </c>
      <c r="M20" s="7">
        <v>0</v>
      </c>
      <c r="N20" s="7">
        <f>M20/($C$3*($D$7-$D$11))</f>
        <v>0</v>
      </c>
      <c r="O20" s="7">
        <f>ABS(N20*$C$3*(($D$11-$D$7)-$C$2*LN($D$11/$D$7)))</f>
        <v>0</v>
      </c>
    </row>
    <row r="21" spans="3:23" x14ac:dyDescent="0.2">
      <c r="C21">
        <v>2</v>
      </c>
      <c r="D21" s="7">
        <v>2739.5726666641513</v>
      </c>
      <c r="E21" s="7">
        <f t="shared" ref="E21:E84" si="2">D21/($C$3*($D$8-$D$6))</f>
        <v>81.925019936128933</v>
      </c>
      <c r="F21" s="7">
        <f t="shared" ref="F21:F84" si="3">E21*$C$3*((($D$8)-($D$6))-$C$2*LN(($D$8)/($D$6)))</f>
        <v>221.22733670217281</v>
      </c>
      <c r="G21">
        <v>0</v>
      </c>
      <c r="H21" s="7">
        <f t="shared" ref="H21:H84" si="4">G21/($C$3*($D$6-$D$9))</f>
        <v>0</v>
      </c>
      <c r="I21" s="7">
        <f t="shared" ref="I21:I84" si="5">ABS(H21*$C$3*(($D$9-$D$6)-$C$2*(LN($D$9/$D$6))))</f>
        <v>0</v>
      </c>
      <c r="J21" s="7">
        <v>0</v>
      </c>
      <c r="K21" s="7">
        <f t="shared" ref="K21:K84" si="6">J21/($C$3*($D$10-$D$7))</f>
        <v>0</v>
      </c>
      <c r="L21" s="7">
        <f t="shared" ref="L21:L84" si="7">K21*$C$3*(($D$10-$D$7)-$C$2*LN($D$10/$D$7))</f>
        <v>0</v>
      </c>
      <c r="M21" s="7">
        <v>0</v>
      </c>
      <c r="N21" s="7">
        <f t="shared" ref="N21:N84" si="8">M21/($C$3*($D$7-$D$11))</f>
        <v>0</v>
      </c>
      <c r="O21" s="7">
        <f t="shared" ref="O21:O84" si="9">ABS(N21*$C$3*(($D$11-$D$7)-$C$2*LN($D$11/$D$7)))</f>
        <v>0</v>
      </c>
    </row>
    <row r="22" spans="3:23" x14ac:dyDescent="0.2">
      <c r="C22">
        <v>3</v>
      </c>
      <c r="D22" s="7">
        <v>2910.7959583306606</v>
      </c>
      <c r="E22" s="7">
        <f t="shared" si="2"/>
        <v>87.045333682136985</v>
      </c>
      <c r="F22" s="7">
        <f t="shared" si="3"/>
        <v>235.05404524605862</v>
      </c>
      <c r="G22">
        <v>0</v>
      </c>
      <c r="H22" s="7">
        <f t="shared" si="4"/>
        <v>0</v>
      </c>
      <c r="I22" s="7">
        <f t="shared" si="5"/>
        <v>0</v>
      </c>
      <c r="J22" s="7">
        <v>0</v>
      </c>
      <c r="K22" s="7">
        <f t="shared" si="6"/>
        <v>0</v>
      </c>
      <c r="L22" s="7">
        <f t="shared" si="7"/>
        <v>0</v>
      </c>
      <c r="M22" s="7">
        <v>0</v>
      </c>
      <c r="N22" s="7">
        <f t="shared" si="8"/>
        <v>0</v>
      </c>
      <c r="O22" s="7">
        <f t="shared" si="9"/>
        <v>0</v>
      </c>
    </row>
    <row r="23" spans="3:23" x14ac:dyDescent="0.2">
      <c r="C23">
        <v>4</v>
      </c>
      <c r="D23" s="7">
        <v>3082.0192499971704</v>
      </c>
      <c r="E23" s="7">
        <f t="shared" si="2"/>
        <v>92.16564742814505</v>
      </c>
      <c r="F23" s="7">
        <f t="shared" si="3"/>
        <v>248.88075378994444</v>
      </c>
      <c r="G23">
        <v>0</v>
      </c>
      <c r="H23" s="7">
        <f t="shared" si="4"/>
        <v>0</v>
      </c>
      <c r="I23" s="7">
        <f t="shared" si="5"/>
        <v>0</v>
      </c>
      <c r="J23" s="7">
        <v>0</v>
      </c>
      <c r="K23" s="7">
        <f t="shared" si="6"/>
        <v>0</v>
      </c>
      <c r="L23" s="7">
        <f t="shared" si="7"/>
        <v>0</v>
      </c>
      <c r="M23" s="7">
        <v>0</v>
      </c>
      <c r="N23" s="7">
        <f t="shared" si="8"/>
        <v>0</v>
      </c>
      <c r="O23" s="7">
        <f t="shared" si="9"/>
        <v>0</v>
      </c>
    </row>
    <row r="24" spans="3:23" x14ac:dyDescent="0.2">
      <c r="C24">
        <v>5</v>
      </c>
      <c r="D24" s="7">
        <v>3510.0774791634435</v>
      </c>
      <c r="E24" s="7">
        <f t="shared" si="2"/>
        <v>104.96643179316519</v>
      </c>
      <c r="F24" s="7">
        <f t="shared" si="3"/>
        <v>283.44752514965887</v>
      </c>
      <c r="G24">
        <v>0</v>
      </c>
      <c r="H24" s="7">
        <f t="shared" si="4"/>
        <v>0</v>
      </c>
      <c r="I24" s="7">
        <f t="shared" si="5"/>
        <v>0</v>
      </c>
      <c r="J24" s="7">
        <v>0</v>
      </c>
      <c r="K24" s="7">
        <f t="shared" si="6"/>
        <v>0</v>
      </c>
      <c r="L24" s="7">
        <f t="shared" si="7"/>
        <v>0</v>
      </c>
      <c r="M24" s="7">
        <v>0</v>
      </c>
      <c r="N24" s="7">
        <f t="shared" si="8"/>
        <v>0</v>
      </c>
      <c r="O24" s="7">
        <f t="shared" si="9"/>
        <v>0</v>
      </c>
    </row>
    <row r="25" spans="3:23" x14ac:dyDescent="0.2">
      <c r="C25">
        <v>6</v>
      </c>
      <c r="D25" s="7">
        <v>3720.8568663743704</v>
      </c>
      <c r="E25" s="7">
        <f t="shared" si="2"/>
        <v>111.26964313320487</v>
      </c>
      <c r="F25" s="7">
        <f t="shared" si="3"/>
        <v>300.46848722589715</v>
      </c>
      <c r="G25">
        <v>0</v>
      </c>
      <c r="H25" s="7">
        <f t="shared" si="4"/>
        <v>0</v>
      </c>
      <c r="I25" s="7">
        <f t="shared" si="5"/>
        <v>0</v>
      </c>
      <c r="J25" s="7">
        <v>46.055550288836912</v>
      </c>
      <c r="K25" s="7">
        <f t="shared" si="6"/>
        <v>0.73453828211861105</v>
      </c>
      <c r="L25" s="7">
        <f t="shared" si="7"/>
        <v>2.7648106041279306</v>
      </c>
      <c r="M25" s="7">
        <v>0</v>
      </c>
      <c r="N25" s="7">
        <f t="shared" si="8"/>
        <v>0</v>
      </c>
      <c r="O25" s="7">
        <f t="shared" si="9"/>
        <v>0</v>
      </c>
    </row>
    <row r="26" spans="3:23" x14ac:dyDescent="0.2">
      <c r="C26">
        <v>7</v>
      </c>
      <c r="D26" s="7">
        <v>3713.4860176655607</v>
      </c>
      <c r="E26" s="7">
        <f t="shared" si="2"/>
        <v>111.04922301631463</v>
      </c>
      <c r="F26" s="7">
        <f t="shared" si="3"/>
        <v>299.87327277916</v>
      </c>
      <c r="G26">
        <v>0</v>
      </c>
      <c r="H26" s="7">
        <f t="shared" si="4"/>
        <v>0</v>
      </c>
      <c r="I26" s="7">
        <f t="shared" si="5"/>
        <v>0</v>
      </c>
      <c r="J26" s="7">
        <v>310.26133649741041</v>
      </c>
      <c r="K26" s="7">
        <f t="shared" si="6"/>
        <v>4.948346674599847</v>
      </c>
      <c r="L26" s="7">
        <f t="shared" si="7"/>
        <v>18.625634213882449</v>
      </c>
      <c r="M26" s="7">
        <v>680.37424334317575</v>
      </c>
      <c r="N26" s="7">
        <f t="shared" si="8"/>
        <v>54.256319245867289</v>
      </c>
      <c r="O26" s="7">
        <f t="shared" si="9"/>
        <v>20.537914935102574</v>
      </c>
    </row>
    <row r="27" spans="3:23" x14ac:dyDescent="0.2">
      <c r="C27">
        <v>8</v>
      </c>
      <c r="D27" s="7">
        <v>3706.1516477278951</v>
      </c>
      <c r="E27" s="7">
        <f t="shared" si="2"/>
        <v>110.8298937717672</v>
      </c>
      <c r="F27" s="7">
        <f t="shared" si="3"/>
        <v>299.28100408432232</v>
      </c>
      <c r="G27">
        <v>0</v>
      </c>
      <c r="H27" s="7">
        <f t="shared" si="4"/>
        <v>0</v>
      </c>
      <c r="I27" s="7">
        <f t="shared" si="5"/>
        <v>0</v>
      </c>
      <c r="J27" s="7">
        <v>574.43064393483974</v>
      </c>
      <c r="K27" s="7">
        <f t="shared" si="6"/>
        <v>9.1615732684982412</v>
      </c>
      <c r="L27" s="7">
        <f t="shared" si="7"/>
        <v>34.484267927030537</v>
      </c>
      <c r="M27" s="7">
        <v>680.37424334317575</v>
      </c>
      <c r="N27" s="7">
        <f t="shared" si="8"/>
        <v>54.256319245867289</v>
      </c>
      <c r="O27" s="7">
        <f t="shared" si="9"/>
        <v>20.537914935102574</v>
      </c>
    </row>
    <row r="28" spans="3:23" x14ac:dyDescent="0.2">
      <c r="C28">
        <v>9</v>
      </c>
      <c r="D28" s="7">
        <v>3698.8536356679028</v>
      </c>
      <c r="E28" s="7">
        <f t="shared" si="2"/>
        <v>110.61165178432725</v>
      </c>
      <c r="F28" s="7">
        <f t="shared" si="3"/>
        <v>298.69167137893425</v>
      </c>
      <c r="G28">
        <v>0</v>
      </c>
      <c r="H28" s="7">
        <f t="shared" si="4"/>
        <v>0</v>
      </c>
      <c r="I28" s="7">
        <f t="shared" si="5"/>
        <v>0</v>
      </c>
      <c r="J28" s="7">
        <v>838.56359349459626</v>
      </c>
      <c r="K28" s="7">
        <f t="shared" si="6"/>
        <v>13.374219991939336</v>
      </c>
      <c r="L28" s="7">
        <f t="shared" si="7"/>
        <v>50.340719001059064</v>
      </c>
      <c r="M28" s="7">
        <v>0</v>
      </c>
      <c r="N28" s="7">
        <f t="shared" si="8"/>
        <v>0</v>
      </c>
      <c r="O28" s="7">
        <f t="shared" si="9"/>
        <v>0</v>
      </c>
    </row>
    <row r="29" spans="3:23" x14ac:dyDescent="0.2">
      <c r="C29">
        <v>10</v>
      </c>
      <c r="D29" s="7">
        <v>3691.5918609166015</v>
      </c>
      <c r="E29" s="7">
        <f t="shared" si="2"/>
        <v>110.39449344846297</v>
      </c>
      <c r="F29" s="7">
        <f t="shared" si="3"/>
        <v>298.10526492674927</v>
      </c>
      <c r="G29">
        <v>0</v>
      </c>
      <c r="H29" s="7">
        <f t="shared" si="4"/>
        <v>0</v>
      </c>
      <c r="I29" s="7">
        <f t="shared" si="5"/>
        <v>0</v>
      </c>
      <c r="J29" s="7">
        <v>1102.6603057456618</v>
      </c>
      <c r="K29" s="7">
        <f t="shared" si="6"/>
        <v>17.586288767873395</v>
      </c>
      <c r="L29" s="7">
        <f t="shared" si="7"/>
        <v>66.194994673975103</v>
      </c>
      <c r="M29" s="7">
        <v>0</v>
      </c>
      <c r="N29" s="7">
        <f t="shared" si="8"/>
        <v>0</v>
      </c>
      <c r="O29" s="7">
        <f t="shared" si="9"/>
        <v>0</v>
      </c>
    </row>
    <row r="30" spans="3:23" x14ac:dyDescent="0.2">
      <c r="C30">
        <v>11</v>
      </c>
      <c r="D30" s="7">
        <v>3684.3662032287643</v>
      </c>
      <c r="E30" s="7">
        <f t="shared" si="2"/>
        <v>110.17841516832431</v>
      </c>
      <c r="F30" s="7">
        <f t="shared" si="3"/>
        <v>297.52177501766494</v>
      </c>
      <c r="G30">
        <v>0</v>
      </c>
      <c r="H30" s="7">
        <f t="shared" si="4"/>
        <v>0</v>
      </c>
      <c r="I30" s="7">
        <f t="shared" si="5"/>
        <v>0</v>
      </c>
      <c r="J30" s="7">
        <v>1366.7209009332632</v>
      </c>
      <c r="K30" s="7">
        <f t="shared" si="6"/>
        <v>21.797781514087134</v>
      </c>
      <c r="L30" s="7">
        <f t="shared" si="7"/>
        <v>82.047102164350093</v>
      </c>
      <c r="M30" s="7">
        <v>0</v>
      </c>
      <c r="N30" s="7">
        <f t="shared" si="8"/>
        <v>0</v>
      </c>
      <c r="O30" s="7">
        <f t="shared" si="9"/>
        <v>0</v>
      </c>
    </row>
    <row r="31" spans="3:23" x14ac:dyDescent="0.2">
      <c r="C31">
        <v>12</v>
      </c>
      <c r="D31" s="7">
        <v>3677.176542682188</v>
      </c>
      <c r="E31" s="7">
        <f t="shared" si="2"/>
        <v>109.96341335772094</v>
      </c>
      <c r="F31" s="7">
        <f t="shared" si="3"/>
        <v>296.94119196766371</v>
      </c>
      <c r="G31">
        <v>0</v>
      </c>
      <c r="H31" s="7">
        <f t="shared" si="4"/>
        <v>0</v>
      </c>
      <c r="I31" s="7">
        <f t="shared" si="5"/>
        <v>0</v>
      </c>
      <c r="J31" s="7">
        <v>1630.7454989796029</v>
      </c>
      <c r="K31" s="7">
        <f t="shared" si="6"/>
        <v>26.008700143215357</v>
      </c>
      <c r="L31" s="7">
        <f t="shared" si="7"/>
        <v>97.897048671363564</v>
      </c>
      <c r="M31" s="7">
        <v>0</v>
      </c>
      <c r="N31" s="7">
        <f t="shared" si="8"/>
        <v>0</v>
      </c>
      <c r="O31" s="7">
        <f t="shared" si="9"/>
        <v>0</v>
      </c>
    </row>
    <row r="32" spans="3:23" x14ac:dyDescent="0.2">
      <c r="C32">
        <v>13</v>
      </c>
      <c r="D32" s="7">
        <v>3670.0227596769773</v>
      </c>
      <c r="E32" s="7">
        <f t="shared" si="2"/>
        <v>109.749484440101</v>
      </c>
      <c r="F32" s="7">
        <f t="shared" si="3"/>
        <v>296.36350611875537</v>
      </c>
      <c r="G32">
        <v>0</v>
      </c>
      <c r="H32" s="7">
        <f t="shared" si="4"/>
        <v>0</v>
      </c>
      <c r="I32" s="7">
        <f t="shared" si="5"/>
        <v>0</v>
      </c>
      <c r="J32" s="7">
        <v>1894.7342194845796</v>
      </c>
      <c r="K32" s="7">
        <f t="shared" si="6"/>
        <v>30.219046562752467</v>
      </c>
      <c r="L32" s="7">
        <f t="shared" si="7"/>
        <v>113.74484137484657</v>
      </c>
      <c r="M32" s="7">
        <v>0</v>
      </c>
      <c r="N32" s="7">
        <f t="shared" si="8"/>
        <v>0</v>
      </c>
      <c r="O32" s="7">
        <f t="shared" si="9"/>
        <v>0</v>
      </c>
    </row>
    <row r="33" spans="3:15" x14ac:dyDescent="0.2">
      <c r="C33">
        <v>14</v>
      </c>
      <c r="D33" s="7">
        <v>3662.9047349348284</v>
      </c>
      <c r="E33" s="7">
        <f t="shared" si="2"/>
        <v>109.53662484852957</v>
      </c>
      <c r="F33" s="7">
        <f t="shared" si="3"/>
        <v>295.78870783891881</v>
      </c>
      <c r="G33">
        <v>0</v>
      </c>
      <c r="H33" s="7">
        <f t="shared" si="4"/>
        <v>0</v>
      </c>
      <c r="I33" s="7">
        <f t="shared" si="5"/>
        <v>0</v>
      </c>
      <c r="J33" s="7">
        <v>2158.6871817264928</v>
      </c>
      <c r="K33" s="7">
        <f t="shared" si="6"/>
        <v>34.428822675063685</v>
      </c>
      <c r="L33" s="7">
        <f t="shared" si="7"/>
        <v>129.59048743532384</v>
      </c>
      <c r="M33" s="7">
        <v>0</v>
      </c>
      <c r="N33" s="7">
        <f t="shared" si="8"/>
        <v>0</v>
      </c>
      <c r="O33" s="7">
        <f t="shared" si="9"/>
        <v>0</v>
      </c>
    </row>
    <row r="34" spans="3:15" x14ac:dyDescent="0.2">
      <c r="C34">
        <v>15</v>
      </c>
      <c r="D34" s="7">
        <v>3655.8223494982994</v>
      </c>
      <c r="E34" s="7">
        <f t="shared" si="2"/>
        <v>109.32483102566685</v>
      </c>
      <c r="F34" s="7">
        <f t="shared" si="3"/>
        <v>295.21678752204349</v>
      </c>
      <c r="G34">
        <v>0</v>
      </c>
      <c r="H34" s="7">
        <f t="shared" si="4"/>
        <v>0</v>
      </c>
      <c r="I34" s="7">
        <f t="shared" si="5"/>
        <v>0</v>
      </c>
      <c r="J34" s="7">
        <v>1994.546275496512</v>
      </c>
      <c r="K34" s="7">
        <f t="shared" si="6"/>
        <v>31.810945382719492</v>
      </c>
      <c r="L34" s="7">
        <f t="shared" si="7"/>
        <v>119.73676697666683</v>
      </c>
      <c r="M34" s="7">
        <v>0</v>
      </c>
      <c r="N34" s="7">
        <f t="shared" si="8"/>
        <v>0</v>
      </c>
      <c r="O34" s="7">
        <f t="shared" si="9"/>
        <v>0</v>
      </c>
    </row>
    <row r="35" spans="3:15" x14ac:dyDescent="0.2">
      <c r="C35">
        <v>16</v>
      </c>
      <c r="D35" s="7">
        <v>3648.7754847300939</v>
      </c>
      <c r="E35" s="7">
        <f t="shared" si="2"/>
        <v>109.11409942374684</v>
      </c>
      <c r="F35" s="7">
        <f t="shared" si="3"/>
        <v>294.6477355878713</v>
      </c>
      <c r="G35">
        <v>0</v>
      </c>
      <c r="H35" s="7">
        <f t="shared" si="4"/>
        <v>0</v>
      </c>
      <c r="I35" s="7">
        <f t="shared" si="5"/>
        <v>0</v>
      </c>
      <c r="J35" s="7">
        <v>2229.8908624867299</v>
      </c>
      <c r="K35" s="7">
        <f t="shared" si="6"/>
        <v>35.564447567571456</v>
      </c>
      <c r="L35" s="7">
        <f t="shared" si="7"/>
        <v>133.86499268787665</v>
      </c>
      <c r="M35" s="7">
        <v>680.37424334317575</v>
      </c>
      <c r="N35" s="7">
        <f t="shared" si="8"/>
        <v>54.256319245867289</v>
      </c>
      <c r="O35" s="7">
        <f t="shared" si="9"/>
        <v>20.537914935102574</v>
      </c>
    </row>
    <row r="36" spans="3:15" x14ac:dyDescent="0.2">
      <c r="C36">
        <v>17</v>
      </c>
      <c r="D36" s="7">
        <v>3642.5574547146748</v>
      </c>
      <c r="E36" s="7">
        <f t="shared" si="2"/>
        <v>108.92815355008</v>
      </c>
      <c r="F36" s="7">
        <f t="shared" si="3"/>
        <v>294.14561413054184</v>
      </c>
      <c r="G36">
        <v>0</v>
      </c>
      <c r="H36" s="7">
        <f t="shared" si="4"/>
        <v>0</v>
      </c>
      <c r="I36" s="7">
        <f t="shared" si="5"/>
        <v>0</v>
      </c>
      <c r="J36" s="7">
        <v>3035.1509202791935</v>
      </c>
      <c r="K36" s="7">
        <f t="shared" si="6"/>
        <v>48.40751069025827</v>
      </c>
      <c r="L36" s="7">
        <f t="shared" si="7"/>
        <v>182.20643107917761</v>
      </c>
      <c r="M36" s="7">
        <v>680.37424334317575</v>
      </c>
      <c r="N36" s="7">
        <f t="shared" si="8"/>
        <v>54.256319245867289</v>
      </c>
      <c r="O36" s="7">
        <f t="shared" si="9"/>
        <v>20.537914935102574</v>
      </c>
    </row>
    <row r="37" spans="3:15" x14ac:dyDescent="0.2">
      <c r="C37">
        <v>18</v>
      </c>
      <c r="D37" s="7">
        <v>3636.4612821459596</v>
      </c>
      <c r="E37" s="7">
        <f t="shared" si="2"/>
        <v>108.74585173881459</v>
      </c>
      <c r="F37" s="7">
        <f t="shared" si="3"/>
        <v>293.65333296645218</v>
      </c>
      <c r="G37">
        <v>0</v>
      </c>
      <c r="H37" s="7">
        <f t="shared" si="4"/>
        <v>0</v>
      </c>
      <c r="I37" s="7">
        <f t="shared" si="5"/>
        <v>0</v>
      </c>
      <c r="J37" s="7">
        <v>2870.023801181399</v>
      </c>
      <c r="K37" s="7">
        <f t="shared" si="6"/>
        <v>45.77390432506219</v>
      </c>
      <c r="L37" s="7">
        <f t="shared" si="7"/>
        <v>172.29350620807179</v>
      </c>
      <c r="M37" s="7">
        <v>680.37424334317575</v>
      </c>
      <c r="N37" s="7">
        <f t="shared" si="8"/>
        <v>54.256319245867289</v>
      </c>
      <c r="O37" s="7">
        <f t="shared" si="9"/>
        <v>20.537914935102574</v>
      </c>
    </row>
    <row r="38" spans="3:15" x14ac:dyDescent="0.2">
      <c r="C38">
        <v>19</v>
      </c>
      <c r="D38" s="7">
        <v>3630.3986087332264</v>
      </c>
      <c r="E38" s="7">
        <f t="shared" si="2"/>
        <v>108.56455169656779</v>
      </c>
      <c r="F38" s="7">
        <f t="shared" si="3"/>
        <v>293.16375694289405</v>
      </c>
      <c r="G38">
        <v>0</v>
      </c>
      <c r="H38" s="7">
        <f t="shared" si="4"/>
        <v>0</v>
      </c>
      <c r="I38" s="7">
        <f t="shared" si="5"/>
        <v>0</v>
      </c>
      <c r="J38" s="7">
        <v>3218.5330579271517</v>
      </c>
      <c r="K38" s="7">
        <f t="shared" si="6"/>
        <v>51.332265676669088</v>
      </c>
      <c r="L38" s="7">
        <f t="shared" si="7"/>
        <v>193.21524273373328</v>
      </c>
      <c r="M38" s="7">
        <v>680.37424334317575</v>
      </c>
      <c r="N38" s="7">
        <f t="shared" si="8"/>
        <v>54.256319245867289</v>
      </c>
      <c r="O38" s="7">
        <f t="shared" si="9"/>
        <v>20.537914935102574</v>
      </c>
    </row>
    <row r="39" spans="3:15" x14ac:dyDescent="0.2">
      <c r="C39">
        <v>20</v>
      </c>
      <c r="D39" s="7">
        <v>3624.3693192063956</v>
      </c>
      <c r="E39" s="7">
        <f t="shared" si="2"/>
        <v>108.38424997626782</v>
      </c>
      <c r="F39" s="7">
        <f t="shared" si="3"/>
        <v>292.67687675152052</v>
      </c>
      <c r="G39">
        <v>0</v>
      </c>
      <c r="H39" s="7">
        <f t="shared" si="4"/>
        <v>0</v>
      </c>
      <c r="I39" s="7">
        <f t="shared" si="5"/>
        <v>0</v>
      </c>
      <c r="J39" s="7">
        <v>2882.1157641209629</v>
      </c>
      <c r="K39" s="7">
        <f t="shared" si="6"/>
        <v>45.966758598420462</v>
      </c>
      <c r="L39" s="7">
        <f t="shared" si="7"/>
        <v>173.01941192736857</v>
      </c>
      <c r="M39" s="7">
        <v>680.37424334317575</v>
      </c>
      <c r="N39" s="7">
        <f t="shared" si="8"/>
        <v>54.256319245867289</v>
      </c>
      <c r="O39" s="7">
        <f t="shared" si="9"/>
        <v>20.537914935102574</v>
      </c>
    </row>
    <row r="40" spans="3:15" x14ac:dyDescent="0.2">
      <c r="C40">
        <v>21</v>
      </c>
      <c r="D40" s="7">
        <v>3618.3732986128766</v>
      </c>
      <c r="E40" s="7">
        <f t="shared" si="2"/>
        <v>108.20494314033722</v>
      </c>
      <c r="F40" s="7">
        <f t="shared" si="3"/>
        <v>292.19268310962275</v>
      </c>
      <c r="G40">
        <v>0</v>
      </c>
      <c r="H40" s="7">
        <f t="shared" si="4"/>
        <v>0</v>
      </c>
      <c r="I40" s="7">
        <f t="shared" si="5"/>
        <v>0</v>
      </c>
      <c r="J40" s="7">
        <v>3401.7816597140104</v>
      </c>
      <c r="K40" s="7">
        <f t="shared" si="6"/>
        <v>54.254890904529674</v>
      </c>
      <c r="L40" s="7">
        <f t="shared" si="7"/>
        <v>204.2160379524309</v>
      </c>
      <c r="M40" s="7">
        <v>680.37424334317575</v>
      </c>
      <c r="N40" s="7">
        <f t="shared" si="8"/>
        <v>54.256319245867289</v>
      </c>
      <c r="O40" s="7">
        <f t="shared" si="9"/>
        <v>20.537914935102574</v>
      </c>
    </row>
    <row r="41" spans="3:15" x14ac:dyDescent="0.2">
      <c r="C41">
        <v>22</v>
      </c>
      <c r="D41" s="7">
        <v>3612.4104323168526</v>
      </c>
      <c r="E41" s="7">
        <f t="shared" si="2"/>
        <v>108.02662776067143</v>
      </c>
      <c r="F41" s="7">
        <f t="shared" si="3"/>
        <v>291.71116676007222</v>
      </c>
      <c r="G41">
        <v>0</v>
      </c>
      <c r="H41" s="7">
        <f t="shared" si="4"/>
        <v>0</v>
      </c>
      <c r="I41" s="7">
        <f t="shared" si="5"/>
        <v>0</v>
      </c>
      <c r="J41" s="7">
        <v>2551.6280676774873</v>
      </c>
      <c r="K41" s="7">
        <f t="shared" si="6"/>
        <v>40.695822450996609</v>
      </c>
      <c r="L41" s="7">
        <f t="shared" si="7"/>
        <v>153.17954720031074</v>
      </c>
      <c r="M41" s="7">
        <v>680.37424334317575</v>
      </c>
      <c r="N41" s="7">
        <f t="shared" si="8"/>
        <v>54.256319245867289</v>
      </c>
      <c r="O41" s="7">
        <f t="shared" si="9"/>
        <v>20.537914935102574</v>
      </c>
    </row>
    <row r="42" spans="3:15" x14ac:dyDescent="0.2">
      <c r="C42">
        <v>23</v>
      </c>
      <c r="D42" s="7">
        <v>3605.951500723701</v>
      </c>
      <c r="E42" s="7">
        <f t="shared" si="2"/>
        <v>107.83347789245518</v>
      </c>
      <c r="F42" s="7">
        <f t="shared" si="3"/>
        <v>291.18959189853211</v>
      </c>
      <c r="G42">
        <v>0</v>
      </c>
      <c r="H42" s="7">
        <f t="shared" si="4"/>
        <v>0</v>
      </c>
      <c r="I42" s="7">
        <f t="shared" si="5"/>
        <v>0</v>
      </c>
      <c r="J42" s="7">
        <v>1701.9705409380899</v>
      </c>
      <c r="K42" s="7">
        <f t="shared" si="6"/>
        <v>27.14466572469043</v>
      </c>
      <c r="L42" s="7">
        <f t="shared" si="7"/>
        <v>102.17283628113648</v>
      </c>
      <c r="M42" s="7">
        <v>0</v>
      </c>
      <c r="N42" s="7">
        <f t="shared" si="8"/>
        <v>0</v>
      </c>
      <c r="O42" s="7">
        <f t="shared" si="9"/>
        <v>0</v>
      </c>
    </row>
    <row r="43" spans="3:15" x14ac:dyDescent="0.2">
      <c r="C43">
        <v>24</v>
      </c>
      <c r="D43" s="7">
        <v>3599.1740942185033</v>
      </c>
      <c r="E43" s="7">
        <f t="shared" si="2"/>
        <v>107.63080425294568</v>
      </c>
      <c r="F43" s="7">
        <f t="shared" si="3"/>
        <v>290.64229939224555</v>
      </c>
      <c r="G43">
        <v>0</v>
      </c>
      <c r="H43" s="7">
        <f t="shared" si="4"/>
        <v>0</v>
      </c>
      <c r="I43" s="7">
        <f t="shared" si="5"/>
        <v>0</v>
      </c>
      <c r="J43" s="7">
        <v>852.63148911074131</v>
      </c>
      <c r="K43" s="7">
        <f t="shared" si="6"/>
        <v>13.598588343074026</v>
      </c>
      <c r="L43" s="7">
        <f t="shared" si="7"/>
        <v>51.185244074222936</v>
      </c>
      <c r="M43" s="7">
        <v>0</v>
      </c>
      <c r="N43" s="7">
        <f t="shared" si="8"/>
        <v>0</v>
      </c>
      <c r="O43" s="7">
        <f t="shared" si="9"/>
        <v>0</v>
      </c>
    </row>
    <row r="44" spans="3:15" x14ac:dyDescent="0.2">
      <c r="C44">
        <v>25</v>
      </c>
      <c r="D44" s="7">
        <v>2910.7959583306606</v>
      </c>
      <c r="E44" s="7">
        <f t="shared" si="2"/>
        <v>87.045333682136985</v>
      </c>
      <c r="F44" s="7">
        <f t="shared" si="3"/>
        <v>235.05404524605862</v>
      </c>
      <c r="G44">
        <v>0</v>
      </c>
      <c r="H44" s="7">
        <f t="shared" si="4"/>
        <v>0</v>
      </c>
      <c r="I44" s="7">
        <f t="shared" si="5"/>
        <v>0</v>
      </c>
      <c r="J44" s="7">
        <v>0</v>
      </c>
      <c r="K44" s="7">
        <f t="shared" si="6"/>
        <v>0</v>
      </c>
      <c r="L44" s="7">
        <f t="shared" si="7"/>
        <v>0</v>
      </c>
      <c r="M44" s="7">
        <v>0</v>
      </c>
      <c r="N44" s="7">
        <f t="shared" si="8"/>
        <v>0</v>
      </c>
      <c r="O44" s="7">
        <f t="shared" si="9"/>
        <v>0</v>
      </c>
    </row>
    <row r="45" spans="3:15" x14ac:dyDescent="0.2">
      <c r="C45">
        <v>26</v>
      </c>
      <c r="D45" s="7">
        <v>2739.5726666641513</v>
      </c>
      <c r="E45" s="7">
        <f t="shared" si="2"/>
        <v>81.925019936128933</v>
      </c>
      <c r="F45" s="7">
        <f t="shared" si="3"/>
        <v>221.22733670217281</v>
      </c>
      <c r="G45">
        <v>0</v>
      </c>
      <c r="H45" s="7">
        <f t="shared" si="4"/>
        <v>0</v>
      </c>
      <c r="I45" s="7">
        <f t="shared" si="5"/>
        <v>0</v>
      </c>
      <c r="J45" s="7">
        <v>0</v>
      </c>
      <c r="K45" s="7">
        <f t="shared" si="6"/>
        <v>0</v>
      </c>
      <c r="L45" s="7">
        <f t="shared" si="7"/>
        <v>0</v>
      </c>
      <c r="M45" s="7">
        <v>0</v>
      </c>
      <c r="N45" s="7">
        <f t="shared" si="8"/>
        <v>0</v>
      </c>
      <c r="O45" s="7">
        <f t="shared" si="9"/>
        <v>0</v>
      </c>
    </row>
    <row r="46" spans="3:15" x14ac:dyDescent="0.2">
      <c r="C46">
        <v>27</v>
      </c>
      <c r="D46" s="7">
        <v>2945.0406166639623</v>
      </c>
      <c r="E46" s="7">
        <f t="shared" si="2"/>
        <v>88.069396431338589</v>
      </c>
      <c r="F46" s="7">
        <f t="shared" si="3"/>
        <v>237.81938695483575</v>
      </c>
      <c r="G46">
        <v>0</v>
      </c>
      <c r="H46" s="7">
        <f t="shared" si="4"/>
        <v>0</v>
      </c>
      <c r="I46" s="7">
        <f t="shared" si="5"/>
        <v>0</v>
      </c>
      <c r="J46" s="7">
        <v>0</v>
      </c>
      <c r="K46" s="7">
        <f t="shared" si="6"/>
        <v>0</v>
      </c>
      <c r="L46" s="7">
        <f t="shared" si="7"/>
        <v>0</v>
      </c>
      <c r="M46" s="7">
        <v>0</v>
      </c>
      <c r="N46" s="7">
        <f t="shared" si="8"/>
        <v>0</v>
      </c>
      <c r="O46" s="7">
        <f t="shared" si="9"/>
        <v>0</v>
      </c>
    </row>
    <row r="47" spans="3:15" x14ac:dyDescent="0.2">
      <c r="C47">
        <v>28</v>
      </c>
      <c r="D47" s="7">
        <v>3082.0192499971704</v>
      </c>
      <c r="E47" s="7">
        <f t="shared" si="2"/>
        <v>92.16564742814505</v>
      </c>
      <c r="F47" s="7">
        <f t="shared" si="3"/>
        <v>248.88075378994444</v>
      </c>
      <c r="G47">
        <v>0</v>
      </c>
      <c r="H47" s="7">
        <f t="shared" si="4"/>
        <v>0</v>
      </c>
      <c r="I47" s="7">
        <f t="shared" si="5"/>
        <v>0</v>
      </c>
      <c r="J47" s="7">
        <v>0</v>
      </c>
      <c r="K47" s="7">
        <f t="shared" si="6"/>
        <v>0</v>
      </c>
      <c r="L47" s="7">
        <f t="shared" si="7"/>
        <v>0</v>
      </c>
      <c r="M47" s="7">
        <v>0</v>
      </c>
      <c r="N47" s="7">
        <f t="shared" si="8"/>
        <v>0</v>
      </c>
      <c r="O47" s="7">
        <f t="shared" si="9"/>
        <v>0</v>
      </c>
    </row>
    <row r="48" spans="3:15" x14ac:dyDescent="0.2">
      <c r="C48">
        <v>29</v>
      </c>
      <c r="D48" s="7">
        <v>3400.0053630921161</v>
      </c>
      <c r="E48" s="7">
        <f t="shared" si="2"/>
        <v>101.67480152787429</v>
      </c>
      <c r="F48" s="7">
        <f t="shared" si="3"/>
        <v>274.55892680001801</v>
      </c>
      <c r="G48">
        <v>0</v>
      </c>
      <c r="H48" s="7">
        <f t="shared" si="4"/>
        <v>0</v>
      </c>
      <c r="I48" s="7">
        <f t="shared" si="5"/>
        <v>0</v>
      </c>
      <c r="J48" s="7">
        <v>0</v>
      </c>
      <c r="K48" s="7">
        <f t="shared" si="6"/>
        <v>0</v>
      </c>
      <c r="L48" s="7">
        <f t="shared" si="7"/>
        <v>0</v>
      </c>
      <c r="M48" s="7">
        <v>0</v>
      </c>
      <c r="N48" s="7">
        <f t="shared" si="8"/>
        <v>0</v>
      </c>
      <c r="O48" s="7">
        <f t="shared" si="9"/>
        <v>0</v>
      </c>
    </row>
    <row r="49" spans="3:15" x14ac:dyDescent="0.2">
      <c r="C49">
        <v>30</v>
      </c>
      <c r="D49" s="7">
        <v>3565.0445076810061</v>
      </c>
      <c r="E49" s="7">
        <f t="shared" si="2"/>
        <v>106.61018264596311</v>
      </c>
      <c r="F49" s="7">
        <f t="shared" si="3"/>
        <v>287.88625001844645</v>
      </c>
      <c r="G49">
        <v>0</v>
      </c>
      <c r="H49" s="7">
        <f t="shared" si="4"/>
        <v>0</v>
      </c>
      <c r="I49" s="7">
        <f t="shared" si="5"/>
        <v>0</v>
      </c>
      <c r="J49" s="7">
        <v>55.105087553764861</v>
      </c>
      <c r="K49" s="7">
        <f t="shared" si="6"/>
        <v>0.87886901999624978</v>
      </c>
      <c r="L49" s="7">
        <f t="shared" si="7"/>
        <v>3.3080731736903259</v>
      </c>
      <c r="M49" s="7">
        <v>0</v>
      </c>
      <c r="N49" s="7">
        <f t="shared" si="8"/>
        <v>0</v>
      </c>
      <c r="O49" s="7">
        <f t="shared" si="9"/>
        <v>0</v>
      </c>
    </row>
    <row r="50" spans="3:15" x14ac:dyDescent="0.2">
      <c r="C50">
        <v>31</v>
      </c>
      <c r="D50" s="7">
        <v>3558.4792472588965</v>
      </c>
      <c r="E50" s="7">
        <f t="shared" si="2"/>
        <v>106.41385308788567</v>
      </c>
      <c r="F50" s="7">
        <f t="shared" si="3"/>
        <v>287.35608883834237</v>
      </c>
      <c r="G50">
        <v>0</v>
      </c>
      <c r="H50" s="7">
        <f t="shared" si="4"/>
        <v>0</v>
      </c>
      <c r="I50" s="7">
        <f t="shared" si="5"/>
        <v>0</v>
      </c>
      <c r="J50" s="7">
        <v>281.81458011852919</v>
      </c>
      <c r="K50" s="7">
        <f t="shared" si="6"/>
        <v>4.4946504006145007</v>
      </c>
      <c r="L50" s="7">
        <f t="shared" si="7"/>
        <v>16.917916182155054</v>
      </c>
      <c r="M50" s="7">
        <v>680.37424334317575</v>
      </c>
      <c r="N50" s="7">
        <f t="shared" si="8"/>
        <v>54.256319245867289</v>
      </c>
      <c r="O50" s="7">
        <f t="shared" si="9"/>
        <v>20.537914935102574</v>
      </c>
    </row>
    <row r="51" spans="3:15" x14ac:dyDescent="0.2">
      <c r="C51">
        <v>32</v>
      </c>
      <c r="D51" s="7">
        <v>3551.9477518122526</v>
      </c>
      <c r="E51" s="7">
        <f t="shared" si="2"/>
        <v>106.21853324797407</v>
      </c>
      <c r="F51" s="7">
        <f t="shared" si="3"/>
        <v>286.82865426435723</v>
      </c>
      <c r="G51">
        <v>0</v>
      </c>
      <c r="H51" s="7">
        <f t="shared" si="4"/>
        <v>0</v>
      </c>
      <c r="I51" s="7">
        <f t="shared" si="5"/>
        <v>0</v>
      </c>
      <c r="J51" s="7">
        <v>508.49030770782838</v>
      </c>
      <c r="K51" s="7">
        <f t="shared" si="6"/>
        <v>8.1098932648776465</v>
      </c>
      <c r="L51" s="7">
        <f t="shared" si="7"/>
        <v>30.525732208820003</v>
      </c>
      <c r="M51" s="7">
        <v>680.37424334317575</v>
      </c>
      <c r="N51" s="7">
        <f t="shared" si="8"/>
        <v>54.256319245867289</v>
      </c>
      <c r="O51" s="7">
        <f t="shared" si="9"/>
        <v>20.537914935102574</v>
      </c>
    </row>
    <row r="52" spans="3:15" x14ac:dyDescent="0.2">
      <c r="C52">
        <v>33</v>
      </c>
      <c r="D52" s="7">
        <v>3545.4499078154331</v>
      </c>
      <c r="E52" s="7">
        <f t="shared" si="2"/>
        <v>106.02421973132277</v>
      </c>
      <c r="F52" s="7">
        <f t="shared" si="3"/>
        <v>286.30393712901179</v>
      </c>
      <c r="G52">
        <v>0</v>
      </c>
      <c r="H52" s="7">
        <f t="shared" si="4"/>
        <v>0</v>
      </c>
      <c r="I52" s="7">
        <f t="shared" si="5"/>
        <v>0</v>
      </c>
      <c r="J52" s="7">
        <v>735.13238384730266</v>
      </c>
      <c r="K52" s="7">
        <f t="shared" si="6"/>
        <v>11.724599423401957</v>
      </c>
      <c r="L52" s="7">
        <f t="shared" si="7"/>
        <v>44.131528068865805</v>
      </c>
      <c r="M52" s="7">
        <v>0</v>
      </c>
      <c r="N52" s="7">
        <f t="shared" si="8"/>
        <v>0</v>
      </c>
      <c r="O52" s="7">
        <f t="shared" si="9"/>
        <v>0</v>
      </c>
    </row>
    <row r="53" spans="3:15" x14ac:dyDescent="0.2">
      <c r="C53">
        <v>34</v>
      </c>
      <c r="D53" s="7">
        <v>3538.9856020506077</v>
      </c>
      <c r="E53" s="7">
        <f t="shared" si="2"/>
        <v>105.8309091522311</v>
      </c>
      <c r="F53" s="7">
        <f t="shared" si="3"/>
        <v>285.78192828968355</v>
      </c>
      <c r="G53">
        <v>0</v>
      </c>
      <c r="H53" s="7">
        <f t="shared" si="4"/>
        <v>0</v>
      </c>
      <c r="I53" s="7">
        <f t="shared" si="5"/>
        <v>0</v>
      </c>
      <c r="J53" s="7">
        <v>961.74092175478381</v>
      </c>
      <c r="K53" s="7">
        <f t="shared" si="6"/>
        <v>15.338770681894479</v>
      </c>
      <c r="L53" s="7">
        <f t="shared" si="7"/>
        <v>57.735310558994698</v>
      </c>
      <c r="M53" s="7">
        <v>0</v>
      </c>
      <c r="N53" s="7">
        <f t="shared" si="8"/>
        <v>0</v>
      </c>
      <c r="O53" s="7">
        <f t="shared" si="9"/>
        <v>0</v>
      </c>
    </row>
    <row r="54" spans="3:15" x14ac:dyDescent="0.2">
      <c r="C54">
        <v>35</v>
      </c>
      <c r="D54" s="7">
        <v>3532.5547216070513</v>
      </c>
      <c r="E54" s="7">
        <f t="shared" si="2"/>
        <v>105.63859813418216</v>
      </c>
      <c r="F54" s="7">
        <f t="shared" si="3"/>
        <v>285.26261862854926</v>
      </c>
      <c r="G54">
        <v>0</v>
      </c>
      <c r="H54" s="7">
        <f t="shared" si="4"/>
        <v>0</v>
      </c>
      <c r="I54" s="7">
        <f t="shared" si="5"/>
        <v>0</v>
      </c>
      <c r="J54" s="7">
        <v>1188.316034340995</v>
      </c>
      <c r="K54" s="7">
        <f t="shared" si="6"/>
        <v>18.952408841164196</v>
      </c>
      <c r="L54" s="7">
        <f t="shared" si="7"/>
        <v>71.337086457472537</v>
      </c>
      <c r="M54" s="7">
        <v>0</v>
      </c>
      <c r="N54" s="7">
        <f t="shared" si="8"/>
        <v>0</v>
      </c>
      <c r="O54" s="7">
        <f t="shared" si="9"/>
        <v>0</v>
      </c>
    </row>
    <row r="55" spans="3:15" x14ac:dyDescent="0.2">
      <c r="C55">
        <v>36</v>
      </c>
      <c r="D55" s="7">
        <v>3526.1571538804583</v>
      </c>
      <c r="E55" s="7">
        <f t="shared" si="2"/>
        <v>105.44728330982232</v>
      </c>
      <c r="F55" s="7">
        <f t="shared" si="3"/>
        <v>284.74599905253001</v>
      </c>
      <c r="G55">
        <v>0</v>
      </c>
      <c r="H55" s="7">
        <f t="shared" si="4"/>
        <v>0</v>
      </c>
      <c r="I55" s="7">
        <f t="shared" si="5"/>
        <v>0</v>
      </c>
      <c r="J55" s="7">
        <v>1414.8578342102428</v>
      </c>
      <c r="K55" s="7">
        <f t="shared" si="6"/>
        <v>22.565515697133062</v>
      </c>
      <c r="L55" s="7">
        <f t="shared" si="7"/>
        <v>84.936862524170408</v>
      </c>
      <c r="M55" s="7">
        <v>0</v>
      </c>
      <c r="N55" s="7">
        <f t="shared" si="8"/>
        <v>0</v>
      </c>
      <c r="O55" s="7">
        <f t="shared" si="9"/>
        <v>0</v>
      </c>
    </row>
    <row r="56" spans="3:15" x14ac:dyDescent="0.2">
      <c r="C56">
        <v>37</v>
      </c>
      <c r="D56" s="7">
        <v>3519.792786572244</v>
      </c>
      <c r="E56" s="7">
        <f t="shared" si="2"/>
        <v>105.25696132094032</v>
      </c>
      <c r="F56" s="7">
        <f t="shared" si="3"/>
        <v>284.23206049323454</v>
      </c>
      <c r="G56">
        <v>0</v>
      </c>
      <c r="H56" s="7">
        <f t="shared" si="4"/>
        <v>0</v>
      </c>
      <c r="I56" s="7">
        <f t="shared" si="5"/>
        <v>0</v>
      </c>
      <c r="J56" s="7">
        <v>1641.3664336611118</v>
      </c>
      <c r="K56" s="7">
        <f t="shared" si="6"/>
        <v>26.178093040847081</v>
      </c>
      <c r="L56" s="7">
        <f t="shared" si="7"/>
        <v>98.534645500606189</v>
      </c>
      <c r="M56" s="7">
        <v>0</v>
      </c>
      <c r="N56" s="7">
        <f t="shared" si="8"/>
        <v>0</v>
      </c>
      <c r="O56" s="7">
        <f t="shared" si="9"/>
        <v>0</v>
      </c>
    </row>
    <row r="57" spans="3:15" x14ac:dyDescent="0.2">
      <c r="C57">
        <v>38</v>
      </c>
      <c r="D57" s="7">
        <v>3513.461507688859</v>
      </c>
      <c r="E57" s="7">
        <f t="shared" si="2"/>
        <v>105.06762881844675</v>
      </c>
      <c r="F57" s="7">
        <f t="shared" si="3"/>
        <v>283.72079390690396</v>
      </c>
      <c r="G57">
        <v>0</v>
      </c>
      <c r="H57" s="7">
        <f t="shared" si="4"/>
        <v>0</v>
      </c>
      <c r="I57" s="7">
        <f t="shared" si="5"/>
        <v>0</v>
      </c>
      <c r="J57" s="7">
        <v>1867.8419446871517</v>
      </c>
      <c r="K57" s="7">
        <f t="shared" si="6"/>
        <v>29.79014265848727</v>
      </c>
      <c r="L57" s="7">
        <f t="shared" si="7"/>
        <v>112.13044210998592</v>
      </c>
      <c r="M57" s="7">
        <v>0</v>
      </c>
      <c r="N57" s="7">
        <f t="shared" si="8"/>
        <v>0</v>
      </c>
      <c r="O57" s="7">
        <f t="shared" si="9"/>
        <v>0</v>
      </c>
    </row>
    <row r="58" spans="3:15" x14ac:dyDescent="0.2">
      <c r="C58">
        <v>39</v>
      </c>
      <c r="D58" s="7">
        <v>3507.1632055410878</v>
      </c>
      <c r="E58" s="7">
        <f t="shared" si="2"/>
        <v>104.87928246235312</v>
      </c>
      <c r="F58" s="7">
        <f t="shared" si="3"/>
        <v>283.21219027435507</v>
      </c>
      <c r="G58">
        <v>0</v>
      </c>
      <c r="H58" s="7">
        <f t="shared" si="4"/>
        <v>0</v>
      </c>
      <c r="I58" s="7">
        <f t="shared" si="5"/>
        <v>0</v>
      </c>
      <c r="J58" s="7">
        <v>2094.2844789775786</v>
      </c>
      <c r="K58" s="7">
        <f t="shared" si="6"/>
        <v>33.401666331380838</v>
      </c>
      <c r="L58" s="7">
        <f t="shared" si="7"/>
        <v>125.72425905724587</v>
      </c>
      <c r="M58" s="7">
        <v>0</v>
      </c>
      <c r="N58" s="7">
        <f t="shared" si="8"/>
        <v>0</v>
      </c>
      <c r="O58" s="7">
        <f t="shared" si="9"/>
        <v>0</v>
      </c>
    </row>
    <row r="59" spans="3:15" x14ac:dyDescent="0.2">
      <c r="C59">
        <v>40</v>
      </c>
      <c r="D59" s="7">
        <v>3500.8977687433685</v>
      </c>
      <c r="E59" s="7">
        <f t="shared" si="2"/>
        <v>104.69191892175145</v>
      </c>
      <c r="F59" s="7">
        <f t="shared" si="3"/>
        <v>282.70624060092553</v>
      </c>
      <c r="G59">
        <v>0</v>
      </c>
      <c r="H59" s="7">
        <f t="shared" si="4"/>
        <v>0</v>
      </c>
      <c r="I59" s="7">
        <f t="shared" si="5"/>
        <v>0</v>
      </c>
      <c r="J59" s="7">
        <v>2320.6941479179527</v>
      </c>
      <c r="K59" s="7">
        <f t="shared" si="6"/>
        <v>37.012665836012005</v>
      </c>
      <c r="L59" s="7">
        <f t="shared" si="7"/>
        <v>139.31610302909323</v>
      </c>
      <c r="M59" s="7">
        <v>680.37424334317575</v>
      </c>
      <c r="N59" s="7">
        <f t="shared" si="8"/>
        <v>54.256319245867289</v>
      </c>
      <c r="O59" s="7">
        <f t="shared" si="9"/>
        <v>20.537914935102574</v>
      </c>
    </row>
    <row r="60" spans="3:15" x14ac:dyDescent="0.2">
      <c r="C60">
        <v>41</v>
      </c>
      <c r="D60" s="7">
        <v>3494.929714039326</v>
      </c>
      <c r="E60" s="7">
        <f t="shared" si="2"/>
        <v>104.51344838634348</v>
      </c>
      <c r="F60" s="7">
        <f t="shared" si="3"/>
        <v>282.22430527446608</v>
      </c>
      <c r="G60">
        <v>0</v>
      </c>
      <c r="H60" s="7">
        <f t="shared" si="4"/>
        <v>0</v>
      </c>
      <c r="I60" s="7">
        <f t="shared" si="5"/>
        <v>0</v>
      </c>
      <c r="J60" s="7">
        <v>2155.4389109554854</v>
      </c>
      <c r="K60" s="7">
        <f t="shared" si="6"/>
        <v>34.377016123691952</v>
      </c>
      <c r="L60" s="7">
        <f t="shared" si="7"/>
        <v>129.39548697573892</v>
      </c>
      <c r="M60" s="7">
        <v>680.37424334317575</v>
      </c>
      <c r="N60" s="7">
        <f t="shared" si="8"/>
        <v>54.256319245867289</v>
      </c>
      <c r="O60" s="7">
        <f t="shared" si="9"/>
        <v>20.537914935102574</v>
      </c>
    </row>
    <row r="61" spans="3:15" x14ac:dyDescent="0.2">
      <c r="C61">
        <v>42</v>
      </c>
      <c r="D61" s="7">
        <v>3489.6106820070509</v>
      </c>
      <c r="E61" s="7">
        <f t="shared" si="2"/>
        <v>104.35438642365584</v>
      </c>
      <c r="F61" s="7">
        <f t="shared" si="3"/>
        <v>281.79478015010915</v>
      </c>
      <c r="G61">
        <v>0</v>
      </c>
      <c r="H61" s="7">
        <f t="shared" si="4"/>
        <v>0</v>
      </c>
      <c r="I61" s="7">
        <f t="shared" si="5"/>
        <v>0</v>
      </c>
      <c r="J61" s="7">
        <v>2503.2045263207801</v>
      </c>
      <c r="K61" s="7">
        <f t="shared" si="6"/>
        <v>39.923517166200639</v>
      </c>
      <c r="L61" s="7">
        <f t="shared" si="7"/>
        <v>150.27258116054327</v>
      </c>
      <c r="M61" s="7">
        <v>680.37424334317575</v>
      </c>
      <c r="N61" s="7">
        <f t="shared" si="8"/>
        <v>54.256319245867289</v>
      </c>
      <c r="O61" s="7">
        <f t="shared" si="9"/>
        <v>20.537914935102574</v>
      </c>
    </row>
    <row r="62" spans="3:15" x14ac:dyDescent="0.2">
      <c r="C62">
        <v>43</v>
      </c>
      <c r="D62" s="7">
        <v>3484.3225142131869</v>
      </c>
      <c r="E62" s="7">
        <f t="shared" si="2"/>
        <v>104.19624743460487</v>
      </c>
      <c r="F62" s="7">
        <f t="shared" si="3"/>
        <v>281.36774739010747</v>
      </c>
      <c r="G62">
        <v>0</v>
      </c>
      <c r="H62" s="7">
        <f t="shared" si="4"/>
        <v>0</v>
      </c>
      <c r="I62" s="7">
        <f t="shared" si="5"/>
        <v>0</v>
      </c>
      <c r="J62" s="7">
        <v>2850.9392774476628</v>
      </c>
      <c r="K62" s="7">
        <f t="shared" si="6"/>
        <v>45.469525956103077</v>
      </c>
      <c r="L62" s="7">
        <f t="shared" si="7"/>
        <v>171.14782250083454</v>
      </c>
      <c r="M62" s="7">
        <v>680.37424334317575</v>
      </c>
      <c r="N62" s="7">
        <f t="shared" si="8"/>
        <v>54.256319245867289</v>
      </c>
      <c r="O62" s="7">
        <f t="shared" si="9"/>
        <v>20.537914935102574</v>
      </c>
    </row>
    <row r="63" spans="3:15" x14ac:dyDescent="0.2">
      <c r="C63">
        <v>44</v>
      </c>
      <c r="D63" s="7">
        <v>3479.0651025731418</v>
      </c>
      <c r="E63" s="7">
        <f t="shared" si="2"/>
        <v>104.03902818699588</v>
      </c>
      <c r="F63" s="7">
        <f t="shared" si="3"/>
        <v>280.94319826636024</v>
      </c>
      <c r="G63">
        <v>0</v>
      </c>
      <c r="H63" s="7">
        <f t="shared" si="4"/>
        <v>0</v>
      </c>
      <c r="I63" s="7">
        <f t="shared" si="5"/>
        <v>0</v>
      </c>
      <c r="J63" s="7">
        <v>3027.4199807542168</v>
      </c>
      <c r="K63" s="7">
        <f t="shared" si="6"/>
        <v>48.284210219365505</v>
      </c>
      <c r="L63" s="7">
        <f t="shared" si="7"/>
        <v>181.74232667819933</v>
      </c>
      <c r="M63" s="7">
        <v>680.37424334317575</v>
      </c>
      <c r="N63" s="7">
        <f t="shared" si="8"/>
        <v>54.256319245867289</v>
      </c>
      <c r="O63" s="7">
        <f t="shared" si="9"/>
        <v>20.537914935102574</v>
      </c>
    </row>
    <row r="64" spans="3:15" x14ac:dyDescent="0.2">
      <c r="C64">
        <v>45</v>
      </c>
      <c r="D64" s="7">
        <v>3473.8383393034792</v>
      </c>
      <c r="E64" s="7">
        <f t="shared" si="2"/>
        <v>103.88272545763994</v>
      </c>
      <c r="F64" s="7">
        <f t="shared" si="3"/>
        <v>280.52112407508565</v>
      </c>
      <c r="G64">
        <v>0</v>
      </c>
      <c r="H64" s="7">
        <f t="shared" si="4"/>
        <v>0</v>
      </c>
      <c r="I64" s="7">
        <f t="shared" si="5"/>
        <v>0</v>
      </c>
      <c r="J64" s="7">
        <v>3546.3166190234078</v>
      </c>
      <c r="K64" s="7">
        <f t="shared" si="6"/>
        <v>56.560073668634899</v>
      </c>
      <c r="L64" s="7">
        <f t="shared" si="7"/>
        <v>212.89277258397172</v>
      </c>
      <c r="M64" s="7">
        <v>680.37424334317575</v>
      </c>
      <c r="N64" s="7">
        <f t="shared" si="8"/>
        <v>54.256319245867289</v>
      </c>
      <c r="O64" s="7">
        <f t="shared" si="9"/>
        <v>20.537914935102574</v>
      </c>
    </row>
    <row r="65" spans="3:15" x14ac:dyDescent="0.2">
      <c r="C65">
        <v>46</v>
      </c>
      <c r="D65" s="7">
        <v>3468.6421169212235</v>
      </c>
      <c r="E65" s="7">
        <f t="shared" si="2"/>
        <v>103.72733603233324</v>
      </c>
      <c r="F65" s="7">
        <f t="shared" si="3"/>
        <v>280.10151613676499</v>
      </c>
      <c r="G65">
        <v>0</v>
      </c>
      <c r="H65" s="7">
        <f t="shared" si="4"/>
        <v>0</v>
      </c>
      <c r="I65" s="7">
        <f t="shared" si="5"/>
        <v>0</v>
      </c>
      <c r="J65" s="7">
        <v>2695.3963830731163</v>
      </c>
      <c r="K65" s="7">
        <f t="shared" si="6"/>
        <v>42.988778039443645</v>
      </c>
      <c r="L65" s="7">
        <f t="shared" si="7"/>
        <v>161.81025860101221</v>
      </c>
      <c r="M65" s="7">
        <v>680.37424334317575</v>
      </c>
      <c r="N65" s="7">
        <f t="shared" si="8"/>
        <v>54.256319245867289</v>
      </c>
      <c r="O65" s="7">
        <f t="shared" si="9"/>
        <v>20.537914935102574</v>
      </c>
    </row>
    <row r="66" spans="3:15" x14ac:dyDescent="0.2">
      <c r="C66">
        <v>47</v>
      </c>
      <c r="D66" s="7">
        <v>3463.4763282431632</v>
      </c>
      <c r="E66" s="7">
        <f t="shared" si="2"/>
        <v>103.57285670583623</v>
      </c>
      <c r="F66" s="7">
        <f t="shared" si="3"/>
        <v>279.68436579608607</v>
      </c>
      <c r="G66">
        <v>0</v>
      </c>
      <c r="H66" s="7">
        <f t="shared" si="4"/>
        <v>0</v>
      </c>
      <c r="I66" s="7">
        <f t="shared" si="5"/>
        <v>0</v>
      </c>
      <c r="J66" s="7">
        <v>1844.4457134186277</v>
      </c>
      <c r="K66" s="7">
        <f t="shared" si="6"/>
        <v>29.416997024220539</v>
      </c>
      <c r="L66" s="7">
        <f t="shared" si="7"/>
        <v>110.72591761940517</v>
      </c>
      <c r="M66" s="7">
        <v>0</v>
      </c>
      <c r="N66" s="7">
        <f t="shared" si="8"/>
        <v>0</v>
      </c>
      <c r="O66" s="7">
        <f t="shared" si="9"/>
        <v>0</v>
      </c>
    </row>
    <row r="67" spans="3:15" x14ac:dyDescent="0.2">
      <c r="C67">
        <v>48</v>
      </c>
      <c r="D67" s="7">
        <v>3458.2526403976271</v>
      </c>
      <c r="E67" s="7">
        <f t="shared" si="2"/>
        <v>103.41664594490513</v>
      </c>
      <c r="F67" s="7">
        <f t="shared" si="3"/>
        <v>279.2625399529926</v>
      </c>
      <c r="G67">
        <v>0</v>
      </c>
      <c r="H67" s="7">
        <f t="shared" si="4"/>
        <v>0</v>
      </c>
      <c r="I67" s="7">
        <f t="shared" si="5"/>
        <v>0</v>
      </c>
      <c r="J67" s="7">
        <v>993.55294293161751</v>
      </c>
      <c r="K67" s="7">
        <f t="shared" si="6"/>
        <v>15.846139440695655</v>
      </c>
      <c r="L67" s="7">
        <f t="shared" si="7"/>
        <v>59.645052445408986</v>
      </c>
      <c r="M67" s="7">
        <v>0</v>
      </c>
      <c r="N67" s="7">
        <f t="shared" si="8"/>
        <v>0</v>
      </c>
      <c r="O67" s="7">
        <f t="shared" si="9"/>
        <v>0</v>
      </c>
    </row>
    <row r="68" spans="3:15" x14ac:dyDescent="0.2">
      <c r="C68">
        <v>49</v>
      </c>
      <c r="D68" s="7">
        <v>2910.7959583306606</v>
      </c>
      <c r="E68" s="7">
        <f t="shared" si="2"/>
        <v>87.045333682136985</v>
      </c>
      <c r="F68" s="7">
        <f t="shared" si="3"/>
        <v>235.05404524605862</v>
      </c>
      <c r="G68">
        <v>0</v>
      </c>
      <c r="H68" s="7">
        <f t="shared" si="4"/>
        <v>0</v>
      </c>
      <c r="I68" s="7">
        <f t="shared" si="5"/>
        <v>0</v>
      </c>
      <c r="J68" s="7">
        <v>0</v>
      </c>
      <c r="K68" s="7">
        <f t="shared" si="6"/>
        <v>0</v>
      </c>
      <c r="L68" s="7">
        <f t="shared" si="7"/>
        <v>0</v>
      </c>
      <c r="M68" s="7">
        <v>0</v>
      </c>
      <c r="N68" s="7">
        <f t="shared" si="8"/>
        <v>0</v>
      </c>
      <c r="O68" s="7">
        <f t="shared" si="9"/>
        <v>0</v>
      </c>
    </row>
    <row r="69" spans="3:15" x14ac:dyDescent="0.2">
      <c r="C69">
        <v>50</v>
      </c>
      <c r="D69" s="7">
        <v>2739.5726666641513</v>
      </c>
      <c r="E69" s="7">
        <f t="shared" si="2"/>
        <v>81.925019936128933</v>
      </c>
      <c r="F69" s="7">
        <f t="shared" si="3"/>
        <v>221.22733670217281</v>
      </c>
      <c r="G69">
        <v>0</v>
      </c>
      <c r="H69" s="7">
        <f t="shared" si="4"/>
        <v>0</v>
      </c>
      <c r="I69" s="7">
        <f t="shared" si="5"/>
        <v>0</v>
      </c>
      <c r="J69" s="7">
        <v>0</v>
      </c>
      <c r="K69" s="7">
        <f t="shared" si="6"/>
        <v>0</v>
      </c>
      <c r="L69" s="7">
        <f t="shared" si="7"/>
        <v>0</v>
      </c>
      <c r="M69" s="7">
        <v>0</v>
      </c>
      <c r="N69" s="7">
        <f t="shared" si="8"/>
        <v>0</v>
      </c>
      <c r="O69" s="7">
        <f t="shared" si="9"/>
        <v>0</v>
      </c>
    </row>
    <row r="70" spans="3:15" x14ac:dyDescent="0.2">
      <c r="C70">
        <v>51</v>
      </c>
      <c r="D70" s="7">
        <v>2910.7959583306606</v>
      </c>
      <c r="E70" s="7">
        <f t="shared" si="2"/>
        <v>87.045333682136985</v>
      </c>
      <c r="F70" s="7">
        <f t="shared" si="3"/>
        <v>235.05404524605862</v>
      </c>
      <c r="G70">
        <v>0</v>
      </c>
      <c r="H70" s="7">
        <f t="shared" si="4"/>
        <v>0</v>
      </c>
      <c r="I70" s="7">
        <f t="shared" si="5"/>
        <v>0</v>
      </c>
      <c r="J70" s="7">
        <v>0</v>
      </c>
      <c r="K70" s="7">
        <f t="shared" si="6"/>
        <v>0</v>
      </c>
      <c r="L70" s="7">
        <f t="shared" si="7"/>
        <v>0</v>
      </c>
      <c r="M70" s="7">
        <v>0</v>
      </c>
      <c r="N70" s="7">
        <f t="shared" si="8"/>
        <v>0</v>
      </c>
      <c r="O70" s="7">
        <f t="shared" si="9"/>
        <v>0</v>
      </c>
    </row>
    <row r="71" spans="3:15" x14ac:dyDescent="0.2">
      <c r="C71">
        <v>52</v>
      </c>
      <c r="D71" s="7">
        <v>3082.0192499971704</v>
      </c>
      <c r="E71" s="7">
        <f t="shared" si="2"/>
        <v>92.16564742814505</v>
      </c>
      <c r="F71" s="7">
        <f t="shared" si="3"/>
        <v>248.88075378994444</v>
      </c>
      <c r="G71">
        <v>0</v>
      </c>
      <c r="H71" s="7">
        <f t="shared" si="4"/>
        <v>0</v>
      </c>
      <c r="I71" s="7">
        <f t="shared" si="5"/>
        <v>0</v>
      </c>
      <c r="J71" s="7">
        <v>0</v>
      </c>
      <c r="K71" s="7">
        <f t="shared" si="6"/>
        <v>0</v>
      </c>
      <c r="L71" s="7">
        <f t="shared" si="7"/>
        <v>0</v>
      </c>
      <c r="M71" s="7">
        <v>0</v>
      </c>
      <c r="N71" s="7">
        <f t="shared" si="8"/>
        <v>0</v>
      </c>
      <c r="O71" s="7">
        <f t="shared" si="9"/>
        <v>0</v>
      </c>
    </row>
    <row r="72" spans="3:15" x14ac:dyDescent="0.2">
      <c r="C72">
        <v>53</v>
      </c>
      <c r="D72" s="7">
        <v>3432.9857656045433</v>
      </c>
      <c r="E72" s="7">
        <f t="shared" si="2"/>
        <v>102.66105758386793</v>
      </c>
      <c r="F72" s="7">
        <f t="shared" si="3"/>
        <v>277.22217669295628</v>
      </c>
      <c r="G72">
        <v>0</v>
      </c>
      <c r="H72" s="7">
        <f t="shared" si="4"/>
        <v>0</v>
      </c>
      <c r="I72" s="7">
        <f t="shared" si="5"/>
        <v>0</v>
      </c>
      <c r="J72" s="7">
        <v>17.822112597416435</v>
      </c>
      <c r="K72" s="7">
        <f t="shared" si="6"/>
        <v>0.28424422005448863</v>
      </c>
      <c r="L72" s="7">
        <f t="shared" si="7"/>
        <v>1.0698985374894612</v>
      </c>
      <c r="M72" s="7">
        <v>0</v>
      </c>
      <c r="N72" s="7">
        <f t="shared" si="8"/>
        <v>0</v>
      </c>
      <c r="O72" s="7">
        <f t="shared" si="9"/>
        <v>0</v>
      </c>
    </row>
    <row r="73" spans="3:15" x14ac:dyDescent="0.2">
      <c r="C73">
        <v>54</v>
      </c>
      <c r="D73" s="7">
        <v>3427.136996456552</v>
      </c>
      <c r="E73" s="7">
        <f t="shared" si="2"/>
        <v>102.48615420025575</v>
      </c>
      <c r="F73" s="7">
        <f t="shared" si="3"/>
        <v>276.74987397314146</v>
      </c>
      <c r="G73">
        <v>0</v>
      </c>
      <c r="H73" s="7">
        <f t="shared" si="4"/>
        <v>0</v>
      </c>
      <c r="I73" s="7">
        <f t="shared" si="5"/>
        <v>0</v>
      </c>
      <c r="J73" s="7">
        <v>260.74928559134378</v>
      </c>
      <c r="K73" s="7">
        <f t="shared" si="6"/>
        <v>4.1586807909305232</v>
      </c>
      <c r="L73" s="7">
        <f t="shared" si="7"/>
        <v>15.65332267881878</v>
      </c>
      <c r="M73" s="7">
        <v>0</v>
      </c>
      <c r="N73" s="7">
        <f t="shared" si="8"/>
        <v>0</v>
      </c>
      <c r="O73" s="7">
        <f t="shared" si="9"/>
        <v>0</v>
      </c>
    </row>
    <row r="74" spans="3:15" x14ac:dyDescent="0.2">
      <c r="C74">
        <v>55</v>
      </c>
      <c r="D74" s="7">
        <v>3421.3195374148004</v>
      </c>
      <c r="E74" s="7">
        <f t="shared" si="2"/>
        <v>102.31218712364834</v>
      </c>
      <c r="F74" s="7">
        <f t="shared" si="3"/>
        <v>276.28009962262286</v>
      </c>
      <c r="G74">
        <v>0</v>
      </c>
      <c r="H74" s="7">
        <f t="shared" si="4"/>
        <v>0</v>
      </c>
      <c r="I74" s="7">
        <f t="shared" si="5"/>
        <v>0</v>
      </c>
      <c r="J74" s="7">
        <v>503.64514847903092</v>
      </c>
      <c r="K74" s="7">
        <f t="shared" si="6"/>
        <v>8.0326179980706698</v>
      </c>
      <c r="L74" s="7">
        <f t="shared" si="7"/>
        <v>30.234867209260671</v>
      </c>
      <c r="M74" s="7">
        <v>680.37424334317575</v>
      </c>
      <c r="N74" s="7">
        <f t="shared" si="8"/>
        <v>54.256319245867289</v>
      </c>
      <c r="O74" s="7">
        <f t="shared" si="9"/>
        <v>20.537914935102574</v>
      </c>
    </row>
    <row r="75" spans="3:15" x14ac:dyDescent="0.2">
      <c r="C75">
        <v>56</v>
      </c>
      <c r="D75" s="7">
        <v>3416.3267140981648</v>
      </c>
      <c r="E75" s="7">
        <f t="shared" si="2"/>
        <v>102.16288020628484</v>
      </c>
      <c r="F75" s="7">
        <f t="shared" si="3"/>
        <v>275.87691666697276</v>
      </c>
      <c r="G75">
        <v>0</v>
      </c>
      <c r="H75" s="7">
        <f t="shared" si="4"/>
        <v>0</v>
      </c>
      <c r="I75" s="7">
        <f t="shared" si="5"/>
        <v>0</v>
      </c>
      <c r="J75" s="7">
        <v>745.71637564160255</v>
      </c>
      <c r="K75" s="7">
        <f t="shared" si="6"/>
        <v>11.893403120280743</v>
      </c>
      <c r="L75" s="7">
        <f t="shared" si="7"/>
        <v>44.766907139647984</v>
      </c>
      <c r="M75" s="7">
        <v>680.37424334317575</v>
      </c>
      <c r="N75" s="7">
        <f t="shared" si="8"/>
        <v>54.256319245867289</v>
      </c>
      <c r="O75" s="7">
        <f t="shared" si="9"/>
        <v>20.537914935102574</v>
      </c>
    </row>
    <row r="76" spans="3:15" x14ac:dyDescent="0.2">
      <c r="C76">
        <v>57</v>
      </c>
      <c r="D76" s="7">
        <v>3411.4515607086328</v>
      </c>
      <c r="E76" s="7">
        <f t="shared" si="2"/>
        <v>102.01709212645433</v>
      </c>
      <c r="F76" s="7">
        <f t="shared" si="3"/>
        <v>275.48323585189365</v>
      </c>
      <c r="G76">
        <v>0</v>
      </c>
      <c r="H76" s="7">
        <f t="shared" si="4"/>
        <v>0</v>
      </c>
      <c r="I76" s="7">
        <f t="shared" si="5"/>
        <v>0</v>
      </c>
      <c r="J76" s="7">
        <v>987.66993287707055</v>
      </c>
      <c r="K76" s="7">
        <f t="shared" si="6"/>
        <v>15.752311529139883</v>
      </c>
      <c r="L76" s="7">
        <f t="shared" si="7"/>
        <v>59.291883099239108</v>
      </c>
      <c r="M76" s="7">
        <v>0</v>
      </c>
      <c r="N76" s="7">
        <f t="shared" si="8"/>
        <v>0</v>
      </c>
      <c r="O76" s="7">
        <f t="shared" si="9"/>
        <v>0</v>
      </c>
    </row>
    <row r="77" spans="3:15" x14ac:dyDescent="0.2">
      <c r="C77">
        <v>58</v>
      </c>
      <c r="D77" s="7">
        <v>3406.6057304372562</v>
      </c>
      <c r="E77" s="7">
        <f t="shared" si="2"/>
        <v>101.87218093412848</v>
      </c>
      <c r="F77" s="7">
        <f t="shared" si="3"/>
        <v>275.09192295185926</v>
      </c>
      <c r="G77">
        <v>0</v>
      </c>
      <c r="H77" s="7">
        <f t="shared" si="4"/>
        <v>0</v>
      </c>
      <c r="I77" s="7">
        <f t="shared" si="5"/>
        <v>0</v>
      </c>
      <c r="J77" s="7">
        <v>1229.5941669943832</v>
      </c>
      <c r="K77" s="7">
        <f t="shared" si="6"/>
        <v>19.610752264663208</v>
      </c>
      <c r="L77" s="7">
        <f t="shared" si="7"/>
        <v>73.815098730975848</v>
      </c>
      <c r="M77" s="7">
        <v>0</v>
      </c>
      <c r="N77" s="7">
        <f t="shared" si="8"/>
        <v>0</v>
      </c>
      <c r="O77" s="7">
        <f t="shared" si="9"/>
        <v>0</v>
      </c>
    </row>
    <row r="78" spans="3:15" x14ac:dyDescent="0.2">
      <c r="C78">
        <v>59</v>
      </c>
      <c r="D78" s="7">
        <v>3401.7891194694785</v>
      </c>
      <c r="E78" s="7">
        <f t="shared" si="2"/>
        <v>101.72814352480499</v>
      </c>
      <c r="F78" s="7">
        <f t="shared" si="3"/>
        <v>274.70296958358466</v>
      </c>
      <c r="G78">
        <v>0</v>
      </c>
      <c r="H78" s="7">
        <f t="shared" si="4"/>
        <v>0</v>
      </c>
      <c r="I78" s="7">
        <f t="shared" si="5"/>
        <v>0</v>
      </c>
      <c r="J78" s="7">
        <v>1471.4891818080978</v>
      </c>
      <c r="K78" s="7">
        <f t="shared" si="6"/>
        <v>23.468726982585292</v>
      </c>
      <c r="L78" s="7">
        <f t="shared" si="7"/>
        <v>88.336560267062325</v>
      </c>
      <c r="M78" s="7">
        <v>0</v>
      </c>
      <c r="N78" s="7">
        <f t="shared" si="8"/>
        <v>0</v>
      </c>
      <c r="O78" s="7">
        <f t="shared" si="9"/>
        <v>0</v>
      </c>
    </row>
    <row r="79" spans="3:15" x14ac:dyDescent="0.2">
      <c r="C79">
        <v>60</v>
      </c>
      <c r="D79" s="7">
        <v>3397.0016242820393</v>
      </c>
      <c r="E79" s="7">
        <f t="shared" si="2"/>
        <v>101.58497680269257</v>
      </c>
      <c r="F79" s="7">
        <f t="shared" si="3"/>
        <v>274.31636738730811</v>
      </c>
      <c r="G79">
        <v>0</v>
      </c>
      <c r="H79" s="7">
        <f t="shared" si="4"/>
        <v>0</v>
      </c>
      <c r="I79" s="7">
        <f t="shared" si="5"/>
        <v>0</v>
      </c>
      <c r="J79" s="7">
        <v>1713.355080841473</v>
      </c>
      <c r="K79" s="7">
        <f t="shared" si="6"/>
        <v>27.326237333994786</v>
      </c>
      <c r="L79" s="7">
        <f t="shared" si="7"/>
        <v>102.85627392221532</v>
      </c>
      <c r="M79" s="7">
        <v>0</v>
      </c>
      <c r="N79" s="7">
        <f t="shared" si="8"/>
        <v>0</v>
      </c>
      <c r="O79" s="7">
        <f t="shared" si="9"/>
        <v>0</v>
      </c>
    </row>
    <row r="80" spans="3:15" x14ac:dyDescent="0.2">
      <c r="C80">
        <v>61</v>
      </c>
      <c r="D80" s="7">
        <v>3392.2431416422942</v>
      </c>
      <c r="E80" s="7">
        <f t="shared" si="2"/>
        <v>101.44267768069062</v>
      </c>
      <c r="F80" s="7">
        <f t="shared" si="3"/>
        <v>273.93210802673559</v>
      </c>
      <c r="G80">
        <v>0</v>
      </c>
      <c r="H80" s="7">
        <f t="shared" si="4"/>
        <v>0</v>
      </c>
      <c r="I80" s="7">
        <f t="shared" si="5"/>
        <v>0</v>
      </c>
      <c r="J80" s="7">
        <v>1955.1919673271532</v>
      </c>
      <c r="K80" s="7">
        <f t="shared" si="6"/>
        <v>31.183284965345347</v>
      </c>
      <c r="L80" s="7">
        <f t="shared" si="7"/>
        <v>117.37424589370552</v>
      </c>
      <c r="M80" s="7">
        <v>0</v>
      </c>
      <c r="N80" s="7">
        <f t="shared" si="8"/>
        <v>0</v>
      </c>
      <c r="O80" s="7">
        <f t="shared" si="9"/>
        <v>0</v>
      </c>
    </row>
    <row r="81" spans="3:15" x14ac:dyDescent="0.2">
      <c r="C81">
        <v>62</v>
      </c>
      <c r="D81" s="7">
        <v>3387.51356860753</v>
      </c>
      <c r="E81" s="7">
        <f t="shared" si="2"/>
        <v>101.30124308036872</v>
      </c>
      <c r="F81" s="7">
        <f t="shared" si="3"/>
        <v>273.55018318898584</v>
      </c>
      <c r="G81">
        <v>0</v>
      </c>
      <c r="H81" s="7">
        <f t="shared" si="4"/>
        <v>0</v>
      </c>
      <c r="I81" s="7">
        <f t="shared" si="5"/>
        <v>0</v>
      </c>
      <c r="J81" s="7">
        <v>2196.9999442078542</v>
      </c>
      <c r="K81" s="7">
        <f t="shared" si="6"/>
        <v>35.039871518466576</v>
      </c>
      <c r="L81" s="7">
        <f t="shared" si="7"/>
        <v>131.89048236139854</v>
      </c>
      <c r="M81" s="7">
        <v>0</v>
      </c>
      <c r="N81" s="7">
        <f t="shared" si="8"/>
        <v>0</v>
      </c>
      <c r="O81" s="7">
        <f t="shared" si="9"/>
        <v>0</v>
      </c>
    </row>
    <row r="82" spans="3:15" x14ac:dyDescent="0.2">
      <c r="C82">
        <v>63</v>
      </c>
      <c r="D82" s="7">
        <v>3382.8128025242877</v>
      </c>
      <c r="E82" s="7">
        <f t="shared" si="2"/>
        <v>101.16066993194642</v>
      </c>
      <c r="F82" s="7">
        <f t="shared" si="3"/>
        <v>273.17058458453567</v>
      </c>
      <c r="G82">
        <v>0</v>
      </c>
      <c r="H82" s="7">
        <f t="shared" si="4"/>
        <v>0</v>
      </c>
      <c r="I82" s="7">
        <f t="shared" si="5"/>
        <v>0</v>
      </c>
      <c r="J82" s="7">
        <v>2438.7791141370335</v>
      </c>
      <c r="K82" s="7">
        <f t="shared" si="6"/>
        <v>38.895998630574702</v>
      </c>
      <c r="L82" s="7">
        <f t="shared" si="7"/>
        <v>146.40498948779523</v>
      </c>
      <c r="M82" s="7">
        <v>0</v>
      </c>
      <c r="N82" s="7">
        <f t="shared" si="8"/>
        <v>0</v>
      </c>
      <c r="O82" s="7">
        <f t="shared" si="9"/>
        <v>0</v>
      </c>
    </row>
    <row r="83" spans="3:15" x14ac:dyDescent="0.2">
      <c r="C83">
        <v>64</v>
      </c>
      <c r="D83" s="7">
        <v>3377.2592329777999</v>
      </c>
      <c r="E83" s="7">
        <f t="shared" si="2"/>
        <v>100.99459428761364</v>
      </c>
      <c r="F83" s="7">
        <f t="shared" si="3"/>
        <v>272.72211996999567</v>
      </c>
      <c r="G83">
        <v>0</v>
      </c>
      <c r="H83" s="7">
        <f t="shared" si="4"/>
        <v>0</v>
      </c>
      <c r="I83" s="7">
        <f t="shared" si="5"/>
        <v>0</v>
      </c>
      <c r="J83" s="7">
        <v>2273.1093920170115</v>
      </c>
      <c r="K83" s="7">
        <f t="shared" si="6"/>
        <v>36.253738309681204</v>
      </c>
      <c r="L83" s="7">
        <f t="shared" si="7"/>
        <v>136.45949102718106</v>
      </c>
      <c r="M83" s="7">
        <v>680.37424334317575</v>
      </c>
      <c r="N83" s="7">
        <f t="shared" si="8"/>
        <v>54.256319245867289</v>
      </c>
      <c r="O83" s="7">
        <f t="shared" si="9"/>
        <v>20.537914935102574</v>
      </c>
    </row>
    <row r="84" spans="3:15" x14ac:dyDescent="0.2">
      <c r="C84">
        <v>65</v>
      </c>
      <c r="D84" s="7">
        <v>3371.7359353387542</v>
      </c>
      <c r="E84" s="7">
        <f t="shared" si="2"/>
        <v>100.82942390367089</v>
      </c>
      <c r="F84" s="7">
        <f t="shared" si="3"/>
        <v>272.27609988760548</v>
      </c>
      <c r="G84">
        <v>0</v>
      </c>
      <c r="H84" s="7">
        <f t="shared" si="4"/>
        <v>0</v>
      </c>
      <c r="I84" s="7">
        <f t="shared" si="5"/>
        <v>0</v>
      </c>
      <c r="J84" s="7">
        <v>2586.8346146557747</v>
      </c>
      <c r="K84" s="7">
        <f t="shared" si="6"/>
        <v>41.257330377285086</v>
      </c>
      <c r="L84" s="7">
        <f t="shared" si="7"/>
        <v>155.29306954039427</v>
      </c>
      <c r="M84" s="7">
        <v>680.37424334317575</v>
      </c>
      <c r="N84" s="7">
        <f t="shared" si="8"/>
        <v>54.256319245867289</v>
      </c>
      <c r="O84" s="7">
        <f t="shared" si="9"/>
        <v>20.537914935102574</v>
      </c>
    </row>
    <row r="85" spans="3:15" x14ac:dyDescent="0.2">
      <c r="C85">
        <v>66</v>
      </c>
      <c r="D85" s="7">
        <v>3366.242805724452</v>
      </c>
      <c r="E85" s="7">
        <f t="shared" ref="E85:E148" si="10">D85/($C$3*($D$8-$D$6))</f>
        <v>100.66515567357811</v>
      </c>
      <c r="F85" s="7">
        <f t="shared" ref="F85:F148" si="11">E85*$C$3*((($D$8)-($D$6))-$C$2*LN(($D$8)/($D$6)))</f>
        <v>271.83251594857762</v>
      </c>
      <c r="G85">
        <v>0</v>
      </c>
      <c r="H85" s="7">
        <f t="shared" ref="H85:H148" si="12">G85/($C$3*($D$6-$D$9))</f>
        <v>0</v>
      </c>
      <c r="I85" s="7">
        <f t="shared" ref="I85:I148" si="13">ABS(H85*$C$3*(($D$9-$D$6)-$C$2*(LN($D$9/$D$6))))</f>
        <v>0</v>
      </c>
      <c r="J85" s="7">
        <v>2900.5296692697943</v>
      </c>
      <c r="K85" s="7">
        <f t="shared" ref="K85:K148" si="14">J85/($C$3*($D$10-$D$7))</f>
        <v>46.26044129616897</v>
      </c>
      <c r="L85" s="7">
        <f t="shared" ref="L85:L148" si="15">K85*$C$3*(($D$10-$D$7)-$C$2*LN($D$10/$D$7))</f>
        <v>174.12483700425091</v>
      </c>
      <c r="M85" s="7">
        <v>680.37424334317575</v>
      </c>
      <c r="N85" s="7">
        <f t="shared" ref="N85:N148" si="16">M85/($C$3*($D$7-$D$11))</f>
        <v>54.256319245867289</v>
      </c>
      <c r="O85" s="7">
        <f t="shared" ref="O85:O148" si="17">ABS(N85*$C$3*(($D$11-$D$7)-$C$2*LN($D$11/$D$7)))</f>
        <v>20.537914935102574</v>
      </c>
    </row>
    <row r="86" spans="3:15" x14ac:dyDescent="0.2">
      <c r="C86">
        <v>67</v>
      </c>
      <c r="D86" s="7">
        <v>3360.7797405378101</v>
      </c>
      <c r="E86" s="7">
        <f t="shared" si="10"/>
        <v>100.50178649933643</v>
      </c>
      <c r="F86" s="7">
        <f t="shared" si="11"/>
        <v>271.39135978718889</v>
      </c>
      <c r="G86">
        <v>0</v>
      </c>
      <c r="H86" s="7">
        <f t="shared" si="12"/>
        <v>0</v>
      </c>
      <c r="I86" s="7">
        <f t="shared" si="13"/>
        <v>0</v>
      </c>
      <c r="J86" s="7">
        <v>3488.1519261225681</v>
      </c>
      <c r="K86" s="7">
        <f t="shared" si="14"/>
        <v>55.632407115192478</v>
      </c>
      <c r="L86" s="7">
        <f t="shared" si="15"/>
        <v>209.40102492903023</v>
      </c>
      <c r="M86" s="7">
        <v>680.37424334317575</v>
      </c>
      <c r="N86" s="7">
        <f t="shared" si="16"/>
        <v>54.256319245867289</v>
      </c>
      <c r="O86" s="7">
        <f t="shared" si="17"/>
        <v>20.537914935102574</v>
      </c>
    </row>
    <row r="87" spans="3:15" x14ac:dyDescent="0.2">
      <c r="C87">
        <v>68</v>
      </c>
      <c r="D87" s="7">
        <v>3355.3466364666951</v>
      </c>
      <c r="E87" s="7">
        <f t="shared" si="10"/>
        <v>100.33931329146816</v>
      </c>
      <c r="F87" s="7">
        <f t="shared" si="11"/>
        <v>270.9526230607263</v>
      </c>
      <c r="G87">
        <v>0</v>
      </c>
      <c r="H87" s="7">
        <f t="shared" si="12"/>
        <v>0</v>
      </c>
      <c r="I87" s="7">
        <f t="shared" si="13"/>
        <v>0</v>
      </c>
      <c r="J87" s="7">
        <v>3493.585030193683</v>
      </c>
      <c r="K87" s="7">
        <f t="shared" si="14"/>
        <v>55.719059492722224</v>
      </c>
      <c r="L87" s="7">
        <f t="shared" si="15"/>
        <v>209.72718548199163</v>
      </c>
      <c r="M87" s="7">
        <v>680.37424334317575</v>
      </c>
      <c r="N87" s="7">
        <f t="shared" si="16"/>
        <v>54.256319245867289</v>
      </c>
      <c r="O87" s="7">
        <f t="shared" si="17"/>
        <v>20.537914935102574</v>
      </c>
    </row>
    <row r="88" spans="3:15" x14ac:dyDescent="0.2">
      <c r="C88">
        <v>69</v>
      </c>
      <c r="D88" s="7">
        <v>3349.9433904832831</v>
      </c>
      <c r="E88" s="7">
        <f t="shared" si="10"/>
        <v>100.1777329689977</v>
      </c>
      <c r="F88" s="7">
        <f t="shared" si="11"/>
        <v>270.51629744943585</v>
      </c>
      <c r="G88">
        <v>0</v>
      </c>
      <c r="H88" s="7">
        <f t="shared" si="12"/>
        <v>0</v>
      </c>
      <c r="I88" s="7">
        <f t="shared" si="13"/>
        <v>0</v>
      </c>
      <c r="J88" s="7">
        <v>3841.4348595101137</v>
      </c>
      <c r="K88" s="7">
        <f t="shared" si="14"/>
        <v>61.266903660448392</v>
      </c>
      <c r="L88" s="7">
        <f t="shared" si="15"/>
        <v>230.60933520567582</v>
      </c>
      <c r="M88" s="7">
        <v>680.37424334317575</v>
      </c>
      <c r="N88" s="7">
        <f t="shared" si="16"/>
        <v>54.256319245867289</v>
      </c>
      <c r="O88" s="7">
        <f t="shared" si="17"/>
        <v>20.537914935102574</v>
      </c>
    </row>
    <row r="89" spans="3:15" x14ac:dyDescent="0.2">
      <c r="C89">
        <v>70</v>
      </c>
      <c r="D89" s="7">
        <v>3344.6581258309175</v>
      </c>
      <c r="E89" s="7">
        <f t="shared" si="10"/>
        <v>100.01968079637912</v>
      </c>
      <c r="F89" s="7">
        <f t="shared" si="11"/>
        <v>270.08949912536264</v>
      </c>
      <c r="G89">
        <v>0</v>
      </c>
      <c r="H89" s="7">
        <f t="shared" si="12"/>
        <v>0</v>
      </c>
      <c r="I89" s="7">
        <f t="shared" si="13"/>
        <v>0</v>
      </c>
      <c r="J89" s="7">
        <v>2956.359007496631</v>
      </c>
      <c r="K89" s="7">
        <f t="shared" si="14"/>
        <v>47.150861363582635</v>
      </c>
      <c r="L89" s="7">
        <f t="shared" si="15"/>
        <v>177.47638845424882</v>
      </c>
      <c r="M89" s="7">
        <v>680.37424334317575</v>
      </c>
      <c r="N89" s="7">
        <f t="shared" si="16"/>
        <v>54.256319245867289</v>
      </c>
      <c r="O89" s="7">
        <f t="shared" si="17"/>
        <v>20.537914935102574</v>
      </c>
    </row>
    <row r="90" spans="3:15" x14ac:dyDescent="0.2">
      <c r="C90">
        <v>71</v>
      </c>
      <c r="D90" s="7">
        <v>3340.1956290893513</v>
      </c>
      <c r="E90" s="7">
        <f t="shared" si="10"/>
        <v>99.886232927313145</v>
      </c>
      <c r="F90" s="7">
        <f t="shared" si="11"/>
        <v>269.72914136548582</v>
      </c>
      <c r="G90">
        <v>0</v>
      </c>
      <c r="H90" s="7">
        <f t="shared" si="12"/>
        <v>0</v>
      </c>
      <c r="I90" s="7">
        <f t="shared" si="13"/>
        <v>0</v>
      </c>
      <c r="J90" s="7">
        <v>2070.4603875723478</v>
      </c>
      <c r="K90" s="7">
        <f t="shared" si="14"/>
        <v>33.021696771488806</v>
      </c>
      <c r="L90" s="7">
        <f t="shared" si="15"/>
        <v>124.29404923155069</v>
      </c>
      <c r="M90" s="7">
        <v>0</v>
      </c>
      <c r="N90" s="7">
        <f t="shared" si="16"/>
        <v>0</v>
      </c>
      <c r="O90" s="7">
        <f t="shared" si="17"/>
        <v>0</v>
      </c>
    </row>
    <row r="91" spans="3:15" x14ac:dyDescent="0.2">
      <c r="C91">
        <v>72</v>
      </c>
      <c r="D91" s="7">
        <v>3335.7610138627938</v>
      </c>
      <c r="E91" s="7">
        <f t="shared" si="10"/>
        <v>99.753618835609871</v>
      </c>
      <c r="F91" s="7">
        <f t="shared" si="11"/>
        <v>269.37103510759823</v>
      </c>
      <c r="G91">
        <v>0</v>
      </c>
      <c r="H91" s="7">
        <f t="shared" si="12"/>
        <v>0</v>
      </c>
      <c r="I91" s="7">
        <f t="shared" si="13"/>
        <v>0</v>
      </c>
      <c r="J91" s="7">
        <v>1184.5338861330551</v>
      </c>
      <c r="K91" s="7">
        <f t="shared" si="14"/>
        <v>18.892087498134853</v>
      </c>
      <c r="L91" s="7">
        <f t="shared" si="15"/>
        <v>71.110036223437447</v>
      </c>
      <c r="M91" s="7">
        <v>0</v>
      </c>
      <c r="N91" s="7">
        <f t="shared" si="16"/>
        <v>0</v>
      </c>
      <c r="O91" s="7">
        <f t="shared" si="17"/>
        <v>0</v>
      </c>
    </row>
    <row r="92" spans="3:15" x14ac:dyDescent="0.2">
      <c r="C92">
        <v>73</v>
      </c>
      <c r="D92" s="7">
        <v>2910.7959583306606</v>
      </c>
      <c r="E92" s="7">
        <f t="shared" si="10"/>
        <v>87.045333682136985</v>
      </c>
      <c r="F92" s="7">
        <f t="shared" si="11"/>
        <v>235.05404524605862</v>
      </c>
      <c r="G92">
        <v>0</v>
      </c>
      <c r="H92" s="7">
        <f t="shared" si="12"/>
        <v>0</v>
      </c>
      <c r="I92" s="7">
        <f t="shared" si="13"/>
        <v>0</v>
      </c>
      <c r="J92" s="7">
        <v>0</v>
      </c>
      <c r="K92" s="7">
        <f t="shared" si="14"/>
        <v>0</v>
      </c>
      <c r="L92" s="7">
        <f t="shared" si="15"/>
        <v>0</v>
      </c>
      <c r="M92" s="7">
        <v>0</v>
      </c>
      <c r="N92" s="7">
        <f t="shared" si="16"/>
        <v>0</v>
      </c>
      <c r="O92" s="7">
        <f t="shared" si="17"/>
        <v>0</v>
      </c>
    </row>
    <row r="93" spans="3:15" x14ac:dyDescent="0.2">
      <c r="C93">
        <v>74</v>
      </c>
      <c r="D93" s="7">
        <v>2739.5726666641513</v>
      </c>
      <c r="E93" s="7">
        <f t="shared" si="10"/>
        <v>81.925019936128933</v>
      </c>
      <c r="F93" s="7">
        <f t="shared" si="11"/>
        <v>221.22733670217281</v>
      </c>
      <c r="G93">
        <v>0</v>
      </c>
      <c r="H93" s="7">
        <f t="shared" si="12"/>
        <v>0</v>
      </c>
      <c r="I93" s="7">
        <f t="shared" si="13"/>
        <v>0</v>
      </c>
      <c r="J93" s="7">
        <v>0</v>
      </c>
      <c r="K93" s="7">
        <f t="shared" si="14"/>
        <v>0</v>
      </c>
      <c r="L93" s="7">
        <f t="shared" si="15"/>
        <v>0</v>
      </c>
      <c r="M93" s="7">
        <v>0</v>
      </c>
      <c r="N93" s="7">
        <f t="shared" si="16"/>
        <v>0</v>
      </c>
      <c r="O93" s="7">
        <f t="shared" si="17"/>
        <v>0</v>
      </c>
    </row>
    <row r="94" spans="3:15" x14ac:dyDescent="0.2">
      <c r="C94">
        <v>75</v>
      </c>
      <c r="D94" s="7">
        <v>2910.7959583306606</v>
      </c>
      <c r="E94" s="7">
        <f t="shared" si="10"/>
        <v>87.045333682136985</v>
      </c>
      <c r="F94" s="7">
        <f t="shared" si="11"/>
        <v>235.05404524605862</v>
      </c>
      <c r="G94">
        <v>0</v>
      </c>
      <c r="H94" s="7">
        <f t="shared" si="12"/>
        <v>0</v>
      </c>
      <c r="I94" s="7">
        <f t="shared" si="13"/>
        <v>0</v>
      </c>
      <c r="J94" s="7">
        <v>0</v>
      </c>
      <c r="K94" s="7">
        <f t="shared" si="14"/>
        <v>0</v>
      </c>
      <c r="L94" s="7">
        <f t="shared" si="15"/>
        <v>0</v>
      </c>
      <c r="M94" s="7">
        <v>0</v>
      </c>
      <c r="N94" s="7">
        <f t="shared" si="16"/>
        <v>0</v>
      </c>
      <c r="O94" s="7">
        <f t="shared" si="17"/>
        <v>0</v>
      </c>
    </row>
    <row r="95" spans="3:15" x14ac:dyDescent="0.2">
      <c r="C95">
        <v>76</v>
      </c>
      <c r="D95" s="7">
        <v>3082.0192499971704</v>
      </c>
      <c r="E95" s="7">
        <f t="shared" si="10"/>
        <v>92.16564742814505</v>
      </c>
      <c r="F95" s="7">
        <f t="shared" si="11"/>
        <v>248.88075378994444</v>
      </c>
      <c r="G95">
        <v>0</v>
      </c>
      <c r="H95" s="7">
        <f t="shared" si="12"/>
        <v>0</v>
      </c>
      <c r="I95" s="7">
        <f t="shared" si="13"/>
        <v>0</v>
      </c>
      <c r="J95" s="7">
        <v>0</v>
      </c>
      <c r="K95" s="7">
        <f t="shared" si="14"/>
        <v>0</v>
      </c>
      <c r="L95" s="7">
        <f t="shared" si="15"/>
        <v>0</v>
      </c>
      <c r="M95" s="7">
        <v>0</v>
      </c>
      <c r="N95" s="7">
        <f t="shared" si="16"/>
        <v>0</v>
      </c>
      <c r="O95" s="7">
        <f t="shared" si="17"/>
        <v>0</v>
      </c>
    </row>
    <row r="96" spans="3:15" x14ac:dyDescent="0.2">
      <c r="C96">
        <v>77</v>
      </c>
      <c r="D96" s="7">
        <v>3317.2725863195528</v>
      </c>
      <c r="E96" s="7">
        <f t="shared" si="10"/>
        <v>99.200735236828734</v>
      </c>
      <c r="F96" s="7">
        <f t="shared" si="11"/>
        <v>267.87804839657861</v>
      </c>
      <c r="G96">
        <v>0</v>
      </c>
      <c r="H96" s="7">
        <f t="shared" si="12"/>
        <v>0</v>
      </c>
      <c r="I96" s="7">
        <f t="shared" si="13"/>
        <v>0</v>
      </c>
      <c r="J96" s="7">
        <v>107.19324701063624</v>
      </c>
      <c r="K96" s="7">
        <f t="shared" si="14"/>
        <v>1.7096211644439594</v>
      </c>
      <c r="L96" s="7">
        <f t="shared" si="15"/>
        <v>6.4350338703421501</v>
      </c>
      <c r="M96" s="7">
        <v>0</v>
      </c>
      <c r="N96" s="7">
        <f t="shared" si="16"/>
        <v>0</v>
      </c>
      <c r="O96" s="7">
        <f t="shared" si="17"/>
        <v>0</v>
      </c>
    </row>
    <row r="97" spans="3:15" x14ac:dyDescent="0.2">
      <c r="C97">
        <v>78</v>
      </c>
      <c r="D97" s="7">
        <v>3312.9881178405958</v>
      </c>
      <c r="E97" s="7">
        <f t="shared" si="10"/>
        <v>99.072611179443655</v>
      </c>
      <c r="F97" s="7">
        <f t="shared" si="11"/>
        <v>267.53206686364916</v>
      </c>
      <c r="G97">
        <v>0</v>
      </c>
      <c r="H97" s="7">
        <f t="shared" si="12"/>
        <v>0</v>
      </c>
      <c r="I97" s="7">
        <f t="shared" si="13"/>
        <v>0</v>
      </c>
      <c r="J97" s="7">
        <v>339.77543771160526</v>
      </c>
      <c r="K97" s="7">
        <f t="shared" si="14"/>
        <v>5.4190659922106104</v>
      </c>
      <c r="L97" s="7">
        <f t="shared" si="15"/>
        <v>20.397427179041951</v>
      </c>
      <c r="M97" s="7">
        <v>0</v>
      </c>
      <c r="N97" s="7">
        <f t="shared" si="16"/>
        <v>0</v>
      </c>
      <c r="O97" s="7">
        <f t="shared" si="17"/>
        <v>0</v>
      </c>
    </row>
    <row r="98" spans="3:15" x14ac:dyDescent="0.2">
      <c r="C98">
        <v>79</v>
      </c>
      <c r="D98" s="7">
        <v>3308.7308866056469</v>
      </c>
      <c r="E98" s="7">
        <f t="shared" si="10"/>
        <v>98.945301632943995</v>
      </c>
      <c r="F98" s="7">
        <f t="shared" si="11"/>
        <v>267.18828480621613</v>
      </c>
      <c r="G98">
        <v>0</v>
      </c>
      <c r="H98" s="7">
        <f t="shared" si="12"/>
        <v>0</v>
      </c>
      <c r="I98" s="7">
        <f t="shared" si="13"/>
        <v>0</v>
      </c>
      <c r="J98" s="7">
        <v>572.33039116856708</v>
      </c>
      <c r="K98" s="7">
        <f t="shared" si="14"/>
        <v>9.1280764141717246</v>
      </c>
      <c r="L98" s="7">
        <f t="shared" si="15"/>
        <v>34.35818537925676</v>
      </c>
      <c r="M98" s="7">
        <v>680.37424334317575</v>
      </c>
      <c r="N98" s="7">
        <f t="shared" si="16"/>
        <v>54.256319245867289</v>
      </c>
      <c r="O98" s="7">
        <f t="shared" si="17"/>
        <v>20.537914935102574</v>
      </c>
    </row>
    <row r="99" spans="3:15" x14ac:dyDescent="0.2">
      <c r="C99">
        <v>80</v>
      </c>
      <c r="D99" s="7">
        <v>3304.500794643368</v>
      </c>
      <c r="E99" s="7">
        <f t="shared" si="10"/>
        <v>98.818803667564836</v>
      </c>
      <c r="F99" s="7">
        <f t="shared" si="11"/>
        <v>266.84669431284925</v>
      </c>
      <c r="G99">
        <v>0</v>
      </c>
      <c r="H99" s="7">
        <f t="shared" si="12"/>
        <v>0</v>
      </c>
      <c r="I99" s="7">
        <f t="shared" si="13"/>
        <v>0</v>
      </c>
      <c r="J99" s="7">
        <v>804.85820535285802</v>
      </c>
      <c r="K99" s="7">
        <f t="shared" si="14"/>
        <v>12.83665399286855</v>
      </c>
      <c r="L99" s="7">
        <f t="shared" si="15"/>
        <v>48.317314352409944</v>
      </c>
      <c r="M99" s="7">
        <v>680.37424334317575</v>
      </c>
      <c r="N99" s="7">
        <f t="shared" si="16"/>
        <v>54.256319245867289</v>
      </c>
      <c r="O99" s="7">
        <f t="shared" si="17"/>
        <v>20.537914935102574</v>
      </c>
    </row>
    <row r="100" spans="3:15" x14ac:dyDescent="0.2">
      <c r="C100">
        <v>81</v>
      </c>
      <c r="D100" s="7">
        <v>3300.2977442600709</v>
      </c>
      <c r="E100" s="7">
        <f t="shared" si="10"/>
        <v>98.693114361844238</v>
      </c>
      <c r="F100" s="7">
        <f t="shared" si="11"/>
        <v>266.50728749453913</v>
      </c>
      <c r="G100">
        <v>0</v>
      </c>
      <c r="H100" s="7">
        <f t="shared" si="12"/>
        <v>0</v>
      </c>
      <c r="I100" s="7">
        <f t="shared" si="13"/>
        <v>0</v>
      </c>
      <c r="J100" s="7">
        <v>1037.3589779581685</v>
      </c>
      <c r="K100" s="7">
        <f t="shared" si="14"/>
        <v>16.544800286414173</v>
      </c>
      <c r="L100" s="7">
        <f t="shared" si="15"/>
        <v>62.274819963257194</v>
      </c>
      <c r="M100" s="7">
        <v>680.37424334317575</v>
      </c>
      <c r="N100" s="7">
        <f t="shared" si="16"/>
        <v>54.256319245867289</v>
      </c>
      <c r="O100" s="7">
        <f t="shared" si="17"/>
        <v>20.537914935102574</v>
      </c>
    </row>
    <row r="101" spans="3:15" x14ac:dyDescent="0.2">
      <c r="C101">
        <v>82</v>
      </c>
      <c r="D101" s="7">
        <v>3296.121638039067</v>
      </c>
      <c r="E101" s="7">
        <f t="shared" si="10"/>
        <v>98.568230802603679</v>
      </c>
      <c r="F101" s="7">
        <f t="shared" si="11"/>
        <v>266.17005648464476</v>
      </c>
      <c r="G101">
        <v>0</v>
      </c>
      <c r="H101" s="7">
        <f t="shared" si="12"/>
        <v>0</v>
      </c>
      <c r="I101" s="7">
        <f t="shared" si="13"/>
        <v>0</v>
      </c>
      <c r="J101" s="7">
        <v>1269.8328064011848</v>
      </c>
      <c r="K101" s="7">
        <f t="shared" si="14"/>
        <v>20.252516848503745</v>
      </c>
      <c r="L101" s="7">
        <f t="shared" si="15"/>
        <v>76.230708059925092</v>
      </c>
      <c r="M101" s="7">
        <v>680.37424334317575</v>
      </c>
      <c r="N101" s="7">
        <f t="shared" si="16"/>
        <v>54.256319245867289</v>
      </c>
      <c r="O101" s="7">
        <f t="shared" si="17"/>
        <v>20.537914935102574</v>
      </c>
    </row>
    <row r="102" spans="3:15" x14ac:dyDescent="0.2">
      <c r="C102">
        <v>83</v>
      </c>
      <c r="D102" s="7">
        <v>3291.9723788400097</v>
      </c>
      <c r="E102" s="7">
        <f t="shared" si="10"/>
        <v>98.444150084928523</v>
      </c>
      <c r="F102" s="7">
        <f t="shared" si="11"/>
        <v>265.83499343884057</v>
      </c>
      <c r="G102">
        <v>0</v>
      </c>
      <c r="H102" s="7">
        <f t="shared" si="12"/>
        <v>0</v>
      </c>
      <c r="I102" s="7">
        <f t="shared" si="13"/>
        <v>0</v>
      </c>
      <c r="J102" s="7">
        <v>1502.2797878222545</v>
      </c>
      <c r="K102" s="7">
        <f t="shared" si="14"/>
        <v>23.959805228425115</v>
      </c>
      <c r="L102" s="7">
        <f t="shared" si="15"/>
        <v>90.184984473951019</v>
      </c>
      <c r="M102" s="7">
        <v>680.37424334317575</v>
      </c>
      <c r="N102" s="7">
        <f t="shared" si="16"/>
        <v>54.256319245867289</v>
      </c>
      <c r="O102" s="7">
        <f t="shared" si="17"/>
        <v>20.537914935102574</v>
      </c>
    </row>
    <row r="103" spans="3:15" x14ac:dyDescent="0.2">
      <c r="C103">
        <v>84</v>
      </c>
      <c r="D103" s="7">
        <v>3287.8498697982427</v>
      </c>
      <c r="E103" s="7">
        <f t="shared" si="10"/>
        <v>98.320869312148417</v>
      </c>
      <c r="F103" s="7">
        <f t="shared" si="11"/>
        <v>265.50209053506353</v>
      </c>
      <c r="G103">
        <v>0</v>
      </c>
      <c r="H103" s="7">
        <f t="shared" si="12"/>
        <v>0</v>
      </c>
      <c r="I103" s="7">
        <f t="shared" si="13"/>
        <v>0</v>
      </c>
      <c r="J103" s="7">
        <v>1734.700019086034</v>
      </c>
      <c r="K103" s="7">
        <f t="shared" si="14"/>
        <v>27.666666971069123</v>
      </c>
      <c r="L103" s="7">
        <f t="shared" si="15"/>
        <v>104.13765502032203</v>
      </c>
      <c r="M103" s="7">
        <v>680.37424334317575</v>
      </c>
      <c r="N103" s="7">
        <f t="shared" si="16"/>
        <v>54.256319245867289</v>
      </c>
      <c r="O103" s="7">
        <f t="shared" si="17"/>
        <v>20.537914935102574</v>
      </c>
    </row>
    <row r="104" spans="3:15" x14ac:dyDescent="0.2">
      <c r="C104">
        <v>85</v>
      </c>
      <c r="D104" s="7">
        <v>3283.7540143241426</v>
      </c>
      <c r="E104" s="7">
        <f t="shared" si="10"/>
        <v>98.198385595817669</v>
      </c>
      <c r="F104" s="7">
        <f t="shared" si="11"/>
        <v>265.17133997346025</v>
      </c>
      <c r="G104">
        <v>0</v>
      </c>
      <c r="H104" s="7">
        <f t="shared" si="12"/>
        <v>0</v>
      </c>
      <c r="I104" s="7">
        <f t="shared" si="13"/>
        <v>0</v>
      </c>
      <c r="J104" s="7">
        <v>1967.0935967821465</v>
      </c>
      <c r="K104" s="7">
        <f t="shared" si="14"/>
        <v>31.373103616940138</v>
      </c>
      <c r="L104" s="7">
        <f t="shared" si="15"/>
        <v>118.08872549751439</v>
      </c>
      <c r="M104" s="7">
        <v>680.37424334317575</v>
      </c>
      <c r="N104" s="7">
        <f t="shared" si="16"/>
        <v>54.256319245867289</v>
      </c>
      <c r="O104" s="7">
        <f t="shared" si="17"/>
        <v>20.537914935102574</v>
      </c>
    </row>
    <row r="105" spans="3:15" x14ac:dyDescent="0.2">
      <c r="C105">
        <v>86</v>
      </c>
      <c r="D105" s="7">
        <v>3279.6847161024739</v>
      </c>
      <c r="E105" s="7">
        <f t="shared" si="10"/>
        <v>98.07669605569599</v>
      </c>
      <c r="F105" s="7">
        <f t="shared" si="11"/>
        <v>264.84273397633484</v>
      </c>
      <c r="G105">
        <v>0</v>
      </c>
      <c r="H105" s="7">
        <f t="shared" si="12"/>
        <v>0</v>
      </c>
      <c r="I105" s="7">
        <f t="shared" si="13"/>
        <v>0</v>
      </c>
      <c r="J105" s="7">
        <v>2199.4606172258286</v>
      </c>
      <c r="K105" s="7">
        <f t="shared" si="14"/>
        <v>35.079116702166331</v>
      </c>
      <c r="L105" s="7">
        <f t="shared" si="15"/>
        <v>132.03820168753231</v>
      </c>
      <c r="M105" s="7">
        <v>680.37424334317575</v>
      </c>
      <c r="N105" s="7">
        <f t="shared" si="16"/>
        <v>54.256319245867289</v>
      </c>
      <c r="O105" s="7">
        <f t="shared" si="17"/>
        <v>20.537914935102574</v>
      </c>
    </row>
    <row r="106" spans="3:15" x14ac:dyDescent="0.2">
      <c r="C106">
        <v>87</v>
      </c>
      <c r="D106" s="7">
        <v>3275.6418790917414</v>
      </c>
      <c r="E106" s="7">
        <f t="shared" si="10"/>
        <v>97.955797819729113</v>
      </c>
      <c r="F106" s="7">
        <f t="shared" si="11"/>
        <v>264.51626478809669</v>
      </c>
      <c r="G106">
        <v>0</v>
      </c>
      <c r="H106" s="7">
        <f t="shared" si="12"/>
        <v>0</v>
      </c>
      <c r="I106" s="7">
        <f t="shared" si="13"/>
        <v>0</v>
      </c>
      <c r="J106" s="7">
        <v>2032.2801625700504</v>
      </c>
      <c r="K106" s="7">
        <f t="shared" si="14"/>
        <v>32.412761763477683</v>
      </c>
      <c r="L106" s="7">
        <f t="shared" si="15"/>
        <v>122.00201080638114</v>
      </c>
      <c r="M106" s="7">
        <v>680.37424334317575</v>
      </c>
      <c r="N106" s="7">
        <f t="shared" si="16"/>
        <v>54.256319245867289</v>
      </c>
      <c r="O106" s="7">
        <f t="shared" si="17"/>
        <v>20.537914935102574</v>
      </c>
    </row>
    <row r="107" spans="3:15" x14ac:dyDescent="0.2">
      <c r="C107">
        <v>88</v>
      </c>
      <c r="D107" s="7">
        <v>3271.6254075235379</v>
      </c>
      <c r="E107" s="7">
        <f t="shared" si="10"/>
        <v>97.835688024029253</v>
      </c>
      <c r="F107" s="7">
        <f t="shared" si="11"/>
        <v>264.19192467520759</v>
      </c>
      <c r="G107">
        <v>0</v>
      </c>
      <c r="H107" s="7">
        <f t="shared" si="12"/>
        <v>0</v>
      </c>
      <c r="I107" s="7">
        <f t="shared" si="13"/>
        <v>0</v>
      </c>
      <c r="J107" s="7">
        <v>2435.8176480267771</v>
      </c>
      <c r="K107" s="7">
        <f t="shared" si="14"/>
        <v>38.84876631621654</v>
      </c>
      <c r="L107" s="7">
        <f t="shared" si="15"/>
        <v>146.22720650932567</v>
      </c>
      <c r="M107" s="7">
        <v>680.37424334317575</v>
      </c>
      <c r="N107" s="7">
        <f t="shared" si="16"/>
        <v>54.256319245867289</v>
      </c>
      <c r="O107" s="7">
        <f t="shared" si="17"/>
        <v>20.537914935102574</v>
      </c>
    </row>
    <row r="108" spans="3:15" x14ac:dyDescent="0.2">
      <c r="C108">
        <v>89</v>
      </c>
      <c r="D108" s="7">
        <v>3267.6352059018991</v>
      </c>
      <c r="E108" s="7">
        <f t="shared" si="10"/>
        <v>97.716363812855846</v>
      </c>
      <c r="F108" s="7">
        <f t="shared" si="11"/>
        <v>263.86970592612994</v>
      </c>
      <c r="G108">
        <v>0</v>
      </c>
      <c r="H108" s="7">
        <f t="shared" si="12"/>
        <v>0</v>
      </c>
      <c r="I108" s="7">
        <f t="shared" si="13"/>
        <v>0</v>
      </c>
      <c r="J108" s="7">
        <v>2839.3288635369381</v>
      </c>
      <c r="K108" s="7">
        <f t="shared" si="14"/>
        <v>45.284351890541281</v>
      </c>
      <c r="L108" s="7">
        <f t="shared" si="15"/>
        <v>170.45082517266525</v>
      </c>
      <c r="M108" s="7">
        <v>680.37424334317575</v>
      </c>
      <c r="N108" s="7">
        <f t="shared" si="16"/>
        <v>54.256319245867289</v>
      </c>
      <c r="O108" s="7">
        <f t="shared" si="17"/>
        <v>20.537914935102574</v>
      </c>
    </row>
    <row r="109" spans="3:15" x14ac:dyDescent="0.2">
      <c r="C109">
        <v>90</v>
      </c>
      <c r="D109" s="7">
        <v>3263.6711790026552</v>
      </c>
      <c r="E109" s="7">
        <f t="shared" si="10"/>
        <v>97.59782233859616</v>
      </c>
      <c r="F109" s="7">
        <f t="shared" si="11"/>
        <v>263.54960085127414</v>
      </c>
      <c r="G109">
        <v>0</v>
      </c>
      <c r="H109" s="7">
        <f t="shared" si="12"/>
        <v>0</v>
      </c>
      <c r="I109" s="7">
        <f t="shared" si="13"/>
        <v>0</v>
      </c>
      <c r="J109" s="7">
        <v>3242.8139043247033</v>
      </c>
      <c r="K109" s="7">
        <f t="shared" si="14"/>
        <v>51.719520005178687</v>
      </c>
      <c r="L109" s="7">
        <f t="shared" si="15"/>
        <v>194.67287251290509</v>
      </c>
      <c r="M109" s="7">
        <v>680.37424334317575</v>
      </c>
      <c r="N109" s="7">
        <f t="shared" si="16"/>
        <v>54.256319245867289</v>
      </c>
      <c r="O109" s="7">
        <f t="shared" si="17"/>
        <v>20.537914935102574</v>
      </c>
    </row>
    <row r="110" spans="3:15" x14ac:dyDescent="0.2">
      <c r="C110">
        <v>91</v>
      </c>
      <c r="D110" s="7">
        <v>3259.7332318727968</v>
      </c>
      <c r="E110" s="7">
        <f t="shared" si="10"/>
        <v>97.480060761746316</v>
      </c>
      <c r="F110" s="7">
        <f t="shared" si="11"/>
        <v>263.23160178294739</v>
      </c>
      <c r="G110">
        <v>0</v>
      </c>
      <c r="H110" s="7">
        <f t="shared" si="12"/>
        <v>0</v>
      </c>
      <c r="I110" s="7">
        <f t="shared" si="13"/>
        <v>0</v>
      </c>
      <c r="J110" s="7">
        <v>2775.8877993716615</v>
      </c>
      <c r="K110" s="7">
        <f t="shared" si="14"/>
        <v>44.272532685353454</v>
      </c>
      <c r="L110" s="7">
        <f t="shared" si="15"/>
        <v>166.64232596157598</v>
      </c>
      <c r="M110" s="7">
        <v>680.37424334317575</v>
      </c>
      <c r="N110" s="7">
        <f t="shared" si="16"/>
        <v>54.256319245867289</v>
      </c>
      <c r="O110" s="7">
        <f t="shared" si="17"/>
        <v>20.537914935102574</v>
      </c>
    </row>
    <row r="111" spans="3:15" x14ac:dyDescent="0.2">
      <c r="C111">
        <v>92</v>
      </c>
      <c r="D111" s="7">
        <v>3255.8212698298148</v>
      </c>
      <c r="E111" s="7">
        <f t="shared" si="10"/>
        <v>97.363076250891595</v>
      </c>
      <c r="F111" s="7">
        <f t="shared" si="11"/>
        <v>262.91570107530066</v>
      </c>
      <c r="G111">
        <v>0</v>
      </c>
      <c r="H111" s="7">
        <f t="shared" si="12"/>
        <v>0</v>
      </c>
      <c r="I111" s="7">
        <f t="shared" si="13"/>
        <v>0</v>
      </c>
      <c r="J111" s="7">
        <v>2308.9357093317421</v>
      </c>
      <c r="K111" s="7">
        <f t="shared" si="14"/>
        <v>36.825130930330815</v>
      </c>
      <c r="L111" s="7">
        <f t="shared" si="15"/>
        <v>138.61021947136226</v>
      </c>
      <c r="M111" s="7">
        <v>680.37424334317575</v>
      </c>
      <c r="N111" s="7">
        <f t="shared" si="16"/>
        <v>54.256319245867289</v>
      </c>
      <c r="O111" s="7">
        <f t="shared" si="17"/>
        <v>20.537914935102574</v>
      </c>
    </row>
    <row r="112" spans="3:15" x14ac:dyDescent="0.2">
      <c r="C112">
        <v>93</v>
      </c>
      <c r="D112" s="7">
        <v>3251.9351984610739</v>
      </c>
      <c r="E112" s="7">
        <f t="shared" si="10"/>
        <v>97.246865982687623</v>
      </c>
      <c r="F112" s="7">
        <f t="shared" si="11"/>
        <v>262.60189110427774</v>
      </c>
      <c r="G112">
        <v>0</v>
      </c>
      <c r="H112" s="7">
        <f t="shared" si="12"/>
        <v>0</v>
      </c>
      <c r="I112" s="7">
        <f t="shared" si="13"/>
        <v>0</v>
      </c>
      <c r="J112" s="7">
        <v>1841.9577286175818</v>
      </c>
      <c r="K112" s="7">
        <f t="shared" si="14"/>
        <v>29.377316245894448</v>
      </c>
      <c r="L112" s="7">
        <f t="shared" si="15"/>
        <v>110.57655871005115</v>
      </c>
      <c r="M112" s="7">
        <v>680.37424334317575</v>
      </c>
      <c r="N112" s="7">
        <f t="shared" si="16"/>
        <v>54.256319245867289</v>
      </c>
      <c r="O112" s="7">
        <f t="shared" si="17"/>
        <v>20.537914935102574</v>
      </c>
    </row>
    <row r="113" spans="3:15" x14ac:dyDescent="0.2">
      <c r="C113">
        <v>94</v>
      </c>
      <c r="D113" s="7">
        <v>3248.0749236231673</v>
      </c>
      <c r="E113" s="7">
        <f t="shared" si="10"/>
        <v>97.131427141841129</v>
      </c>
      <c r="F113" s="7">
        <f t="shared" si="11"/>
        <v>262.29016426756328</v>
      </c>
      <c r="G113">
        <v>0</v>
      </c>
      <c r="H113" s="7">
        <f t="shared" si="12"/>
        <v>0</v>
      </c>
      <c r="I113" s="7">
        <f t="shared" si="13"/>
        <v>0</v>
      </c>
      <c r="J113" s="7">
        <v>1374.9539513725881</v>
      </c>
      <c r="K113" s="7">
        <f t="shared" si="14"/>
        <v>21.929090133534103</v>
      </c>
      <c r="L113" s="7">
        <f t="shared" si="15"/>
        <v>82.541349329267433</v>
      </c>
      <c r="M113" s="7">
        <v>680.37424334317575</v>
      </c>
      <c r="N113" s="7">
        <f t="shared" si="16"/>
        <v>54.256319245867289</v>
      </c>
      <c r="O113" s="7">
        <f t="shared" si="17"/>
        <v>20.537914935102574</v>
      </c>
    </row>
    <row r="114" spans="3:15" x14ac:dyDescent="0.2">
      <c r="C114">
        <v>95</v>
      </c>
      <c r="D114" s="7">
        <v>3244.2403514412699</v>
      </c>
      <c r="E114" s="7">
        <f t="shared" si="10"/>
        <v>97.016756921090618</v>
      </c>
      <c r="F114" s="7">
        <f t="shared" si="11"/>
        <v>261.98051298453078</v>
      </c>
      <c r="G114">
        <v>0</v>
      </c>
      <c r="H114" s="7">
        <f t="shared" si="12"/>
        <v>0</v>
      </c>
      <c r="I114" s="7">
        <f t="shared" si="13"/>
        <v>0</v>
      </c>
      <c r="J114" s="7">
        <v>907.92447147158418</v>
      </c>
      <c r="K114" s="7">
        <f t="shared" si="14"/>
        <v>14.48045409045589</v>
      </c>
      <c r="L114" s="7">
        <f t="shared" si="15"/>
        <v>54.504596964512281</v>
      </c>
      <c r="M114" s="7">
        <v>0</v>
      </c>
      <c r="N114" s="7">
        <f t="shared" si="16"/>
        <v>0</v>
      </c>
      <c r="O114" s="7">
        <f t="shared" si="17"/>
        <v>0</v>
      </c>
    </row>
    <row r="115" spans="3:15" x14ac:dyDescent="0.2">
      <c r="C115">
        <v>96</v>
      </c>
      <c r="D115" s="7">
        <v>3240.4313883085179</v>
      </c>
      <c r="E115" s="7">
        <f t="shared" si="10"/>
        <v>96.902852521187739</v>
      </c>
      <c r="F115" s="7">
        <f t="shared" si="11"/>
        <v>261.67292969619206</v>
      </c>
      <c r="G115">
        <v>0</v>
      </c>
      <c r="H115" s="7">
        <f t="shared" si="12"/>
        <v>0</v>
      </c>
      <c r="I115" s="7">
        <f t="shared" si="13"/>
        <v>0</v>
      </c>
      <c r="J115" s="7">
        <v>184.03444502167122</v>
      </c>
      <c r="K115" s="7">
        <f t="shared" si="14"/>
        <v>2.9351586127858251</v>
      </c>
      <c r="L115" s="7">
        <f t="shared" si="15"/>
        <v>11.04797102476582</v>
      </c>
      <c r="M115" s="7">
        <v>0</v>
      </c>
      <c r="N115" s="7">
        <f t="shared" si="16"/>
        <v>0</v>
      </c>
      <c r="O115" s="7">
        <f t="shared" si="17"/>
        <v>0</v>
      </c>
    </row>
    <row r="116" spans="3:15" x14ac:dyDescent="0.2">
      <c r="C116">
        <v>97</v>
      </c>
      <c r="D116" s="7">
        <v>2910.7959583306606</v>
      </c>
      <c r="E116" s="7">
        <f t="shared" si="10"/>
        <v>87.045333682136985</v>
      </c>
      <c r="F116" s="7">
        <f t="shared" si="11"/>
        <v>235.05404524605862</v>
      </c>
      <c r="G116">
        <v>0</v>
      </c>
      <c r="H116" s="7">
        <f t="shared" si="12"/>
        <v>0</v>
      </c>
      <c r="I116" s="7">
        <f t="shared" si="13"/>
        <v>0</v>
      </c>
      <c r="J116" s="7">
        <v>0</v>
      </c>
      <c r="K116" s="7">
        <f t="shared" si="14"/>
        <v>0</v>
      </c>
      <c r="L116" s="7">
        <f t="shared" si="15"/>
        <v>0</v>
      </c>
      <c r="M116" s="7">
        <v>0</v>
      </c>
      <c r="N116" s="7">
        <f t="shared" si="16"/>
        <v>0</v>
      </c>
      <c r="O116" s="7">
        <f t="shared" si="17"/>
        <v>0</v>
      </c>
    </row>
    <row r="117" spans="3:15" x14ac:dyDescent="0.2">
      <c r="C117">
        <v>98</v>
      </c>
      <c r="D117" s="7">
        <v>2739.5726666641513</v>
      </c>
      <c r="E117" s="7">
        <f t="shared" si="10"/>
        <v>81.925019936128933</v>
      </c>
      <c r="F117" s="7">
        <f t="shared" si="11"/>
        <v>221.22733670217281</v>
      </c>
      <c r="G117">
        <v>0</v>
      </c>
      <c r="H117" s="7">
        <f t="shared" si="12"/>
        <v>0</v>
      </c>
      <c r="I117" s="7">
        <f t="shared" si="13"/>
        <v>0</v>
      </c>
      <c r="J117" s="7">
        <v>0</v>
      </c>
      <c r="K117" s="7">
        <f t="shared" si="14"/>
        <v>0</v>
      </c>
      <c r="L117" s="7">
        <f t="shared" si="15"/>
        <v>0</v>
      </c>
      <c r="M117" s="7">
        <v>0</v>
      </c>
      <c r="N117" s="7">
        <f t="shared" si="16"/>
        <v>0</v>
      </c>
      <c r="O117" s="7">
        <f t="shared" si="17"/>
        <v>0</v>
      </c>
    </row>
    <row r="118" spans="3:15" x14ac:dyDescent="0.2">
      <c r="C118">
        <v>99</v>
      </c>
      <c r="D118" s="7">
        <v>2910.7959583306606</v>
      </c>
      <c r="E118" s="7">
        <f t="shared" si="10"/>
        <v>87.045333682136985</v>
      </c>
      <c r="F118" s="7">
        <f t="shared" si="11"/>
        <v>235.05404524605862</v>
      </c>
      <c r="G118">
        <v>0</v>
      </c>
      <c r="H118" s="7">
        <f t="shared" si="12"/>
        <v>0</v>
      </c>
      <c r="I118" s="7">
        <f t="shared" si="13"/>
        <v>0</v>
      </c>
      <c r="J118" s="7">
        <v>0</v>
      </c>
      <c r="K118" s="7">
        <f t="shared" si="14"/>
        <v>0</v>
      </c>
      <c r="L118" s="7">
        <f t="shared" si="15"/>
        <v>0</v>
      </c>
      <c r="M118" s="7">
        <v>0</v>
      </c>
      <c r="N118" s="7">
        <f t="shared" si="16"/>
        <v>0</v>
      </c>
      <c r="O118" s="7">
        <f t="shared" si="17"/>
        <v>0</v>
      </c>
    </row>
    <row r="119" spans="3:15" x14ac:dyDescent="0.2">
      <c r="C119">
        <v>100</v>
      </c>
      <c r="D119" s="7">
        <v>3082.0192499971704</v>
      </c>
      <c r="E119" s="7">
        <f t="shared" si="10"/>
        <v>92.16564742814505</v>
      </c>
      <c r="F119" s="7">
        <f t="shared" si="11"/>
        <v>248.88075378994444</v>
      </c>
      <c r="G119">
        <v>0</v>
      </c>
      <c r="H119" s="7">
        <f t="shared" si="12"/>
        <v>0</v>
      </c>
      <c r="I119" s="7">
        <f t="shared" si="13"/>
        <v>0</v>
      </c>
      <c r="J119" s="7">
        <v>0</v>
      </c>
      <c r="K119" s="7">
        <f t="shared" si="14"/>
        <v>0</v>
      </c>
      <c r="L119" s="7">
        <f t="shared" si="15"/>
        <v>0</v>
      </c>
      <c r="M119" s="7">
        <v>0</v>
      </c>
      <c r="N119" s="7">
        <f t="shared" si="16"/>
        <v>0</v>
      </c>
      <c r="O119" s="7">
        <f t="shared" si="17"/>
        <v>0</v>
      </c>
    </row>
    <row r="120" spans="3:15" x14ac:dyDescent="0.2">
      <c r="C120">
        <v>101</v>
      </c>
      <c r="D120" s="7">
        <v>3222.4692139397071</v>
      </c>
      <c r="E120" s="7">
        <f t="shared" si="10"/>
        <v>96.365706158484073</v>
      </c>
      <c r="F120" s="7">
        <f t="shared" si="11"/>
        <v>260.22243924366802</v>
      </c>
      <c r="G120">
        <v>0</v>
      </c>
      <c r="H120" s="7">
        <f t="shared" si="12"/>
        <v>0</v>
      </c>
      <c r="I120" s="7">
        <f t="shared" si="13"/>
        <v>0</v>
      </c>
      <c r="J120" s="7">
        <v>170.86511181475271</v>
      </c>
      <c r="K120" s="7">
        <f t="shared" si="14"/>
        <v>2.7251214005542699</v>
      </c>
      <c r="L120" s="7">
        <f t="shared" si="15"/>
        <v>10.257388524471436</v>
      </c>
      <c r="M120" s="7">
        <v>0</v>
      </c>
      <c r="N120" s="7">
        <f t="shared" si="16"/>
        <v>0</v>
      </c>
      <c r="O120" s="7">
        <f t="shared" si="17"/>
        <v>0</v>
      </c>
    </row>
    <row r="121" spans="3:15" x14ac:dyDescent="0.2">
      <c r="C121">
        <v>102</v>
      </c>
      <c r="D121" s="7">
        <v>3217.9219625079559</v>
      </c>
      <c r="E121" s="7">
        <f t="shared" si="10"/>
        <v>96.229723759209207</v>
      </c>
      <c r="F121" s="7">
        <f t="shared" si="11"/>
        <v>259.85523733082869</v>
      </c>
      <c r="G121">
        <v>0</v>
      </c>
      <c r="H121" s="7">
        <f t="shared" si="12"/>
        <v>0</v>
      </c>
      <c r="I121" s="7">
        <f t="shared" si="13"/>
        <v>0</v>
      </c>
      <c r="J121" s="7">
        <v>393.33291627660674</v>
      </c>
      <c r="K121" s="7">
        <f t="shared" si="14"/>
        <v>6.2732522532154187</v>
      </c>
      <c r="L121" s="7">
        <f t="shared" si="15"/>
        <v>23.612594161918317</v>
      </c>
      <c r="M121" s="7">
        <v>0</v>
      </c>
      <c r="N121" s="7">
        <f t="shared" si="16"/>
        <v>0</v>
      </c>
      <c r="O121" s="7">
        <f t="shared" si="17"/>
        <v>0</v>
      </c>
    </row>
    <row r="122" spans="3:15" x14ac:dyDescent="0.2">
      <c r="C122">
        <v>103</v>
      </c>
      <c r="D122" s="7">
        <v>3213.4013762391642</v>
      </c>
      <c r="E122" s="7">
        <f t="shared" si="10"/>
        <v>96.094538763132903</v>
      </c>
      <c r="F122" s="7">
        <f t="shared" si="11"/>
        <v>259.49018869651195</v>
      </c>
      <c r="G122">
        <v>0</v>
      </c>
      <c r="H122" s="7">
        <f t="shared" si="12"/>
        <v>0</v>
      </c>
      <c r="I122" s="7">
        <f t="shared" si="13"/>
        <v>0</v>
      </c>
      <c r="J122" s="7">
        <v>615.77405557550173</v>
      </c>
      <c r="K122" s="7">
        <f t="shared" si="14"/>
        <v>9.8209578241706819</v>
      </c>
      <c r="L122" s="7">
        <f t="shared" si="15"/>
        <v>36.966199034097002</v>
      </c>
      <c r="M122" s="7">
        <v>680.37424334317575</v>
      </c>
      <c r="N122" s="7">
        <f t="shared" si="16"/>
        <v>54.256319245867289</v>
      </c>
      <c r="O122" s="7">
        <f t="shared" si="17"/>
        <v>20.537914935102574</v>
      </c>
    </row>
    <row r="123" spans="3:15" x14ac:dyDescent="0.2">
      <c r="C123">
        <v>104</v>
      </c>
      <c r="D123" s="7">
        <v>3208.9073614494455</v>
      </c>
      <c r="E123" s="7">
        <f t="shared" si="10"/>
        <v>95.960148368703514</v>
      </c>
      <c r="F123" s="7">
        <f t="shared" si="11"/>
        <v>259.12728577550996</v>
      </c>
      <c r="G123">
        <v>0</v>
      </c>
      <c r="H123" s="7">
        <f t="shared" si="12"/>
        <v>0</v>
      </c>
      <c r="I123" s="7">
        <f t="shared" si="13"/>
        <v>0</v>
      </c>
      <c r="J123" s="7">
        <v>838.1886233953237</v>
      </c>
      <c r="K123" s="7">
        <f t="shared" si="14"/>
        <v>13.368239607580922</v>
      </c>
      <c r="L123" s="7">
        <f t="shared" si="15"/>
        <v>50.318208765046286</v>
      </c>
      <c r="M123" s="7">
        <v>680.37424334317575</v>
      </c>
      <c r="N123" s="7">
        <f t="shared" si="16"/>
        <v>54.256319245867289</v>
      </c>
      <c r="O123" s="7">
        <f t="shared" si="17"/>
        <v>20.537914935102574</v>
      </c>
    </row>
    <row r="124" spans="3:15" x14ac:dyDescent="0.2">
      <c r="C124">
        <v>105</v>
      </c>
      <c r="D124" s="7">
        <v>3204.4398247164927</v>
      </c>
      <c r="E124" s="7">
        <f t="shared" si="10"/>
        <v>95.826549782191776</v>
      </c>
      <c r="F124" s="7">
        <f t="shared" si="11"/>
        <v>258.76652102373805</v>
      </c>
      <c r="G124">
        <v>0</v>
      </c>
      <c r="H124" s="7">
        <f t="shared" si="12"/>
        <v>0</v>
      </c>
      <c r="I124" s="7">
        <f t="shared" si="13"/>
        <v>0</v>
      </c>
      <c r="J124" s="7">
        <v>1060.5767131583789</v>
      </c>
      <c r="K124" s="7">
        <f t="shared" si="14"/>
        <v>16.915099093435071</v>
      </c>
      <c r="L124" s="7">
        <f t="shared" si="15"/>
        <v>63.668628963101789</v>
      </c>
      <c r="M124" s="7">
        <v>680.37424334317575</v>
      </c>
      <c r="N124" s="7">
        <f t="shared" si="16"/>
        <v>54.256319245867289</v>
      </c>
      <c r="O124" s="7">
        <f t="shared" si="17"/>
        <v>20.537914935102574</v>
      </c>
    </row>
    <row r="125" spans="3:15" x14ac:dyDescent="0.2">
      <c r="C125">
        <v>106</v>
      </c>
      <c r="D125" s="7">
        <v>3199.9986728789836</v>
      </c>
      <c r="E125" s="7">
        <f t="shared" si="10"/>
        <v>95.693740217672968</v>
      </c>
      <c r="F125" s="7">
        <f t="shared" si="11"/>
        <v>258.40788691818665</v>
      </c>
      <c r="G125">
        <v>0</v>
      </c>
      <c r="H125" s="7">
        <f t="shared" si="12"/>
        <v>0</v>
      </c>
      <c r="I125" s="7">
        <f t="shared" si="13"/>
        <v>0</v>
      </c>
      <c r="J125" s="7">
        <v>1282.9384180259913</v>
      </c>
      <c r="K125" s="7">
        <f t="shared" si="14"/>
        <v>20.461537767559669</v>
      </c>
      <c r="L125" s="7">
        <f t="shared" si="15"/>
        <v>77.017465220931811</v>
      </c>
      <c r="M125" s="7">
        <v>680.37424334317575</v>
      </c>
      <c r="N125" s="7">
        <f t="shared" si="16"/>
        <v>54.256319245867289</v>
      </c>
      <c r="O125" s="7">
        <f t="shared" si="17"/>
        <v>20.537914935102574</v>
      </c>
    </row>
    <row r="126" spans="3:15" x14ac:dyDescent="0.2">
      <c r="C126">
        <v>107</v>
      </c>
      <c r="D126" s="7">
        <v>3195.5838130359493</v>
      </c>
      <c r="E126" s="7">
        <f t="shared" si="10"/>
        <v>95.561716897008054</v>
      </c>
      <c r="F126" s="7">
        <f t="shared" si="11"/>
        <v>258.05137595687052</v>
      </c>
      <c r="G126">
        <v>0</v>
      </c>
      <c r="H126" s="7">
        <f t="shared" si="12"/>
        <v>0</v>
      </c>
      <c r="I126" s="7">
        <f t="shared" si="13"/>
        <v>0</v>
      </c>
      <c r="J126" s="7">
        <v>1505.2738308991288</v>
      </c>
      <c r="K126" s="7">
        <f t="shared" si="14"/>
        <v>24.007557111628852</v>
      </c>
      <c r="L126" s="7">
        <f t="shared" si="15"/>
        <v>90.364723115574947</v>
      </c>
      <c r="M126" s="7">
        <v>680.37424334317575</v>
      </c>
      <c r="N126" s="7">
        <f t="shared" si="16"/>
        <v>54.256319245867289</v>
      </c>
      <c r="O126" s="7">
        <f t="shared" si="17"/>
        <v>20.537914935102574</v>
      </c>
    </row>
    <row r="127" spans="3:15" x14ac:dyDescent="0.2">
      <c r="C127">
        <v>108</v>
      </c>
      <c r="D127" s="7">
        <v>3191.7242578210335</v>
      </c>
      <c r="E127" s="7">
        <f t="shared" si="10"/>
        <v>95.446299575987851</v>
      </c>
      <c r="F127" s="7">
        <f t="shared" si="11"/>
        <v>257.73970723151035</v>
      </c>
      <c r="G127">
        <v>0</v>
      </c>
      <c r="H127" s="7">
        <f t="shared" si="12"/>
        <v>0</v>
      </c>
      <c r="I127" s="7">
        <f t="shared" si="13"/>
        <v>0</v>
      </c>
      <c r="J127" s="7">
        <v>1727.053939144148</v>
      </c>
      <c r="K127" s="7">
        <f t="shared" si="14"/>
        <v>27.544719922554197</v>
      </c>
      <c r="L127" s="7">
        <f t="shared" si="15"/>
        <v>103.67864491685442</v>
      </c>
      <c r="M127" s="7">
        <v>680.37424334317575</v>
      </c>
      <c r="N127" s="7">
        <f t="shared" si="16"/>
        <v>54.256319245867289</v>
      </c>
      <c r="O127" s="7">
        <f t="shared" si="17"/>
        <v>20.537914935102574</v>
      </c>
    </row>
    <row r="128" spans="3:15" x14ac:dyDescent="0.2">
      <c r="C128">
        <v>109</v>
      </c>
      <c r="D128" s="7">
        <v>3188.2422104626344</v>
      </c>
      <c r="E128" s="7">
        <f t="shared" si="10"/>
        <v>95.342171365509401</v>
      </c>
      <c r="F128" s="7">
        <f t="shared" si="11"/>
        <v>257.45852320863588</v>
      </c>
      <c r="G128">
        <v>0</v>
      </c>
      <c r="H128" s="7">
        <f t="shared" si="12"/>
        <v>0</v>
      </c>
      <c r="I128" s="7">
        <f t="shared" si="13"/>
        <v>0</v>
      </c>
      <c r="J128" s="7">
        <v>1948.4565395326495</v>
      </c>
      <c r="K128" s="7">
        <f t="shared" si="14"/>
        <v>31.075861874523916</v>
      </c>
      <c r="L128" s="7">
        <f t="shared" si="15"/>
        <v>116.96990413526829</v>
      </c>
      <c r="M128" s="7">
        <v>680.37424334317575</v>
      </c>
      <c r="N128" s="7">
        <f t="shared" si="16"/>
        <v>54.256319245867289</v>
      </c>
      <c r="O128" s="7">
        <f t="shared" si="17"/>
        <v>20.537914935102574</v>
      </c>
    </row>
    <row r="129" spans="3:15" x14ac:dyDescent="0.2">
      <c r="C129">
        <v>110</v>
      </c>
      <c r="D129" s="7">
        <v>3184.7845098098537</v>
      </c>
      <c r="E129" s="7">
        <f t="shared" si="10"/>
        <v>95.238771226371227</v>
      </c>
      <c r="F129" s="7">
        <f t="shared" si="11"/>
        <v>257.17930524306195</v>
      </c>
      <c r="G129">
        <v>0</v>
      </c>
      <c r="H129" s="7">
        <f t="shared" si="12"/>
        <v>0</v>
      </c>
      <c r="I129" s="7">
        <f t="shared" si="13"/>
        <v>0</v>
      </c>
      <c r="J129" s="7">
        <v>1854.0723592331392</v>
      </c>
      <c r="K129" s="7">
        <f t="shared" si="14"/>
        <v>29.570532045185637</v>
      </c>
      <c r="L129" s="7">
        <f t="shared" si="15"/>
        <v>111.303825217148</v>
      </c>
      <c r="M129" s="7">
        <v>680.37424334317575</v>
      </c>
      <c r="N129" s="7">
        <f t="shared" si="16"/>
        <v>54.256319245867289</v>
      </c>
      <c r="O129" s="7">
        <f t="shared" si="17"/>
        <v>20.537914935102574</v>
      </c>
    </row>
    <row r="130" spans="3:15" x14ac:dyDescent="0.2">
      <c r="C130">
        <v>111</v>
      </c>
      <c r="D130" s="7">
        <v>3181.3510660906541</v>
      </c>
      <c r="E130" s="7">
        <f t="shared" si="10"/>
        <v>95.136096474002812</v>
      </c>
      <c r="F130" s="7">
        <f t="shared" si="11"/>
        <v>256.90204608547208</v>
      </c>
      <c r="G130">
        <v>0</v>
      </c>
      <c r="H130" s="7">
        <f t="shared" si="12"/>
        <v>0</v>
      </c>
      <c r="I130" s="7">
        <f t="shared" si="13"/>
        <v>0</v>
      </c>
      <c r="J130" s="7">
        <v>1759.6639220000479</v>
      </c>
      <c r="K130" s="7">
        <f t="shared" si="14"/>
        <v>28.064815342903479</v>
      </c>
      <c r="L130" s="7">
        <f t="shared" si="15"/>
        <v>105.63629010478471</v>
      </c>
      <c r="M130" s="7">
        <v>680.37424334317575</v>
      </c>
      <c r="N130" s="7">
        <f t="shared" si="16"/>
        <v>54.256319245867289</v>
      </c>
      <c r="O130" s="7">
        <f t="shared" si="17"/>
        <v>20.537914935102574</v>
      </c>
    </row>
    <row r="131" spans="3:15" x14ac:dyDescent="0.2">
      <c r="C131">
        <v>112</v>
      </c>
      <c r="D131" s="7">
        <v>3177.9417897912808</v>
      </c>
      <c r="E131" s="7">
        <f t="shared" si="10"/>
        <v>95.034144431557451</v>
      </c>
      <c r="F131" s="7">
        <f t="shared" si="11"/>
        <v>256.6267385074072</v>
      </c>
      <c r="G131">
        <v>0</v>
      </c>
      <c r="H131" s="7">
        <f t="shared" si="12"/>
        <v>0</v>
      </c>
      <c r="I131" s="7">
        <f t="shared" si="13"/>
        <v>0</v>
      </c>
      <c r="J131" s="7">
        <v>1665.2313173471302</v>
      </c>
      <c r="K131" s="7">
        <f t="shared" si="14"/>
        <v>26.558713195329034</v>
      </c>
      <c r="L131" s="7">
        <f t="shared" si="15"/>
        <v>99.967304171875526</v>
      </c>
      <c r="M131" s="7">
        <v>680.37424334317575</v>
      </c>
      <c r="N131" s="7">
        <f t="shared" si="16"/>
        <v>54.256319245867289</v>
      </c>
      <c r="O131" s="7">
        <f t="shared" si="17"/>
        <v>20.537914935102574</v>
      </c>
    </row>
    <row r="132" spans="3:15" x14ac:dyDescent="0.2">
      <c r="C132">
        <v>113</v>
      </c>
      <c r="D132" s="7">
        <v>3174.5565916556343</v>
      </c>
      <c r="E132" s="7">
        <f t="shared" si="10"/>
        <v>94.932912429893378</v>
      </c>
      <c r="F132" s="7">
        <f t="shared" si="11"/>
        <v>256.3533753012141</v>
      </c>
      <c r="G132">
        <v>0</v>
      </c>
      <c r="H132" s="7">
        <f t="shared" si="12"/>
        <v>0</v>
      </c>
      <c r="I132" s="7">
        <f t="shared" si="13"/>
        <v>0</v>
      </c>
      <c r="J132" s="7">
        <v>1570.7746345304849</v>
      </c>
      <c r="K132" s="7">
        <f t="shared" si="14"/>
        <v>25.052227026004545</v>
      </c>
      <c r="L132" s="7">
        <f t="shared" si="15"/>
        <v>94.296872776649977</v>
      </c>
      <c r="M132" s="7">
        <v>680.37424334317575</v>
      </c>
      <c r="N132" s="7">
        <f t="shared" si="16"/>
        <v>54.256319245867289</v>
      </c>
      <c r="O132" s="7">
        <f t="shared" si="17"/>
        <v>20.537914935102574</v>
      </c>
    </row>
    <row r="133" spans="3:15" x14ac:dyDescent="0.2">
      <c r="C133">
        <v>114</v>
      </c>
      <c r="D133" s="7">
        <v>3171.1953826846598</v>
      </c>
      <c r="E133" s="7">
        <f t="shared" si="10"/>
        <v>94.832397807555623</v>
      </c>
      <c r="F133" s="7">
        <f t="shared" si="11"/>
        <v>256.08194927999688</v>
      </c>
      <c r="G133">
        <v>0</v>
      </c>
      <c r="H133" s="7">
        <f t="shared" si="12"/>
        <v>0</v>
      </c>
      <c r="I133" s="7">
        <f t="shared" si="13"/>
        <v>0</v>
      </c>
      <c r="J133" s="7">
        <v>1476.2939625491676</v>
      </c>
      <c r="K133" s="7">
        <f t="shared" si="14"/>
        <v>23.54535825437269</v>
      </c>
      <c r="L133" s="7">
        <f t="shared" si="15"/>
        <v>88.625001261906746</v>
      </c>
      <c r="M133" s="7">
        <v>680.37424334317575</v>
      </c>
      <c r="N133" s="7">
        <f t="shared" si="16"/>
        <v>54.256319245867289</v>
      </c>
      <c r="O133" s="7">
        <f t="shared" si="17"/>
        <v>20.537914935102574</v>
      </c>
    </row>
    <row r="134" spans="3:15" x14ac:dyDescent="0.2">
      <c r="C134">
        <v>115</v>
      </c>
      <c r="D134" s="7">
        <v>3167.8580741357277</v>
      </c>
      <c r="E134" s="7">
        <f t="shared" si="10"/>
        <v>94.73259791075742</v>
      </c>
      <c r="F134" s="7">
        <f t="shared" si="11"/>
        <v>255.81245327756648</v>
      </c>
      <c r="G134">
        <v>0</v>
      </c>
      <c r="H134" s="7">
        <f t="shared" si="12"/>
        <v>0</v>
      </c>
      <c r="I134" s="7">
        <f t="shared" si="13"/>
        <v>0</v>
      </c>
      <c r="J134" s="7">
        <v>1381.7893901458096</v>
      </c>
      <c r="K134" s="7">
        <f t="shared" si="14"/>
        <v>22.03810829578644</v>
      </c>
      <c r="L134" s="7">
        <f t="shared" si="15"/>
        <v>82.951694955050797</v>
      </c>
      <c r="M134" s="7">
        <v>680.37424334317575</v>
      </c>
      <c r="N134" s="7">
        <f t="shared" si="16"/>
        <v>54.256319245867289</v>
      </c>
      <c r="O134" s="7">
        <f t="shared" si="17"/>
        <v>20.537914935102574</v>
      </c>
    </row>
    <row r="135" spans="3:15" x14ac:dyDescent="0.2">
      <c r="C135">
        <v>116</v>
      </c>
      <c r="D135" s="7">
        <v>3164.544577522016</v>
      </c>
      <c r="E135" s="7">
        <f t="shared" si="10"/>
        <v>94.633510093361721</v>
      </c>
      <c r="F135" s="7">
        <f t="shared" si="11"/>
        <v>255.54488014839092</v>
      </c>
      <c r="G135">
        <v>0</v>
      </c>
      <c r="H135" s="7">
        <f t="shared" si="12"/>
        <v>0</v>
      </c>
      <c r="I135" s="7">
        <f t="shared" si="13"/>
        <v>0</v>
      </c>
      <c r="J135" s="7">
        <v>1287.2610058072296</v>
      </c>
      <c r="K135" s="7">
        <f t="shared" si="14"/>
        <v>20.530478561518816</v>
      </c>
      <c r="L135" s="7">
        <f t="shared" si="15"/>
        <v>77.276959168130134</v>
      </c>
      <c r="M135" s="7">
        <v>680.37424334317575</v>
      </c>
      <c r="N135" s="7">
        <f t="shared" si="16"/>
        <v>54.256319245867289</v>
      </c>
      <c r="O135" s="7">
        <f t="shared" si="17"/>
        <v>20.537914935102574</v>
      </c>
    </row>
    <row r="136" spans="3:15" x14ac:dyDescent="0.2">
      <c r="C136">
        <v>117</v>
      </c>
      <c r="D136" s="7">
        <v>3161.2548046118982</v>
      </c>
      <c r="E136" s="7">
        <f t="shared" si="10"/>
        <v>94.535131716862992</v>
      </c>
      <c r="F136" s="7">
        <f t="shared" si="11"/>
        <v>255.279222767546</v>
      </c>
      <c r="G136">
        <v>0</v>
      </c>
      <c r="H136" s="7">
        <f t="shared" si="12"/>
        <v>0</v>
      </c>
      <c r="I136" s="7">
        <f t="shared" si="13"/>
        <v>0</v>
      </c>
      <c r="J136" s="7">
        <v>1632.9973620503661</v>
      </c>
      <c r="K136" s="7">
        <f t="shared" si="14"/>
        <v>26.044615024726735</v>
      </c>
      <c r="L136" s="7">
        <f t="shared" si="15"/>
        <v>98.032232701476005</v>
      </c>
      <c r="M136" s="7">
        <v>680.37424334317575</v>
      </c>
      <c r="N136" s="7">
        <f t="shared" si="16"/>
        <v>54.256319245867289</v>
      </c>
      <c r="O136" s="7">
        <f t="shared" si="17"/>
        <v>20.537914935102574</v>
      </c>
    </row>
    <row r="137" spans="3:15" x14ac:dyDescent="0.2">
      <c r="C137">
        <v>118</v>
      </c>
      <c r="D137" s="7">
        <v>3157.9886674283371</v>
      </c>
      <c r="E137" s="7">
        <f t="shared" si="10"/>
        <v>94.437460150368935</v>
      </c>
      <c r="F137" s="7">
        <f t="shared" si="11"/>
        <v>255.01547403066618</v>
      </c>
      <c r="G137">
        <v>0</v>
      </c>
      <c r="H137" s="7">
        <f t="shared" si="12"/>
        <v>0</v>
      </c>
      <c r="I137" s="7">
        <f t="shared" si="13"/>
        <v>0</v>
      </c>
      <c r="J137" s="7">
        <v>1122.5936242343987</v>
      </c>
      <c r="K137" s="7">
        <f t="shared" si="14"/>
        <v>17.904204533243998</v>
      </c>
      <c r="L137" s="7">
        <f t="shared" si="15"/>
        <v>67.391633298147127</v>
      </c>
      <c r="M137" s="7">
        <v>680.37424334317575</v>
      </c>
      <c r="N137" s="7">
        <f t="shared" si="16"/>
        <v>54.256319245867289</v>
      </c>
      <c r="O137" s="7">
        <f t="shared" si="17"/>
        <v>20.537914935102574</v>
      </c>
    </row>
    <row r="138" spans="3:15" x14ac:dyDescent="0.2">
      <c r="C138">
        <v>119</v>
      </c>
      <c r="D138" s="7">
        <v>3154.3932745666716</v>
      </c>
      <c r="E138" s="7">
        <f t="shared" si="10"/>
        <v>94.329942421252142</v>
      </c>
      <c r="F138" s="7">
        <f t="shared" si="11"/>
        <v>254.72513707524868</v>
      </c>
      <c r="G138">
        <v>0</v>
      </c>
      <c r="H138" s="7">
        <f t="shared" si="12"/>
        <v>0</v>
      </c>
      <c r="I138" s="7">
        <f t="shared" si="13"/>
        <v>0</v>
      </c>
      <c r="J138" s="7">
        <v>612.5191420965366</v>
      </c>
      <c r="K138" s="7">
        <f t="shared" si="14"/>
        <v>9.7690453284934069</v>
      </c>
      <c r="L138" s="7">
        <f t="shared" si="15"/>
        <v>36.770799798918546</v>
      </c>
      <c r="M138" s="7">
        <v>0</v>
      </c>
      <c r="N138" s="7">
        <f t="shared" si="16"/>
        <v>0</v>
      </c>
      <c r="O138" s="7">
        <f t="shared" si="17"/>
        <v>0</v>
      </c>
    </row>
    <row r="139" spans="3:15" x14ac:dyDescent="0.2">
      <c r="C139">
        <v>120</v>
      </c>
      <c r="D139" s="7">
        <v>3150.2933058806998</v>
      </c>
      <c r="E139" s="7">
        <f t="shared" si="10"/>
        <v>94.207335702174049</v>
      </c>
      <c r="F139" s="7">
        <f t="shared" si="11"/>
        <v>254.39405436151134</v>
      </c>
      <c r="G139">
        <v>0</v>
      </c>
      <c r="H139" s="7">
        <f t="shared" si="12"/>
        <v>0</v>
      </c>
      <c r="I139" s="7">
        <f t="shared" si="13"/>
        <v>0</v>
      </c>
      <c r="J139" s="7">
        <v>102.94923578297994</v>
      </c>
      <c r="K139" s="7">
        <f t="shared" si="14"/>
        <v>1.6419335850555015</v>
      </c>
      <c r="L139" s="7">
        <f t="shared" si="15"/>
        <v>6.1802570373074079</v>
      </c>
      <c r="M139" s="7">
        <v>0</v>
      </c>
      <c r="N139" s="7">
        <f t="shared" si="16"/>
        <v>0</v>
      </c>
      <c r="O139" s="7">
        <f t="shared" si="17"/>
        <v>0</v>
      </c>
    </row>
    <row r="140" spans="3:15" x14ac:dyDescent="0.2">
      <c r="C140">
        <v>121</v>
      </c>
      <c r="D140" s="7">
        <v>2739.5726666641513</v>
      </c>
      <c r="E140" s="7">
        <f t="shared" si="10"/>
        <v>81.925019936128933</v>
      </c>
      <c r="F140" s="7">
        <f t="shared" si="11"/>
        <v>221.22733670217281</v>
      </c>
      <c r="G140">
        <v>0</v>
      </c>
      <c r="H140" s="7">
        <f t="shared" si="12"/>
        <v>0</v>
      </c>
      <c r="I140" s="7">
        <f t="shared" si="13"/>
        <v>0</v>
      </c>
      <c r="J140" s="7">
        <v>0</v>
      </c>
      <c r="K140" s="7">
        <f t="shared" si="14"/>
        <v>0</v>
      </c>
      <c r="L140" s="7">
        <f t="shared" si="15"/>
        <v>0</v>
      </c>
      <c r="M140" s="7">
        <v>0</v>
      </c>
      <c r="N140" s="7">
        <f t="shared" si="16"/>
        <v>0</v>
      </c>
      <c r="O140" s="7">
        <f t="shared" si="17"/>
        <v>0</v>
      </c>
    </row>
    <row r="141" spans="3:15" x14ac:dyDescent="0.2">
      <c r="C141">
        <v>122</v>
      </c>
      <c r="D141" s="7">
        <v>2739.5726666641513</v>
      </c>
      <c r="E141" s="7">
        <f t="shared" si="10"/>
        <v>81.925019936128933</v>
      </c>
      <c r="F141" s="7">
        <f t="shared" si="11"/>
        <v>221.22733670217281</v>
      </c>
      <c r="G141">
        <v>0</v>
      </c>
      <c r="H141" s="7">
        <f t="shared" si="12"/>
        <v>0</v>
      </c>
      <c r="I141" s="7">
        <f t="shared" si="13"/>
        <v>0</v>
      </c>
      <c r="J141" s="7">
        <v>0</v>
      </c>
      <c r="K141" s="7">
        <f t="shared" si="14"/>
        <v>0</v>
      </c>
      <c r="L141" s="7">
        <f t="shared" si="15"/>
        <v>0</v>
      </c>
      <c r="M141" s="7">
        <v>0</v>
      </c>
      <c r="N141" s="7">
        <f t="shared" si="16"/>
        <v>0</v>
      </c>
      <c r="O141" s="7">
        <f t="shared" si="17"/>
        <v>0</v>
      </c>
    </row>
    <row r="142" spans="3:15" x14ac:dyDescent="0.2">
      <c r="C142">
        <v>123</v>
      </c>
      <c r="D142" s="7">
        <v>2935.2564285687336</v>
      </c>
      <c r="E142" s="7">
        <f t="shared" si="10"/>
        <v>87.776807074423857</v>
      </c>
      <c r="F142" s="7">
        <f t="shared" si="11"/>
        <v>237.02928932375659</v>
      </c>
      <c r="G142">
        <v>0</v>
      </c>
      <c r="H142" s="7">
        <f t="shared" si="12"/>
        <v>0</v>
      </c>
      <c r="I142" s="7">
        <f t="shared" si="13"/>
        <v>0</v>
      </c>
      <c r="J142" s="7">
        <v>0</v>
      </c>
      <c r="K142" s="7">
        <f t="shared" si="14"/>
        <v>0</v>
      </c>
      <c r="L142" s="7">
        <f t="shared" si="15"/>
        <v>0</v>
      </c>
      <c r="M142" s="7">
        <v>0</v>
      </c>
      <c r="N142" s="7">
        <f t="shared" si="16"/>
        <v>0</v>
      </c>
      <c r="O142" s="7">
        <f t="shared" si="17"/>
        <v>0</v>
      </c>
    </row>
    <row r="143" spans="3:15" x14ac:dyDescent="0.2">
      <c r="C143">
        <v>124</v>
      </c>
      <c r="D143" s="7">
        <v>3130.9401904733159</v>
      </c>
      <c r="E143" s="7">
        <f t="shared" si="10"/>
        <v>93.628594212718781</v>
      </c>
      <c r="F143" s="7">
        <f t="shared" si="11"/>
        <v>252.83124194534037</v>
      </c>
      <c r="G143">
        <v>0</v>
      </c>
      <c r="H143" s="7">
        <f t="shared" si="12"/>
        <v>0</v>
      </c>
      <c r="I143" s="7">
        <f t="shared" si="13"/>
        <v>0</v>
      </c>
      <c r="J143" s="7">
        <v>0</v>
      </c>
      <c r="K143" s="7">
        <f t="shared" si="14"/>
        <v>0</v>
      </c>
      <c r="L143" s="7">
        <f t="shared" si="15"/>
        <v>0</v>
      </c>
      <c r="M143" s="7">
        <v>0</v>
      </c>
      <c r="N143" s="7">
        <f t="shared" si="16"/>
        <v>0</v>
      </c>
      <c r="O143" s="7">
        <f t="shared" si="17"/>
        <v>0</v>
      </c>
    </row>
    <row r="144" spans="3:15" x14ac:dyDescent="0.2">
      <c r="C144">
        <v>125</v>
      </c>
      <c r="D144" s="7">
        <v>3132.3348904656541</v>
      </c>
      <c r="E144" s="7">
        <f t="shared" si="10"/>
        <v>93.670301748374825</v>
      </c>
      <c r="F144" s="7">
        <f t="shared" si="11"/>
        <v>252.94386745389431</v>
      </c>
      <c r="G144">
        <v>0</v>
      </c>
      <c r="H144" s="7">
        <f t="shared" si="12"/>
        <v>0</v>
      </c>
      <c r="I144" s="7">
        <f t="shared" si="13"/>
        <v>0</v>
      </c>
      <c r="J144" s="7">
        <v>194.28906191224451</v>
      </c>
      <c r="K144" s="7">
        <f t="shared" si="14"/>
        <v>3.0987091214074085</v>
      </c>
      <c r="L144" s="7">
        <f t="shared" si="15"/>
        <v>11.663577034085362</v>
      </c>
      <c r="M144" s="7">
        <v>0</v>
      </c>
      <c r="N144" s="7">
        <f t="shared" si="16"/>
        <v>0</v>
      </c>
      <c r="O144" s="7">
        <f t="shared" si="17"/>
        <v>0</v>
      </c>
    </row>
    <row r="145" spans="3:15" x14ac:dyDescent="0.2">
      <c r="C145">
        <v>126</v>
      </c>
      <c r="D145" s="7">
        <v>3128.3738540395766</v>
      </c>
      <c r="E145" s="7">
        <f t="shared" si="10"/>
        <v>93.551849702140458</v>
      </c>
      <c r="F145" s="7">
        <f t="shared" si="11"/>
        <v>252.62400386721734</v>
      </c>
      <c r="G145">
        <v>0</v>
      </c>
      <c r="H145" s="7">
        <f t="shared" si="12"/>
        <v>0</v>
      </c>
      <c r="I145" s="7">
        <f t="shared" si="13"/>
        <v>0</v>
      </c>
      <c r="J145" s="7">
        <v>393.93386024290385</v>
      </c>
      <c r="K145" s="7">
        <f t="shared" si="14"/>
        <v>6.282836686489695</v>
      </c>
      <c r="L145" s="7">
        <f t="shared" si="15"/>
        <v>23.648670079806276</v>
      </c>
      <c r="M145" s="7">
        <v>0</v>
      </c>
      <c r="N145" s="7">
        <f t="shared" si="16"/>
        <v>0</v>
      </c>
      <c r="O145" s="7">
        <f t="shared" si="17"/>
        <v>0</v>
      </c>
    </row>
    <row r="146" spans="3:15" x14ac:dyDescent="0.2">
      <c r="C146">
        <v>127</v>
      </c>
      <c r="D146" s="7">
        <v>3124.4373610468738</v>
      </c>
      <c r="E146" s="7">
        <f t="shared" si="10"/>
        <v>93.434131610253402</v>
      </c>
      <c r="F146" s="7">
        <f t="shared" si="11"/>
        <v>252.30612222409857</v>
      </c>
      <c r="G146">
        <v>0</v>
      </c>
      <c r="H146" s="7">
        <f t="shared" si="12"/>
        <v>0</v>
      </c>
      <c r="I146" s="7">
        <f t="shared" si="13"/>
        <v>0</v>
      </c>
      <c r="J146" s="7">
        <v>593.55411514018897</v>
      </c>
      <c r="K146" s="7">
        <f t="shared" si="14"/>
        <v>9.4665728092534138</v>
      </c>
      <c r="L146" s="7">
        <f t="shared" si="15"/>
        <v>35.632289732104923</v>
      </c>
      <c r="M146" s="7">
        <v>680.37424334317575</v>
      </c>
      <c r="N146" s="7">
        <f t="shared" si="16"/>
        <v>54.256319245867289</v>
      </c>
      <c r="O146" s="7">
        <f t="shared" si="17"/>
        <v>20.537914935102574</v>
      </c>
    </row>
    <row r="147" spans="3:15" x14ac:dyDescent="0.2">
      <c r="C147">
        <v>128</v>
      </c>
      <c r="D147" s="7">
        <v>3120.5253238397472</v>
      </c>
      <c r="E147" s="7">
        <f t="shared" si="10"/>
        <v>93.317144851667095</v>
      </c>
      <c r="F147" s="7">
        <f t="shared" si="11"/>
        <v>251.99021544675938</v>
      </c>
      <c r="G147">
        <v>0</v>
      </c>
      <c r="H147" s="7">
        <f t="shared" si="12"/>
        <v>0</v>
      </c>
      <c r="I147" s="7">
        <f t="shared" si="13"/>
        <v>0</v>
      </c>
      <c r="J147" s="7">
        <v>793.14991425189783</v>
      </c>
      <c r="K147" s="7">
        <f t="shared" si="14"/>
        <v>12.649918887590077</v>
      </c>
      <c r="L147" s="7">
        <f t="shared" si="15"/>
        <v>47.614441252661145</v>
      </c>
      <c r="M147" s="7">
        <v>680.37424334317575</v>
      </c>
      <c r="N147" s="7">
        <f t="shared" si="16"/>
        <v>54.256319245867289</v>
      </c>
      <c r="O147" s="7">
        <f t="shared" si="17"/>
        <v>20.537914935102574</v>
      </c>
    </row>
    <row r="148" spans="3:15" x14ac:dyDescent="0.2">
      <c r="C148">
        <v>129</v>
      </c>
      <c r="D148" s="7">
        <v>3116.6376550176788</v>
      </c>
      <c r="E148" s="7">
        <f t="shared" si="10"/>
        <v>93.200886812729635</v>
      </c>
      <c r="F148" s="7">
        <f t="shared" si="11"/>
        <v>251.67627647738956</v>
      </c>
      <c r="G148">
        <v>0</v>
      </c>
      <c r="H148" s="7">
        <f t="shared" si="12"/>
        <v>0</v>
      </c>
      <c r="I148" s="7">
        <f t="shared" si="13"/>
        <v>0</v>
      </c>
      <c r="J148" s="7">
        <v>992.72134497854813</v>
      </c>
      <c r="K148" s="7">
        <f t="shared" si="14"/>
        <v>15.83287631544734</v>
      </c>
      <c r="L148" s="7">
        <f t="shared" si="15"/>
        <v>59.595129888310055</v>
      </c>
      <c r="M148" s="7">
        <v>0</v>
      </c>
      <c r="N148" s="7">
        <f t="shared" si="16"/>
        <v>0</v>
      </c>
      <c r="O148" s="7">
        <f t="shared" si="17"/>
        <v>0</v>
      </c>
    </row>
    <row r="149" spans="3:15" x14ac:dyDescent="0.2">
      <c r="C149">
        <v>130</v>
      </c>
      <c r="D149" s="7">
        <v>3112.7742674268525</v>
      </c>
      <c r="E149" s="7">
        <f t="shared" ref="E149:E212" si="18">D149/($C$3*($D$8-$D$6))</f>
        <v>93.085354887166645</v>
      </c>
      <c r="F149" s="7">
        <f t="shared" ref="F149:F212" si="19">E149*$C$3*((($D$8)-($D$6))-$C$2*LN(($D$8)/($D$6)))</f>
        <v>251.36429827810076</v>
      </c>
      <c r="G149">
        <v>0</v>
      </c>
      <c r="H149" s="7">
        <f t="shared" ref="H149:H212" si="20">G149/($C$3*($D$6-$D$9))</f>
        <v>0</v>
      </c>
      <c r="I149" s="7">
        <f t="shared" ref="I149:I212" si="21">ABS(H149*$C$3*(($D$9-$D$6)-$C$2*(LN($D$9/$D$6))))</f>
        <v>0</v>
      </c>
      <c r="J149" s="7">
        <v>1192.2684944739572</v>
      </c>
      <c r="K149" s="7">
        <f t="shared" ref="K149:K212" si="22">J149/($C$3*($D$10-$D$7))</f>
        <v>19.015446482838232</v>
      </c>
      <c r="L149" s="7">
        <f t="shared" ref="L149:L212" si="23">K149*$C$3*(($D$10-$D$7)-$C$2*LN($D$10/$D$7))</f>
        <v>71.57436087107682</v>
      </c>
      <c r="M149" s="7">
        <v>0</v>
      </c>
      <c r="N149" s="7">
        <f t="shared" ref="N149:N212" si="24">M149/($C$3*($D$7-$D$11))</f>
        <v>0</v>
      </c>
      <c r="O149" s="7">
        <f t="shared" ref="O149:O212" si="25">ABS(N149*$C$3*(($D$11-$D$7)-$C$2*LN($D$11/$D$7)))</f>
        <v>0</v>
      </c>
    </row>
    <row r="150" spans="3:15" x14ac:dyDescent="0.2">
      <c r="C150">
        <v>131</v>
      </c>
      <c r="D150" s="7">
        <v>3108.935074159569</v>
      </c>
      <c r="E150" s="7">
        <f t="shared" si="18"/>
        <v>92.970546476063674</v>
      </c>
      <c r="F150" s="7">
        <f t="shared" si="19"/>
        <v>251.05427383087914</v>
      </c>
      <c r="G150">
        <v>0</v>
      </c>
      <c r="H150" s="7">
        <f t="shared" si="20"/>
        <v>0</v>
      </c>
      <c r="I150" s="7">
        <f t="shared" si="21"/>
        <v>0</v>
      </c>
      <c r="J150" s="7">
        <v>1391.7914496458234</v>
      </c>
      <c r="K150" s="7">
        <f t="shared" si="22"/>
        <v>22.197630775850453</v>
      </c>
      <c r="L150" s="7">
        <f t="shared" si="23"/>
        <v>83.55213941821161</v>
      </c>
      <c r="M150" s="7">
        <v>0</v>
      </c>
      <c r="N150" s="7">
        <f t="shared" si="24"/>
        <v>0</v>
      </c>
      <c r="O150" s="7">
        <f t="shared" si="25"/>
        <v>0</v>
      </c>
    </row>
    <row r="151" spans="3:15" x14ac:dyDescent="0.2">
      <c r="C151">
        <v>132</v>
      </c>
      <c r="D151" s="7">
        <v>3105.1199885536694</v>
      </c>
      <c r="E151" s="7">
        <f t="shared" si="18"/>
        <v>92.856458987848967</v>
      </c>
      <c r="F151" s="7">
        <f t="shared" si="19"/>
        <v>250.74619613753885</v>
      </c>
      <c r="G151">
        <v>0</v>
      </c>
      <c r="H151" s="7">
        <f t="shared" si="20"/>
        <v>0</v>
      </c>
      <c r="I151" s="7">
        <f t="shared" si="21"/>
        <v>0</v>
      </c>
      <c r="J151" s="7">
        <v>1591.2902971563049</v>
      </c>
      <c r="K151" s="7">
        <f t="shared" si="22"/>
        <v>25.379430576655583</v>
      </c>
      <c r="L151" s="7">
        <f t="shared" si="23"/>
        <v>95.528470732224221</v>
      </c>
      <c r="M151" s="7">
        <v>0</v>
      </c>
      <c r="N151" s="7">
        <f t="shared" si="24"/>
        <v>0</v>
      </c>
      <c r="O151" s="7">
        <f t="shared" si="25"/>
        <v>0</v>
      </c>
    </row>
    <row r="152" spans="3:15" x14ac:dyDescent="0.2">
      <c r="C152">
        <v>133</v>
      </c>
      <c r="D152" s="7">
        <v>3101.3289241919588</v>
      </c>
      <c r="E152" s="7">
        <f t="shared" si="18"/>
        <v>92.74308983827629</v>
      </c>
      <c r="F152" s="7">
        <f t="shared" si="19"/>
        <v>250.44005821967556</v>
      </c>
      <c r="G152">
        <v>0</v>
      </c>
      <c r="H152" s="7">
        <f t="shared" si="20"/>
        <v>0</v>
      </c>
      <c r="I152" s="7">
        <f t="shared" si="21"/>
        <v>0</v>
      </c>
      <c r="J152" s="7">
        <v>1692.9232424703055</v>
      </c>
      <c r="K152" s="7">
        <f t="shared" si="22"/>
        <v>27.000370693306309</v>
      </c>
      <c r="L152" s="7">
        <f t="shared" si="23"/>
        <v>101.62970811122938</v>
      </c>
      <c r="M152" s="7">
        <v>0</v>
      </c>
      <c r="N152" s="7">
        <f t="shared" si="24"/>
        <v>0</v>
      </c>
      <c r="O152" s="7">
        <f t="shared" si="25"/>
        <v>0</v>
      </c>
    </row>
    <row r="153" spans="3:15" x14ac:dyDescent="0.2">
      <c r="C153">
        <v>134</v>
      </c>
      <c r="D153" s="7">
        <v>3097.5617949016269</v>
      </c>
      <c r="E153" s="7">
        <f t="shared" si="18"/>
        <v>92.630436450407501</v>
      </c>
      <c r="F153" s="7">
        <f t="shared" si="19"/>
        <v>250.13585311861951</v>
      </c>
      <c r="G153">
        <v>0</v>
      </c>
      <c r="H153" s="7">
        <f t="shared" si="20"/>
        <v>0</v>
      </c>
      <c r="I153" s="7">
        <f t="shared" si="21"/>
        <v>0</v>
      </c>
      <c r="J153" s="7">
        <v>1696.6903717606374</v>
      </c>
      <c r="K153" s="7">
        <f t="shared" si="22"/>
        <v>27.060452500169657</v>
      </c>
      <c r="L153" s="7">
        <f t="shared" si="23"/>
        <v>101.85585672836042</v>
      </c>
      <c r="M153" s="7">
        <v>0</v>
      </c>
      <c r="N153" s="7">
        <f t="shared" si="24"/>
        <v>0</v>
      </c>
      <c r="O153" s="7">
        <f t="shared" si="25"/>
        <v>0</v>
      </c>
    </row>
    <row r="154" spans="3:15" x14ac:dyDescent="0.2">
      <c r="C154">
        <v>135</v>
      </c>
      <c r="D154" s="7">
        <v>3093.8185147536701</v>
      </c>
      <c r="E154" s="7">
        <f t="shared" si="18"/>
        <v>92.518496254595405</v>
      </c>
      <c r="F154" s="7">
        <f t="shared" si="19"/>
        <v>249.83357389538909</v>
      </c>
      <c r="G154">
        <v>0</v>
      </c>
      <c r="H154" s="7">
        <f t="shared" si="20"/>
        <v>0</v>
      </c>
      <c r="I154" s="7">
        <f t="shared" si="21"/>
        <v>0</v>
      </c>
      <c r="J154" s="7">
        <v>2189.6430566700515</v>
      </c>
      <c r="K154" s="7">
        <f t="shared" si="22"/>
        <v>34.922536788996041</v>
      </c>
      <c r="L154" s="7">
        <f t="shared" si="23"/>
        <v>131.44883308025157</v>
      </c>
      <c r="M154" s="7">
        <v>0</v>
      </c>
      <c r="N154" s="7">
        <f t="shared" si="24"/>
        <v>0</v>
      </c>
      <c r="O154" s="7">
        <f t="shared" si="25"/>
        <v>0</v>
      </c>
    </row>
    <row r="155" spans="3:15" x14ac:dyDescent="0.2">
      <c r="C155">
        <v>136</v>
      </c>
      <c r="D155" s="7">
        <v>3090.0989980623222</v>
      </c>
      <c r="E155" s="7">
        <f t="shared" si="18"/>
        <v>92.407266688466578</v>
      </c>
      <c r="F155" s="7">
        <f t="shared" si="19"/>
        <v>249.53321363064455</v>
      </c>
      <c r="G155">
        <v>0</v>
      </c>
      <c r="H155" s="7">
        <f t="shared" si="20"/>
        <v>0</v>
      </c>
      <c r="I155" s="7">
        <f t="shared" si="21"/>
        <v>0</v>
      </c>
      <c r="J155" s="7">
        <v>2389.0463352659804</v>
      </c>
      <c r="K155" s="7">
        <f t="shared" si="22"/>
        <v>38.102812364688681</v>
      </c>
      <c r="L155" s="7">
        <f t="shared" si="23"/>
        <v>143.41942719328136</v>
      </c>
      <c r="M155" s="7">
        <v>680.37424334317575</v>
      </c>
      <c r="N155" s="7">
        <f t="shared" si="24"/>
        <v>54.256319245867289</v>
      </c>
      <c r="O155" s="7">
        <f t="shared" si="25"/>
        <v>20.537914935102574</v>
      </c>
    </row>
    <row r="156" spans="3:15" x14ac:dyDescent="0.2">
      <c r="C156">
        <v>137</v>
      </c>
      <c r="D156" s="7">
        <v>3086.4031593844788</v>
      </c>
      <c r="E156" s="7">
        <f t="shared" si="18"/>
        <v>92.296745196904283</v>
      </c>
      <c r="F156" s="7">
        <f t="shared" si="19"/>
        <v>249.23476542464178</v>
      </c>
      <c r="G156">
        <v>0</v>
      </c>
      <c r="H156" s="7">
        <f t="shared" si="20"/>
        <v>0</v>
      </c>
      <c r="I156" s="7">
        <f t="shared" si="21"/>
        <v>0</v>
      </c>
      <c r="J156" s="7">
        <v>2118.7849072774084</v>
      </c>
      <c r="K156" s="7">
        <f t="shared" si="22"/>
        <v>33.792422763595034</v>
      </c>
      <c r="L156" s="7">
        <f t="shared" si="23"/>
        <v>127.19507079533656</v>
      </c>
      <c r="M156" s="7">
        <v>680.37424334317575</v>
      </c>
      <c r="N156" s="7">
        <f t="shared" si="24"/>
        <v>54.256319245867289</v>
      </c>
      <c r="O156" s="7">
        <f t="shared" si="25"/>
        <v>20.537914935102574</v>
      </c>
    </row>
    <row r="157" spans="3:15" x14ac:dyDescent="0.2">
      <c r="C157">
        <v>138</v>
      </c>
      <c r="D157" s="7">
        <v>3082.7309135191199</v>
      </c>
      <c r="E157" s="7">
        <f t="shared" si="18"/>
        <v>92.186929232031105</v>
      </c>
      <c r="F157" s="7">
        <f t="shared" si="19"/>
        <v>248.93822239718554</v>
      </c>
      <c r="G157">
        <v>0</v>
      </c>
      <c r="H157" s="7">
        <f t="shared" si="20"/>
        <v>0</v>
      </c>
      <c r="I157" s="7">
        <f t="shared" si="21"/>
        <v>0</v>
      </c>
      <c r="J157" s="7">
        <v>1848.4998864763529</v>
      </c>
      <c r="K157" s="7">
        <f t="shared" si="22"/>
        <v>29.481656881600529</v>
      </c>
      <c r="L157" s="7">
        <f t="shared" si="23"/>
        <v>110.96929807172138</v>
      </c>
      <c r="M157" s="7">
        <v>680.37424334317575</v>
      </c>
      <c r="N157" s="7">
        <f t="shared" si="24"/>
        <v>54.256319245867289</v>
      </c>
      <c r="O157" s="7">
        <f t="shared" si="25"/>
        <v>20.537914935102574</v>
      </c>
    </row>
    <row r="158" spans="3:15" x14ac:dyDescent="0.2">
      <c r="C158">
        <v>139</v>
      </c>
      <c r="D158" s="7">
        <v>3079.4349791883433</v>
      </c>
      <c r="E158" s="7">
        <f t="shared" si="18"/>
        <v>92.088366602522228</v>
      </c>
      <c r="F158" s="7">
        <f t="shared" si="19"/>
        <v>248.67206746623026</v>
      </c>
      <c r="G158">
        <v>0</v>
      </c>
      <c r="H158" s="7">
        <f t="shared" si="20"/>
        <v>0</v>
      </c>
      <c r="I158" s="7">
        <f t="shared" si="21"/>
        <v>0</v>
      </c>
      <c r="J158" s="7">
        <v>1714.817187473921</v>
      </c>
      <c r="K158" s="7">
        <f t="shared" si="22"/>
        <v>27.349556419041804</v>
      </c>
      <c r="L158" s="7">
        <f t="shared" si="23"/>
        <v>102.94404722850319</v>
      </c>
      <c r="M158" s="7">
        <v>680.37424334317575</v>
      </c>
      <c r="N158" s="7">
        <f t="shared" si="24"/>
        <v>54.256319245867289</v>
      </c>
      <c r="O158" s="7">
        <f t="shared" si="25"/>
        <v>20.537914935102574</v>
      </c>
    </row>
    <row r="159" spans="3:15" x14ac:dyDescent="0.2">
      <c r="C159">
        <v>140</v>
      </c>
      <c r="D159" s="7">
        <v>3076.6905043500938</v>
      </c>
      <c r="E159" s="7">
        <f t="shared" si="18"/>
        <v>92.006294986545868</v>
      </c>
      <c r="F159" s="7">
        <f t="shared" si="19"/>
        <v>248.45044426692618</v>
      </c>
      <c r="G159">
        <v>0</v>
      </c>
      <c r="H159" s="7">
        <f t="shared" si="20"/>
        <v>0</v>
      </c>
      <c r="I159" s="7">
        <f t="shared" si="21"/>
        <v>0</v>
      </c>
      <c r="J159" s="7">
        <v>1306.6257623125475</v>
      </c>
      <c r="K159" s="7">
        <f t="shared" si="22"/>
        <v>20.839326352672209</v>
      </c>
      <c r="L159" s="7">
        <f t="shared" si="23"/>
        <v>78.439465832288604</v>
      </c>
      <c r="M159" s="7">
        <v>680.37424334317575</v>
      </c>
      <c r="N159" s="7">
        <f t="shared" si="24"/>
        <v>54.256319245867289</v>
      </c>
      <c r="O159" s="7">
        <f t="shared" si="25"/>
        <v>20.537914935102574</v>
      </c>
    </row>
    <row r="160" spans="3:15" x14ac:dyDescent="0.2">
      <c r="C160">
        <v>141</v>
      </c>
      <c r="D160" s="7">
        <v>3073.9676996073958</v>
      </c>
      <c r="E160" s="7">
        <f t="shared" si="18"/>
        <v>91.924871399742699</v>
      </c>
      <c r="F160" s="7">
        <f t="shared" si="19"/>
        <v>248.23057098197313</v>
      </c>
      <c r="G160">
        <v>0</v>
      </c>
      <c r="H160" s="7">
        <f t="shared" si="20"/>
        <v>0</v>
      </c>
      <c r="I160" s="7">
        <f t="shared" si="21"/>
        <v>0</v>
      </c>
      <c r="J160" s="7">
        <v>1035.3913003888292</v>
      </c>
      <c r="K160" s="7">
        <f t="shared" si="22"/>
        <v>16.513417869040339</v>
      </c>
      <c r="L160" s="7">
        <f t="shared" si="23"/>
        <v>62.156696180670828</v>
      </c>
      <c r="M160" s="7">
        <v>680.37424334317575</v>
      </c>
      <c r="N160" s="7">
        <f t="shared" si="24"/>
        <v>54.256319245867289</v>
      </c>
      <c r="O160" s="7">
        <f t="shared" si="25"/>
        <v>20.537914935102574</v>
      </c>
    </row>
    <row r="161" spans="3:15" x14ac:dyDescent="0.2">
      <c r="C161">
        <v>142</v>
      </c>
      <c r="D161" s="7">
        <v>3071.2664828152078</v>
      </c>
      <c r="E161" s="7">
        <f t="shared" si="18"/>
        <v>91.844093385622244</v>
      </c>
      <c r="F161" s="7">
        <f t="shared" si="19"/>
        <v>248.0124409779537</v>
      </c>
      <c r="G161">
        <v>0</v>
      </c>
      <c r="H161" s="7">
        <f t="shared" si="20"/>
        <v>0</v>
      </c>
      <c r="I161" s="7">
        <f t="shared" si="21"/>
        <v>0</v>
      </c>
      <c r="J161" s="7">
        <v>764.13525051460374</v>
      </c>
      <c r="K161" s="7">
        <f t="shared" si="22"/>
        <v>12.187165079977731</v>
      </c>
      <c r="L161" s="7">
        <f t="shared" si="23"/>
        <v>45.872630559422703</v>
      </c>
      <c r="M161" s="7">
        <v>680.37424334317575</v>
      </c>
      <c r="N161" s="7">
        <f t="shared" si="24"/>
        <v>54.256319245867289</v>
      </c>
      <c r="O161" s="7">
        <f t="shared" si="25"/>
        <v>20.537914935102574</v>
      </c>
    </row>
    <row r="162" spans="3:15" x14ac:dyDescent="0.2">
      <c r="C162">
        <v>143</v>
      </c>
      <c r="D162" s="7">
        <v>3068.5867720686715</v>
      </c>
      <c r="E162" s="7">
        <f t="shared" si="18"/>
        <v>91.763958494876547</v>
      </c>
      <c r="F162" s="7">
        <f t="shared" si="19"/>
        <v>247.79604764084604</v>
      </c>
      <c r="G162">
        <v>0</v>
      </c>
      <c r="H162" s="7">
        <f t="shared" si="20"/>
        <v>0</v>
      </c>
      <c r="I162" s="7">
        <f t="shared" si="21"/>
        <v>0</v>
      </c>
      <c r="J162" s="7">
        <v>13.432477928498884</v>
      </c>
      <c r="K162" s="7">
        <f t="shared" si="22"/>
        <v>0.2142340977432039</v>
      </c>
      <c r="L162" s="7">
        <f t="shared" si="23"/>
        <v>0.80637962598461854</v>
      </c>
      <c r="M162" s="7">
        <v>0</v>
      </c>
      <c r="N162" s="7">
        <f t="shared" si="24"/>
        <v>0</v>
      </c>
      <c r="O162" s="7">
        <f t="shared" si="25"/>
        <v>0</v>
      </c>
    </row>
    <row r="163" spans="3:15" x14ac:dyDescent="0.2">
      <c r="C163">
        <v>144</v>
      </c>
      <c r="D163" s="7">
        <v>2910.7959583306606</v>
      </c>
      <c r="E163" s="7">
        <f t="shared" si="18"/>
        <v>87.045333682136985</v>
      </c>
      <c r="F163" s="7">
        <f t="shared" si="19"/>
        <v>235.05404524605862</v>
      </c>
      <c r="G163">
        <v>0</v>
      </c>
      <c r="H163" s="7">
        <f t="shared" si="20"/>
        <v>0</v>
      </c>
      <c r="I163" s="7">
        <f t="shared" si="21"/>
        <v>0</v>
      </c>
      <c r="J163" s="7">
        <v>0</v>
      </c>
      <c r="K163" s="7">
        <f t="shared" si="22"/>
        <v>0</v>
      </c>
      <c r="L163" s="7">
        <f t="shared" si="23"/>
        <v>0</v>
      </c>
      <c r="M163" s="7">
        <v>0</v>
      </c>
      <c r="N163" s="7">
        <f t="shared" si="24"/>
        <v>0</v>
      </c>
      <c r="O163" s="7">
        <f t="shared" si="25"/>
        <v>0</v>
      </c>
    </row>
    <row r="164" spans="3:15" x14ac:dyDescent="0.2">
      <c r="C164">
        <v>145</v>
      </c>
      <c r="D164" s="7">
        <v>2739.5726666641513</v>
      </c>
      <c r="E164" s="7">
        <f t="shared" si="18"/>
        <v>81.925019936128933</v>
      </c>
      <c r="F164" s="7">
        <f t="shared" si="19"/>
        <v>221.22733670217281</v>
      </c>
      <c r="G164">
        <v>0</v>
      </c>
      <c r="H164" s="7">
        <f t="shared" si="20"/>
        <v>0</v>
      </c>
      <c r="I164" s="7">
        <f t="shared" si="21"/>
        <v>0</v>
      </c>
      <c r="J164" s="7">
        <v>0</v>
      </c>
      <c r="K164" s="7">
        <f t="shared" si="22"/>
        <v>0</v>
      </c>
      <c r="L164" s="7">
        <f t="shared" si="23"/>
        <v>0</v>
      </c>
      <c r="M164" s="7">
        <v>0</v>
      </c>
      <c r="N164" s="7">
        <f t="shared" si="24"/>
        <v>0</v>
      </c>
      <c r="O164" s="7">
        <f t="shared" si="25"/>
        <v>0</v>
      </c>
    </row>
    <row r="165" spans="3:15" x14ac:dyDescent="0.2">
      <c r="C165">
        <v>146</v>
      </c>
      <c r="D165" s="7">
        <v>2739.5726666641513</v>
      </c>
      <c r="E165" s="7">
        <f t="shared" si="18"/>
        <v>81.925019936128933</v>
      </c>
      <c r="F165" s="7">
        <f t="shared" si="19"/>
        <v>221.22733670217281</v>
      </c>
      <c r="G165">
        <v>0</v>
      </c>
      <c r="H165" s="7">
        <f t="shared" si="20"/>
        <v>0</v>
      </c>
      <c r="I165" s="7">
        <f t="shared" si="21"/>
        <v>0</v>
      </c>
      <c r="J165" s="7">
        <v>0</v>
      </c>
      <c r="K165" s="7">
        <f t="shared" si="22"/>
        <v>0</v>
      </c>
      <c r="L165" s="7">
        <f t="shared" si="23"/>
        <v>0</v>
      </c>
      <c r="M165" s="7">
        <v>0</v>
      </c>
      <c r="N165" s="7">
        <f t="shared" si="24"/>
        <v>0</v>
      </c>
      <c r="O165" s="7">
        <f t="shared" si="25"/>
        <v>0</v>
      </c>
    </row>
    <row r="166" spans="3:15" x14ac:dyDescent="0.2">
      <c r="C166">
        <v>147</v>
      </c>
      <c r="D166" s="7">
        <v>2910.7959583306615</v>
      </c>
      <c r="E166" s="7">
        <f t="shared" si="18"/>
        <v>87.045333682137013</v>
      </c>
      <c r="F166" s="7">
        <f t="shared" si="19"/>
        <v>235.05404524605868</v>
      </c>
      <c r="G166">
        <v>0</v>
      </c>
      <c r="H166" s="7">
        <f t="shared" si="20"/>
        <v>0</v>
      </c>
      <c r="I166" s="7">
        <f t="shared" si="21"/>
        <v>0</v>
      </c>
      <c r="J166" s="7">
        <v>0</v>
      </c>
      <c r="K166" s="7">
        <f t="shared" si="22"/>
        <v>0</v>
      </c>
      <c r="L166" s="7">
        <f t="shared" si="23"/>
        <v>0</v>
      </c>
      <c r="M166" s="7">
        <v>0</v>
      </c>
      <c r="N166" s="7">
        <f t="shared" si="24"/>
        <v>0</v>
      </c>
      <c r="O166" s="7">
        <f t="shared" si="25"/>
        <v>0</v>
      </c>
    </row>
    <row r="167" spans="3:15" x14ac:dyDescent="0.2">
      <c r="C167">
        <v>148</v>
      </c>
      <c r="D167" s="7">
        <v>3057.5869199544613</v>
      </c>
      <c r="E167" s="7">
        <f t="shared" si="18"/>
        <v>91.435015548877445</v>
      </c>
      <c r="F167" s="7">
        <f t="shared" si="19"/>
        <v>246.90778210332059</v>
      </c>
      <c r="G167">
        <v>0</v>
      </c>
      <c r="H167" s="7">
        <f t="shared" si="20"/>
        <v>0</v>
      </c>
      <c r="I167" s="7">
        <f t="shared" si="21"/>
        <v>0</v>
      </c>
      <c r="J167" s="7">
        <v>24.432330042709054</v>
      </c>
      <c r="K167" s="7">
        <f t="shared" si="22"/>
        <v>0.38967033560939485</v>
      </c>
      <c r="L167" s="7">
        <f t="shared" si="23"/>
        <v>1.4667236578868668</v>
      </c>
      <c r="M167" s="7">
        <v>0</v>
      </c>
      <c r="N167" s="7">
        <f t="shared" si="24"/>
        <v>0</v>
      </c>
      <c r="O167" s="7">
        <f t="shared" si="25"/>
        <v>0</v>
      </c>
    </row>
    <row r="168" spans="3:15" x14ac:dyDescent="0.2">
      <c r="C168">
        <v>149</v>
      </c>
      <c r="D168" s="7">
        <v>3055.0249672542154</v>
      </c>
      <c r="E168" s="7">
        <f t="shared" si="18"/>
        <v>91.358402130807889</v>
      </c>
      <c r="F168" s="7">
        <f t="shared" si="19"/>
        <v>246.70089802262837</v>
      </c>
      <c r="G168">
        <v>0</v>
      </c>
      <c r="H168" s="7">
        <f t="shared" si="20"/>
        <v>0</v>
      </c>
      <c r="I168" s="7">
        <f t="shared" si="21"/>
        <v>0</v>
      </c>
      <c r="J168" s="7">
        <v>198.21757440946431</v>
      </c>
      <c r="K168" s="7">
        <f t="shared" si="22"/>
        <v>3.1613648231174531</v>
      </c>
      <c r="L168" s="7">
        <f t="shared" si="23"/>
        <v>11.899413821240094</v>
      </c>
      <c r="M168" s="7">
        <v>0</v>
      </c>
      <c r="N168" s="7">
        <f t="shared" si="24"/>
        <v>0</v>
      </c>
      <c r="O168" s="7">
        <f t="shared" si="25"/>
        <v>0</v>
      </c>
    </row>
    <row r="169" spans="3:15" x14ac:dyDescent="0.2">
      <c r="C169">
        <v>150</v>
      </c>
      <c r="D169" s="7">
        <v>3052.4839847466492</v>
      </c>
      <c r="E169" s="7">
        <f t="shared" si="18"/>
        <v>91.282415811801712</v>
      </c>
      <c r="F169" s="7">
        <f t="shared" si="19"/>
        <v>246.49570733738176</v>
      </c>
      <c r="G169">
        <v>0</v>
      </c>
      <c r="H169" s="7">
        <f t="shared" si="20"/>
        <v>0</v>
      </c>
      <c r="I169" s="7">
        <f t="shared" si="21"/>
        <v>0</v>
      </c>
      <c r="J169" s="7">
        <v>371.98184858353989</v>
      </c>
      <c r="K169" s="7">
        <f t="shared" si="22"/>
        <v>5.9327248577917056</v>
      </c>
      <c r="L169" s="7">
        <f t="shared" si="23"/>
        <v>22.33084510025196</v>
      </c>
      <c r="M169" s="7">
        <v>0</v>
      </c>
      <c r="N169" s="7">
        <f t="shared" si="24"/>
        <v>0</v>
      </c>
      <c r="O169" s="7">
        <f t="shared" si="25"/>
        <v>0</v>
      </c>
    </row>
    <row r="170" spans="3:15" x14ac:dyDescent="0.2">
      <c r="C170">
        <v>151</v>
      </c>
      <c r="D170" s="7">
        <v>3049.96389234648</v>
      </c>
      <c r="E170" s="7">
        <f t="shared" si="18"/>
        <v>91.207054196964123</v>
      </c>
      <c r="F170" s="7">
        <f t="shared" si="19"/>
        <v>246.29220358049412</v>
      </c>
      <c r="G170">
        <v>0</v>
      </c>
      <c r="H170" s="7">
        <f t="shared" si="20"/>
        <v>0</v>
      </c>
      <c r="I170" s="7">
        <f t="shared" si="21"/>
        <v>0</v>
      </c>
      <c r="J170" s="7">
        <v>545.72523265021846</v>
      </c>
      <c r="K170" s="7">
        <f t="shared" si="22"/>
        <v>8.7037517169093856</v>
      </c>
      <c r="L170" s="7">
        <f t="shared" si="23"/>
        <v>32.761022302608779</v>
      </c>
      <c r="M170" s="7">
        <v>680.37424334317575</v>
      </c>
      <c r="N170" s="7">
        <f t="shared" si="24"/>
        <v>54.256319245867289</v>
      </c>
      <c r="O170" s="7">
        <f t="shared" si="25"/>
        <v>20.537914935102574</v>
      </c>
    </row>
    <row r="171" spans="3:15" x14ac:dyDescent="0.2">
      <c r="C171">
        <v>152</v>
      </c>
      <c r="D171" s="7">
        <v>3047.4646102035686</v>
      </c>
      <c r="E171" s="7">
        <f t="shared" si="18"/>
        <v>91.132314898432085</v>
      </c>
      <c r="F171" s="7">
        <f t="shared" si="19"/>
        <v>246.09038030386725</v>
      </c>
      <c r="G171">
        <v>0</v>
      </c>
      <c r="H171" s="7">
        <f t="shared" si="20"/>
        <v>0</v>
      </c>
      <c r="I171" s="7">
        <f t="shared" si="21"/>
        <v>0</v>
      </c>
      <c r="J171" s="7">
        <v>719.44780645963965</v>
      </c>
      <c r="K171" s="7">
        <f t="shared" si="22"/>
        <v>11.474446673997443</v>
      </c>
      <c r="L171" s="7">
        <f t="shared" si="23"/>
        <v>43.189950221880729</v>
      </c>
      <c r="M171" s="7">
        <v>680.37424334317575</v>
      </c>
      <c r="N171" s="7">
        <f t="shared" si="24"/>
        <v>54.256319245867289</v>
      </c>
      <c r="O171" s="7">
        <f t="shared" si="25"/>
        <v>20.537914935102574</v>
      </c>
    </row>
    <row r="172" spans="3:15" x14ac:dyDescent="0.2">
      <c r="C172">
        <v>153</v>
      </c>
      <c r="D172" s="7">
        <v>3044.986058702345</v>
      </c>
      <c r="E172" s="7">
        <f t="shared" si="18"/>
        <v>91.058195535357214</v>
      </c>
      <c r="F172" s="7">
        <f t="shared" si="19"/>
        <v>245.89023107834495</v>
      </c>
      <c r="G172">
        <v>0</v>
      </c>
      <c r="H172" s="7">
        <f t="shared" si="20"/>
        <v>0</v>
      </c>
      <c r="I172" s="7">
        <f t="shared" si="21"/>
        <v>0</v>
      </c>
      <c r="J172" s="7">
        <v>893.14964962737258</v>
      </c>
      <c r="K172" s="7">
        <f t="shared" si="22"/>
        <v>14.244810998841668</v>
      </c>
      <c r="L172" s="7">
        <f t="shared" si="23"/>
        <v>53.617633637556253</v>
      </c>
      <c r="M172" s="7">
        <v>0</v>
      </c>
      <c r="N172" s="7">
        <f t="shared" si="24"/>
        <v>0</v>
      </c>
      <c r="O172" s="7">
        <f t="shared" si="25"/>
        <v>0</v>
      </c>
    </row>
    <row r="173" spans="3:15" x14ac:dyDescent="0.2">
      <c r="C173">
        <v>154</v>
      </c>
      <c r="D173" s="7">
        <v>3042.4399324737215</v>
      </c>
      <c r="E173" s="7">
        <f t="shared" si="18"/>
        <v>90.982055396941433</v>
      </c>
      <c r="F173" s="7">
        <f t="shared" si="19"/>
        <v>245.68462502477317</v>
      </c>
      <c r="G173">
        <v>0</v>
      </c>
      <c r="H173" s="7">
        <f t="shared" si="20"/>
        <v>0</v>
      </c>
      <c r="I173" s="7">
        <f t="shared" si="21"/>
        <v>0</v>
      </c>
      <c r="J173" s="7">
        <v>1066.9190675225054</v>
      </c>
      <c r="K173" s="7">
        <f t="shared" si="22"/>
        <v>17.016253070534379</v>
      </c>
      <c r="L173" s="7">
        <f t="shared" si="23"/>
        <v>64.049373704856066</v>
      </c>
      <c r="M173" s="7">
        <v>0</v>
      </c>
      <c r="N173" s="7">
        <f t="shared" si="24"/>
        <v>0</v>
      </c>
      <c r="O173" s="7">
        <f t="shared" si="25"/>
        <v>0</v>
      </c>
    </row>
    <row r="174" spans="3:15" x14ac:dyDescent="0.2">
      <c r="C174">
        <v>155</v>
      </c>
      <c r="D174" s="7">
        <v>3039.1212633286336</v>
      </c>
      <c r="E174" s="7">
        <f t="shared" si="18"/>
        <v>90.882812898583552</v>
      </c>
      <c r="F174" s="7">
        <f t="shared" si="19"/>
        <v>245.41663420076725</v>
      </c>
      <c r="G174">
        <v>0</v>
      </c>
      <c r="H174" s="7">
        <f t="shared" si="20"/>
        <v>0</v>
      </c>
      <c r="I174" s="7">
        <f t="shared" si="21"/>
        <v>0</v>
      </c>
      <c r="J174" s="7">
        <v>1241.461028334103</v>
      </c>
      <c r="K174" s="7">
        <f t="shared" si="22"/>
        <v>19.800016400862887</v>
      </c>
      <c r="L174" s="7">
        <f t="shared" si="23"/>
        <v>74.52749113241299</v>
      </c>
      <c r="M174" s="7">
        <v>0</v>
      </c>
      <c r="N174" s="7">
        <f t="shared" si="24"/>
        <v>0</v>
      </c>
      <c r="O174" s="7">
        <f t="shared" si="25"/>
        <v>0</v>
      </c>
    </row>
    <row r="175" spans="3:15" x14ac:dyDescent="0.2">
      <c r="C175">
        <v>156</v>
      </c>
      <c r="D175" s="7">
        <v>3035.8247565687543</v>
      </c>
      <c r="E175" s="7">
        <f t="shared" si="18"/>
        <v>90.784233150979503</v>
      </c>
      <c r="F175" s="7">
        <f t="shared" si="19"/>
        <v>245.1504330447319</v>
      </c>
      <c r="G175">
        <v>0</v>
      </c>
      <c r="H175" s="7">
        <f t="shared" si="20"/>
        <v>0</v>
      </c>
      <c r="I175" s="7">
        <f t="shared" si="21"/>
        <v>0</v>
      </c>
      <c r="J175" s="7">
        <v>1415.9808267604931</v>
      </c>
      <c r="K175" s="7">
        <f t="shared" si="22"/>
        <v>22.583426264122696</v>
      </c>
      <c r="L175" s="7">
        <f t="shared" si="23"/>
        <v>85.004278105828121</v>
      </c>
      <c r="M175" s="7">
        <v>0</v>
      </c>
      <c r="N175" s="7">
        <f t="shared" si="24"/>
        <v>0</v>
      </c>
      <c r="O175" s="7">
        <f t="shared" si="25"/>
        <v>0</v>
      </c>
    </row>
    <row r="176" spans="3:15" x14ac:dyDescent="0.2">
      <c r="C176">
        <v>157</v>
      </c>
      <c r="D176" s="7">
        <v>3032.5503314180473</v>
      </c>
      <c r="E176" s="7">
        <f t="shared" si="18"/>
        <v>90.686313738577979</v>
      </c>
      <c r="F176" s="7">
        <f t="shared" si="19"/>
        <v>244.88601503380045</v>
      </c>
      <c r="G176">
        <v>0</v>
      </c>
      <c r="H176" s="7">
        <f t="shared" si="20"/>
        <v>0</v>
      </c>
      <c r="I176" s="7">
        <f t="shared" si="21"/>
        <v>0</v>
      </c>
      <c r="J176" s="7">
        <v>1590.4785435777089</v>
      </c>
      <c r="K176" s="7">
        <f t="shared" si="22"/>
        <v>25.366483948607801</v>
      </c>
      <c r="L176" s="7">
        <f t="shared" si="23"/>
        <v>95.479739474254984</v>
      </c>
      <c r="M176" s="7">
        <v>0</v>
      </c>
      <c r="N176" s="7">
        <f t="shared" si="24"/>
        <v>0</v>
      </c>
      <c r="O176" s="7">
        <f t="shared" si="25"/>
        <v>0</v>
      </c>
    </row>
    <row r="177" spans="3:15" x14ac:dyDescent="0.2">
      <c r="C177">
        <v>158</v>
      </c>
      <c r="D177" s="7">
        <v>3029.2979073312526</v>
      </c>
      <c r="E177" s="7">
        <f t="shared" si="18"/>
        <v>90.589052252728848</v>
      </c>
      <c r="F177" s="7">
        <f t="shared" si="19"/>
        <v>244.62337366374192</v>
      </c>
      <c r="G177">
        <v>0</v>
      </c>
      <c r="H177" s="7">
        <f t="shared" si="20"/>
        <v>0</v>
      </c>
      <c r="I177" s="7">
        <f t="shared" si="21"/>
        <v>0</v>
      </c>
      <c r="J177" s="7">
        <v>1764.9542593310134</v>
      </c>
      <c r="K177" s="7">
        <f t="shared" si="22"/>
        <v>28.149190738931637</v>
      </c>
      <c r="L177" s="7">
        <f t="shared" si="23"/>
        <v>105.95388007299343</v>
      </c>
      <c r="M177" s="7">
        <v>0</v>
      </c>
      <c r="N177" s="7">
        <f t="shared" si="24"/>
        <v>0</v>
      </c>
      <c r="O177" s="7">
        <f t="shared" si="25"/>
        <v>0</v>
      </c>
    </row>
    <row r="178" spans="3:15" x14ac:dyDescent="0.2">
      <c r="C178">
        <v>159</v>
      </c>
      <c r="D178" s="7">
        <v>3026.0674039933447</v>
      </c>
      <c r="E178" s="7">
        <f t="shared" si="18"/>
        <v>90.492446291667008</v>
      </c>
      <c r="F178" s="7">
        <f t="shared" si="19"/>
        <v>244.36250244891735</v>
      </c>
      <c r="G178">
        <v>0</v>
      </c>
      <c r="H178" s="7">
        <f t="shared" si="20"/>
        <v>0</v>
      </c>
      <c r="I178" s="7">
        <f t="shared" si="21"/>
        <v>0</v>
      </c>
      <c r="J178" s="7">
        <v>1596.9614710024107</v>
      </c>
      <c r="K178" s="7">
        <f t="shared" si="22"/>
        <v>25.469879920293632</v>
      </c>
      <c r="L178" s="7">
        <f t="shared" si="23"/>
        <v>95.868923109608289</v>
      </c>
      <c r="M178" s="7">
        <v>0</v>
      </c>
      <c r="N178" s="7">
        <f t="shared" si="24"/>
        <v>0</v>
      </c>
      <c r="O178" s="7">
        <f t="shared" si="25"/>
        <v>0</v>
      </c>
    </row>
    <row r="179" spans="3:15" x14ac:dyDescent="0.2">
      <c r="C179">
        <v>160</v>
      </c>
      <c r="D179" s="7">
        <v>3022.8587413189803</v>
      </c>
      <c r="E179" s="7">
        <f t="shared" si="18"/>
        <v>90.396493460495833</v>
      </c>
      <c r="F179" s="7">
        <f t="shared" si="19"/>
        <v>244.10339492223522</v>
      </c>
      <c r="G179">
        <v>0</v>
      </c>
      <c r="H179" s="7">
        <f t="shared" si="20"/>
        <v>0</v>
      </c>
      <c r="I179" s="7">
        <f t="shared" si="21"/>
        <v>0</v>
      </c>
      <c r="J179" s="7">
        <v>1771.393425343284</v>
      </c>
      <c r="K179" s="7">
        <f t="shared" si="22"/>
        <v>28.251888761455888</v>
      </c>
      <c r="L179" s="7">
        <f t="shared" si="23"/>
        <v>106.34043661961623</v>
      </c>
      <c r="M179" s="7">
        <v>680.37424334317575</v>
      </c>
      <c r="N179" s="7">
        <f t="shared" si="24"/>
        <v>54.256319245867289</v>
      </c>
      <c r="O179" s="7">
        <f t="shared" si="25"/>
        <v>20.537914935102574</v>
      </c>
    </row>
    <row r="180" spans="3:15" x14ac:dyDescent="0.2">
      <c r="C180">
        <v>161</v>
      </c>
      <c r="D180" s="7">
        <v>3019.6718394519517</v>
      </c>
      <c r="E180" s="7">
        <f t="shared" si="18"/>
        <v>90.301191371170816</v>
      </c>
      <c r="F180" s="7">
        <f t="shared" si="19"/>
        <v>243.84604463510729</v>
      </c>
      <c r="G180">
        <v>0</v>
      </c>
      <c r="H180" s="7">
        <f t="shared" si="20"/>
        <v>0</v>
      </c>
      <c r="I180" s="7">
        <f t="shared" si="21"/>
        <v>0</v>
      </c>
      <c r="J180" s="7">
        <v>2459.4734938763509</v>
      </c>
      <c r="K180" s="7">
        <f t="shared" si="22"/>
        <v>39.226052533913098</v>
      </c>
      <c r="L180" s="7">
        <f t="shared" si="23"/>
        <v>147.64731620390836</v>
      </c>
      <c r="M180" s="7">
        <v>680.37424334317575</v>
      </c>
      <c r="N180" s="7">
        <f t="shared" si="24"/>
        <v>54.256319245867289</v>
      </c>
      <c r="O180" s="7">
        <f t="shared" si="25"/>
        <v>20.537914935102574</v>
      </c>
    </row>
    <row r="181" spans="3:15" x14ac:dyDescent="0.2">
      <c r="C181">
        <v>162</v>
      </c>
      <c r="D181" s="7">
        <v>3016.5066187646448</v>
      </c>
      <c r="E181" s="7">
        <f t="shared" si="18"/>
        <v>90.206537642483397</v>
      </c>
      <c r="F181" s="7">
        <f t="shared" si="19"/>
        <v>243.59044515740467</v>
      </c>
      <c r="G181">
        <v>0</v>
      </c>
      <c r="H181" s="7">
        <f t="shared" si="20"/>
        <v>0</v>
      </c>
      <c r="I181" s="7">
        <f t="shared" si="21"/>
        <v>0</v>
      </c>
      <c r="J181" s="7">
        <v>2291.415422897147</v>
      </c>
      <c r="K181" s="7">
        <f t="shared" si="22"/>
        <v>36.545700524675389</v>
      </c>
      <c r="L181" s="7">
        <f t="shared" si="23"/>
        <v>137.55844018704289</v>
      </c>
      <c r="M181" s="7">
        <v>680.37424334317575</v>
      </c>
      <c r="N181" s="7">
        <f t="shared" si="24"/>
        <v>54.256319245867289</v>
      </c>
      <c r="O181" s="7">
        <f t="shared" si="25"/>
        <v>20.537914935102574</v>
      </c>
    </row>
    <row r="182" spans="3:15" x14ac:dyDescent="0.2">
      <c r="C182">
        <v>163</v>
      </c>
      <c r="D182" s="7">
        <v>3013.3629998574893</v>
      </c>
      <c r="E182" s="7">
        <f t="shared" si="18"/>
        <v>90.112529900044535</v>
      </c>
      <c r="F182" s="7">
        <f t="shared" si="19"/>
        <v>243.33659007741389</v>
      </c>
      <c r="G182">
        <v>0</v>
      </c>
      <c r="H182" s="7">
        <f t="shared" si="20"/>
        <v>0</v>
      </c>
      <c r="I182" s="7">
        <f t="shared" si="21"/>
        <v>0</v>
      </c>
      <c r="J182" s="7">
        <v>2637.0056251373221</v>
      </c>
      <c r="K182" s="7">
        <f t="shared" si="22"/>
        <v>42.057505983051392</v>
      </c>
      <c r="L182" s="7">
        <f t="shared" si="23"/>
        <v>158.30493979119478</v>
      </c>
      <c r="M182" s="7">
        <v>680.37424334317575</v>
      </c>
      <c r="N182" s="7">
        <f t="shared" si="24"/>
        <v>54.256319245867289</v>
      </c>
      <c r="O182" s="7">
        <f t="shared" si="25"/>
        <v>20.537914935102574</v>
      </c>
    </row>
    <row r="183" spans="3:15" x14ac:dyDescent="0.2">
      <c r="C183">
        <v>164</v>
      </c>
      <c r="D183" s="7">
        <v>3010.2409035584233</v>
      </c>
      <c r="E183" s="7">
        <f t="shared" si="18"/>
        <v>90.01916577626865</v>
      </c>
      <c r="F183" s="7">
        <f t="shared" si="19"/>
        <v>243.0844730017931</v>
      </c>
      <c r="G183">
        <v>0</v>
      </c>
      <c r="H183" s="7">
        <f t="shared" si="20"/>
        <v>0</v>
      </c>
      <c r="I183" s="7">
        <f t="shared" si="21"/>
        <v>0</v>
      </c>
      <c r="J183" s="7">
        <v>2263.4364797700682</v>
      </c>
      <c r="K183" s="7">
        <f t="shared" si="22"/>
        <v>36.099465387082432</v>
      </c>
      <c r="L183" s="7">
        <f t="shared" si="23"/>
        <v>135.87880595913987</v>
      </c>
      <c r="M183" s="7">
        <v>680.37424334317575</v>
      </c>
      <c r="N183" s="7">
        <f t="shared" si="24"/>
        <v>54.256319245867289</v>
      </c>
      <c r="O183" s="7">
        <f t="shared" si="25"/>
        <v>20.537914935102574</v>
      </c>
    </row>
    <row r="184" spans="3:15" x14ac:dyDescent="0.2">
      <c r="C184">
        <v>165</v>
      </c>
      <c r="D184" s="7">
        <v>3007.1402509223335</v>
      </c>
      <c r="E184" s="7">
        <f t="shared" si="18"/>
        <v>89.926442910356869</v>
      </c>
      <c r="F184" s="7">
        <f t="shared" si="19"/>
        <v>242.83408755552716</v>
      </c>
      <c r="G184">
        <v>0</v>
      </c>
      <c r="H184" s="7">
        <f t="shared" si="20"/>
        <v>0</v>
      </c>
      <c r="I184" s="7">
        <f t="shared" si="21"/>
        <v>0</v>
      </c>
      <c r="J184" s="7">
        <v>1889.8458907398372</v>
      </c>
      <c r="K184" s="7">
        <f t="shared" si="22"/>
        <v>30.141082786919256</v>
      </c>
      <c r="L184" s="7">
        <f t="shared" si="23"/>
        <v>113.45138481933554</v>
      </c>
      <c r="M184" s="7">
        <v>680.37424334317575</v>
      </c>
      <c r="N184" s="7">
        <f t="shared" si="24"/>
        <v>54.256319245867289</v>
      </c>
      <c r="O184" s="7">
        <f t="shared" si="25"/>
        <v>20.537914935102574</v>
      </c>
    </row>
    <row r="185" spans="3:15" x14ac:dyDescent="0.2">
      <c r="C185">
        <v>166</v>
      </c>
      <c r="D185" s="7">
        <v>3004.3255910567641</v>
      </c>
      <c r="E185" s="7">
        <f t="shared" si="18"/>
        <v>89.842272459831463</v>
      </c>
      <c r="F185" s="7">
        <f t="shared" si="19"/>
        <v>242.60679673993414</v>
      </c>
      <c r="G185">
        <v>0</v>
      </c>
      <c r="H185" s="7">
        <f t="shared" si="20"/>
        <v>0</v>
      </c>
      <c r="I185" s="7">
        <f t="shared" si="21"/>
        <v>0</v>
      </c>
      <c r="J185" s="7">
        <v>1515.9693089390848</v>
      </c>
      <c r="K185" s="7">
        <f t="shared" si="22"/>
        <v>24.178138898549999</v>
      </c>
      <c r="L185" s="7">
        <f t="shared" si="23"/>
        <v>91.006794937877231</v>
      </c>
      <c r="M185" s="7">
        <v>680.37424334317575</v>
      </c>
      <c r="N185" s="7">
        <f t="shared" si="24"/>
        <v>54.256319245867289</v>
      </c>
      <c r="O185" s="7">
        <f t="shared" si="25"/>
        <v>20.537914935102574</v>
      </c>
    </row>
    <row r="186" spans="3:15" x14ac:dyDescent="0.2">
      <c r="C186">
        <v>167</v>
      </c>
      <c r="D186" s="7">
        <v>3002.1485968273087</v>
      </c>
      <c r="E186" s="7">
        <f t="shared" si="18"/>
        <v>89.77717095775445</v>
      </c>
      <c r="F186" s="7">
        <f t="shared" si="19"/>
        <v>242.43099901744304</v>
      </c>
      <c r="G186">
        <v>0</v>
      </c>
      <c r="H186" s="7">
        <f t="shared" si="20"/>
        <v>0</v>
      </c>
      <c r="I186" s="7">
        <f t="shared" si="21"/>
        <v>0</v>
      </c>
      <c r="J186" s="7">
        <v>1141.4550615022204</v>
      </c>
      <c r="K186" s="7">
        <f t="shared" si="22"/>
        <v>18.205024904341634</v>
      </c>
      <c r="L186" s="7">
        <f t="shared" si="23"/>
        <v>68.523924660211406</v>
      </c>
      <c r="M186" s="7">
        <v>0</v>
      </c>
      <c r="N186" s="7">
        <f t="shared" si="24"/>
        <v>0</v>
      </c>
      <c r="O186" s="7">
        <f t="shared" si="25"/>
        <v>0</v>
      </c>
    </row>
    <row r="187" spans="3:15" x14ac:dyDescent="0.2">
      <c r="C187">
        <v>168</v>
      </c>
      <c r="D187" s="7">
        <v>2999.9911420118774</v>
      </c>
      <c r="E187" s="7">
        <f t="shared" si="18"/>
        <v>89.71265376829777</v>
      </c>
      <c r="F187" s="7">
        <f t="shared" si="19"/>
        <v>242.25677915144684</v>
      </c>
      <c r="G187">
        <v>0</v>
      </c>
      <c r="H187" s="7">
        <f t="shared" si="20"/>
        <v>0</v>
      </c>
      <c r="I187" s="7">
        <f t="shared" si="21"/>
        <v>0</v>
      </c>
      <c r="J187" s="7">
        <v>766.9212746513308</v>
      </c>
      <c r="K187" s="7">
        <f t="shared" si="22"/>
        <v>12.231599276735739</v>
      </c>
      <c r="L187" s="7">
        <f t="shared" si="23"/>
        <v>46.039881390826764</v>
      </c>
      <c r="M187" s="7">
        <v>0</v>
      </c>
      <c r="N187" s="7">
        <f t="shared" si="24"/>
        <v>0</v>
      </c>
      <c r="O187" s="7">
        <f t="shared" si="25"/>
        <v>0</v>
      </c>
    </row>
    <row r="188" spans="3:15" x14ac:dyDescent="0.2">
      <c r="C188">
        <v>169</v>
      </c>
      <c r="D188" s="7">
        <v>2910.7959583306606</v>
      </c>
      <c r="E188" s="7">
        <f t="shared" si="18"/>
        <v>87.045333682136985</v>
      </c>
      <c r="F188" s="7">
        <f t="shared" si="19"/>
        <v>235.05404524605862</v>
      </c>
      <c r="G188">
        <v>0</v>
      </c>
      <c r="H188" s="7">
        <f t="shared" si="20"/>
        <v>0</v>
      </c>
      <c r="I188" s="7">
        <f t="shared" si="21"/>
        <v>0</v>
      </c>
      <c r="J188" s="7">
        <v>0</v>
      </c>
      <c r="K188" s="7">
        <f t="shared" si="22"/>
        <v>0</v>
      </c>
      <c r="L188" s="7">
        <f t="shared" si="23"/>
        <v>0</v>
      </c>
      <c r="M188" s="7">
        <v>0</v>
      </c>
      <c r="N188" s="7">
        <f t="shared" si="24"/>
        <v>0</v>
      </c>
      <c r="O188" s="7">
        <f t="shared" si="25"/>
        <v>0</v>
      </c>
    </row>
    <row r="189" spans="3:15" x14ac:dyDescent="0.2">
      <c r="C189">
        <v>170</v>
      </c>
      <c r="D189" s="7">
        <v>2739.5726666641513</v>
      </c>
      <c r="E189" s="7">
        <f t="shared" si="18"/>
        <v>81.925019936128933</v>
      </c>
      <c r="F189" s="7">
        <f t="shared" si="19"/>
        <v>221.22733670217281</v>
      </c>
      <c r="G189">
        <v>0</v>
      </c>
      <c r="H189" s="7">
        <f t="shared" si="20"/>
        <v>0</v>
      </c>
      <c r="I189" s="7">
        <f t="shared" si="21"/>
        <v>0</v>
      </c>
      <c r="J189" s="7">
        <v>0</v>
      </c>
      <c r="K189" s="7">
        <f t="shared" si="22"/>
        <v>0</v>
      </c>
      <c r="L189" s="7">
        <f t="shared" si="23"/>
        <v>0</v>
      </c>
      <c r="M189" s="7">
        <v>0</v>
      </c>
      <c r="N189" s="7">
        <f t="shared" si="24"/>
        <v>0</v>
      </c>
      <c r="O189" s="7">
        <f t="shared" si="25"/>
        <v>0</v>
      </c>
    </row>
    <row r="190" spans="3:15" x14ac:dyDescent="0.2">
      <c r="C190">
        <v>171</v>
      </c>
      <c r="D190" s="7">
        <v>2910.7959583306606</v>
      </c>
      <c r="E190" s="7">
        <f t="shared" si="18"/>
        <v>87.045333682136985</v>
      </c>
      <c r="F190" s="7">
        <f t="shared" si="19"/>
        <v>235.05404524605862</v>
      </c>
      <c r="G190">
        <v>0</v>
      </c>
      <c r="H190" s="7">
        <f t="shared" si="20"/>
        <v>0</v>
      </c>
      <c r="I190" s="7">
        <f t="shared" si="21"/>
        <v>0</v>
      </c>
      <c r="J190" s="7">
        <v>0</v>
      </c>
      <c r="K190" s="7">
        <f t="shared" si="22"/>
        <v>0</v>
      </c>
      <c r="L190" s="7">
        <f t="shared" si="23"/>
        <v>0</v>
      </c>
      <c r="M190" s="7">
        <v>0</v>
      </c>
      <c r="N190" s="7">
        <f t="shared" si="24"/>
        <v>0</v>
      </c>
      <c r="O190" s="7">
        <f t="shared" si="25"/>
        <v>0</v>
      </c>
    </row>
    <row r="191" spans="3:15" x14ac:dyDescent="0.2">
      <c r="C191">
        <v>172</v>
      </c>
      <c r="D191" s="7">
        <v>2992.3724946369371</v>
      </c>
      <c r="E191" s="7">
        <f t="shared" si="18"/>
        <v>89.484823404214637</v>
      </c>
      <c r="F191" s="7">
        <f t="shared" si="19"/>
        <v>241.64155434338093</v>
      </c>
      <c r="G191">
        <v>0</v>
      </c>
      <c r="H191" s="7">
        <f t="shared" si="20"/>
        <v>0</v>
      </c>
      <c r="I191" s="7">
        <f t="shared" si="21"/>
        <v>0</v>
      </c>
      <c r="J191" s="7">
        <v>89.646755360233328</v>
      </c>
      <c r="K191" s="7">
        <f t="shared" si="22"/>
        <v>1.4297728127628921</v>
      </c>
      <c r="L191" s="7">
        <f t="shared" si="23"/>
        <v>5.3816814323400175</v>
      </c>
      <c r="M191" s="7">
        <v>0</v>
      </c>
      <c r="N191" s="7">
        <f t="shared" si="24"/>
        <v>0</v>
      </c>
      <c r="O191" s="7">
        <f t="shared" si="25"/>
        <v>0</v>
      </c>
    </row>
    <row r="192" spans="3:15" x14ac:dyDescent="0.2">
      <c r="C192">
        <v>173</v>
      </c>
      <c r="D192" s="7">
        <v>2990.3078422588865</v>
      </c>
      <c r="E192" s="7">
        <f t="shared" si="18"/>
        <v>89.423081407263354</v>
      </c>
      <c r="F192" s="7">
        <f t="shared" si="19"/>
        <v>241.4748285060378</v>
      </c>
      <c r="G192">
        <v>0</v>
      </c>
      <c r="H192" s="7">
        <f t="shared" si="20"/>
        <v>0</v>
      </c>
      <c r="I192" s="7">
        <f t="shared" si="21"/>
        <v>0</v>
      </c>
      <c r="J192" s="7">
        <v>519.76963690455705</v>
      </c>
      <c r="K192" s="7">
        <f t="shared" si="22"/>
        <v>8.289786872480974</v>
      </c>
      <c r="L192" s="7">
        <f t="shared" si="23"/>
        <v>31.202853832055151</v>
      </c>
      <c r="M192" s="7">
        <v>0</v>
      </c>
      <c r="N192" s="7">
        <f t="shared" si="24"/>
        <v>0</v>
      </c>
      <c r="O192" s="7">
        <f t="shared" si="25"/>
        <v>0</v>
      </c>
    </row>
    <row r="193" spans="3:15" x14ac:dyDescent="0.2">
      <c r="C193">
        <v>174</v>
      </c>
      <c r="D193" s="7">
        <v>2988.2622890617963</v>
      </c>
      <c r="E193" s="7">
        <f t="shared" si="18"/>
        <v>89.361910558068075</v>
      </c>
      <c r="F193" s="7">
        <f t="shared" si="19"/>
        <v>241.30964497526986</v>
      </c>
      <c r="G193">
        <v>0</v>
      </c>
      <c r="H193" s="7">
        <f t="shared" si="20"/>
        <v>0</v>
      </c>
      <c r="I193" s="7">
        <f t="shared" si="21"/>
        <v>0</v>
      </c>
      <c r="J193" s="7">
        <v>778.65012760141099</v>
      </c>
      <c r="K193" s="7">
        <f t="shared" si="22"/>
        <v>12.418662322191564</v>
      </c>
      <c r="L193" s="7">
        <f t="shared" si="23"/>
        <v>46.743988861202574</v>
      </c>
      <c r="M193" s="7">
        <v>0</v>
      </c>
      <c r="N193" s="7">
        <f t="shared" si="24"/>
        <v>0</v>
      </c>
      <c r="O193" s="7">
        <f t="shared" si="25"/>
        <v>0</v>
      </c>
    </row>
    <row r="194" spans="3:15" x14ac:dyDescent="0.2">
      <c r="C194">
        <v>175</v>
      </c>
      <c r="D194" s="7">
        <v>2986.235760407365</v>
      </c>
      <c r="E194" s="7">
        <f t="shared" si="18"/>
        <v>89.301308624622166</v>
      </c>
      <c r="F194" s="7">
        <f t="shared" si="19"/>
        <v>241.14599772384784</v>
      </c>
      <c r="G194">
        <v>0</v>
      </c>
      <c r="H194" s="7">
        <f t="shared" si="20"/>
        <v>0</v>
      </c>
      <c r="I194" s="7">
        <f t="shared" si="21"/>
        <v>0</v>
      </c>
      <c r="J194" s="7">
        <v>1037.5115937556061</v>
      </c>
      <c r="K194" s="7">
        <f t="shared" si="22"/>
        <v>16.547234350169159</v>
      </c>
      <c r="L194" s="7">
        <f t="shared" si="23"/>
        <v>62.283981807431609</v>
      </c>
      <c r="M194" s="7">
        <v>680.37424334317575</v>
      </c>
      <c r="N194" s="7">
        <f t="shared" si="24"/>
        <v>54.256319245867289</v>
      </c>
      <c r="O194" s="7">
        <f t="shared" si="25"/>
        <v>20.537914935102574</v>
      </c>
    </row>
    <row r="195" spans="3:15" x14ac:dyDescent="0.2">
      <c r="C195">
        <v>176</v>
      </c>
      <c r="D195" s="7">
        <v>2984.2281818792544</v>
      </c>
      <c r="E195" s="7">
        <f t="shared" si="18"/>
        <v>89.241273381556653</v>
      </c>
      <c r="F195" s="7">
        <f t="shared" si="19"/>
        <v>240.98388074246654</v>
      </c>
      <c r="G195">
        <v>0</v>
      </c>
      <c r="H195" s="7">
        <f t="shared" si="20"/>
        <v>0</v>
      </c>
      <c r="I195" s="7">
        <f t="shared" si="21"/>
        <v>0</v>
      </c>
      <c r="J195" s="7">
        <v>1296.3541097834805</v>
      </c>
      <c r="K195" s="7">
        <f t="shared" si="22"/>
        <v>20.675504143277202</v>
      </c>
      <c r="L195" s="7">
        <f t="shared" si="23"/>
        <v>77.822837138110017</v>
      </c>
      <c r="M195" s="7">
        <v>680.37424334317575</v>
      </c>
      <c r="N195" s="7">
        <f t="shared" si="24"/>
        <v>54.256319245867289</v>
      </c>
      <c r="O195" s="7">
        <f t="shared" si="25"/>
        <v>20.537914935102574</v>
      </c>
    </row>
    <row r="196" spans="3:15" x14ac:dyDescent="0.2">
      <c r="C196">
        <v>177</v>
      </c>
      <c r="D196" s="7">
        <v>2982.239479282533</v>
      </c>
      <c r="E196" s="7">
        <f t="shared" si="18"/>
        <v>89.181802610123597</v>
      </c>
      <c r="F196" s="7">
        <f t="shared" si="19"/>
        <v>240.82328803969983</v>
      </c>
      <c r="G196">
        <v>0</v>
      </c>
      <c r="H196" s="7">
        <f t="shared" si="20"/>
        <v>0</v>
      </c>
      <c r="I196" s="7">
        <f t="shared" si="21"/>
        <v>0</v>
      </c>
      <c r="J196" s="7">
        <v>1555.1777498799661</v>
      </c>
      <c r="K196" s="7">
        <f t="shared" si="22"/>
        <v>24.803472884847945</v>
      </c>
      <c r="L196" s="7">
        <f t="shared" si="23"/>
        <v>93.360559307314091</v>
      </c>
      <c r="M196" s="7">
        <v>0</v>
      </c>
      <c r="N196" s="7">
        <f t="shared" si="24"/>
        <v>0</v>
      </c>
      <c r="O196" s="7">
        <f t="shared" si="25"/>
        <v>0</v>
      </c>
    </row>
    <row r="197" spans="3:15" x14ac:dyDescent="0.2">
      <c r="C197">
        <v>178</v>
      </c>
      <c r="D197" s="7">
        <v>2980.269578643145</v>
      </c>
      <c r="E197" s="7">
        <f t="shared" si="18"/>
        <v>89.122894098180183</v>
      </c>
      <c r="F197" s="7">
        <f t="shared" si="19"/>
        <v>240.66421364195796</v>
      </c>
      <c r="G197">
        <v>0</v>
      </c>
      <c r="H197" s="7">
        <f t="shared" si="20"/>
        <v>0</v>
      </c>
      <c r="I197" s="7">
        <f t="shared" si="21"/>
        <v>0</v>
      </c>
      <c r="J197" s="7">
        <v>1813.9825880191183</v>
      </c>
      <c r="K197" s="7">
        <f t="shared" si="22"/>
        <v>28.931141754690884</v>
      </c>
      <c r="L197" s="7">
        <f t="shared" si="23"/>
        <v>108.89715275586045</v>
      </c>
      <c r="M197" s="7">
        <v>0</v>
      </c>
      <c r="N197" s="7">
        <f t="shared" si="24"/>
        <v>0</v>
      </c>
      <c r="O197" s="7">
        <f t="shared" si="25"/>
        <v>0</v>
      </c>
    </row>
    <row r="198" spans="3:15" x14ac:dyDescent="0.2">
      <c r="C198">
        <v>179</v>
      </c>
      <c r="D198" s="7">
        <v>2978.3184062073565</v>
      </c>
      <c r="E198" s="7">
        <f t="shared" si="18"/>
        <v>89.064545640172156</v>
      </c>
      <c r="F198" s="7">
        <f t="shared" si="19"/>
        <v>240.50665159344263</v>
      </c>
      <c r="G198">
        <v>0</v>
      </c>
      <c r="H198" s="7">
        <f t="shared" si="20"/>
        <v>0</v>
      </c>
      <c r="I198" s="7">
        <f t="shared" si="21"/>
        <v>0</v>
      </c>
      <c r="J198" s="7">
        <v>2072.7686979546711</v>
      </c>
      <c r="K198" s="7">
        <f t="shared" si="22"/>
        <v>33.058511929101613</v>
      </c>
      <c r="L198" s="7">
        <f t="shared" si="23"/>
        <v>124.43262191133933</v>
      </c>
      <c r="M198" s="7">
        <v>0</v>
      </c>
      <c r="N198" s="7">
        <f t="shared" si="24"/>
        <v>0</v>
      </c>
      <c r="O198" s="7">
        <f t="shared" si="25"/>
        <v>0</v>
      </c>
    </row>
    <row r="199" spans="3:15" x14ac:dyDescent="0.2">
      <c r="C199">
        <v>180</v>
      </c>
      <c r="D199" s="7">
        <v>2976.3858884412134</v>
      </c>
      <c r="E199" s="7">
        <f t="shared" si="18"/>
        <v>89.006755037117628</v>
      </c>
      <c r="F199" s="7">
        <f t="shared" si="19"/>
        <v>240.35059595610338</v>
      </c>
      <c r="G199">
        <v>0</v>
      </c>
      <c r="H199" s="7">
        <f t="shared" si="20"/>
        <v>0</v>
      </c>
      <c r="I199" s="7">
        <f t="shared" si="21"/>
        <v>0</v>
      </c>
      <c r="J199" s="7">
        <v>2331.5361532205775</v>
      </c>
      <c r="K199" s="7">
        <f t="shared" si="22"/>
        <v>37.185584580870454</v>
      </c>
      <c r="L199" s="7">
        <f t="shared" si="23"/>
        <v>139.96697118814711</v>
      </c>
      <c r="M199" s="7">
        <v>0</v>
      </c>
      <c r="N199" s="7">
        <f t="shared" si="24"/>
        <v>0</v>
      </c>
      <c r="O199" s="7">
        <f t="shared" si="25"/>
        <v>0</v>
      </c>
    </row>
    <row r="200" spans="3:15" x14ac:dyDescent="0.2">
      <c r="C200">
        <v>181</v>
      </c>
      <c r="D200" s="7">
        <v>2974.4719520300009</v>
      </c>
      <c r="E200" s="7">
        <f t="shared" si="18"/>
        <v>88.949520096590945</v>
      </c>
      <c r="F200" s="7">
        <f t="shared" si="19"/>
        <v>240.19604080959382</v>
      </c>
      <c r="G200">
        <v>0</v>
      </c>
      <c r="H200" s="7">
        <f t="shared" si="20"/>
        <v>0</v>
      </c>
      <c r="I200" s="7">
        <f t="shared" si="21"/>
        <v>0</v>
      </c>
      <c r="J200" s="7">
        <v>2590.285027131556</v>
      </c>
      <c r="K200" s="7">
        <f t="shared" si="22"/>
        <v>41.31236087929117</v>
      </c>
      <c r="L200" s="7">
        <f t="shared" si="23"/>
        <v>155.50020498751903</v>
      </c>
      <c r="M200" s="7">
        <v>0</v>
      </c>
      <c r="N200" s="7">
        <f t="shared" si="24"/>
        <v>0</v>
      </c>
      <c r="O200" s="7">
        <f t="shared" si="25"/>
        <v>0</v>
      </c>
    </row>
    <row r="201" spans="3:15" x14ac:dyDescent="0.2">
      <c r="C201">
        <v>182</v>
      </c>
      <c r="D201" s="7">
        <v>2972.576523877693</v>
      </c>
      <c r="E201" s="7">
        <f t="shared" si="18"/>
        <v>88.89283863270613</v>
      </c>
      <c r="F201" s="7">
        <f t="shared" si="19"/>
        <v>240.04298025122722</v>
      </c>
      <c r="G201">
        <v>0</v>
      </c>
      <c r="H201" s="7">
        <f t="shared" si="20"/>
        <v>0</v>
      </c>
      <c r="I201" s="7">
        <f t="shared" si="21"/>
        <v>0</v>
      </c>
      <c r="J201" s="7">
        <v>2849.0153927836282</v>
      </c>
      <c r="K201" s="7">
        <f t="shared" si="22"/>
        <v>45.438841990169514</v>
      </c>
      <c r="L201" s="7">
        <f t="shared" si="23"/>
        <v>171.0323276975615</v>
      </c>
      <c r="M201" s="7">
        <v>0</v>
      </c>
      <c r="N201" s="7">
        <f t="shared" si="24"/>
        <v>0</v>
      </c>
      <c r="O201" s="7">
        <f t="shared" si="25"/>
        <v>0</v>
      </c>
    </row>
    <row r="202" spans="3:15" x14ac:dyDescent="0.2">
      <c r="C202">
        <v>183</v>
      </c>
      <c r="D202" s="7">
        <v>2970.6995311064211</v>
      </c>
      <c r="E202" s="7">
        <f t="shared" si="18"/>
        <v>88.836708466101115</v>
      </c>
      <c r="F202" s="7">
        <f t="shared" si="19"/>
        <v>239.89140839593372</v>
      </c>
      <c r="G202">
        <v>0</v>
      </c>
      <c r="H202" s="7">
        <f t="shared" si="20"/>
        <v>0</v>
      </c>
      <c r="I202" s="7">
        <f t="shared" si="21"/>
        <v>0</v>
      </c>
      <c r="J202" s="7">
        <v>2679.6690938883903</v>
      </c>
      <c r="K202" s="7">
        <f t="shared" si="22"/>
        <v>42.737944081154552</v>
      </c>
      <c r="L202" s="7">
        <f t="shared" si="23"/>
        <v>160.86611667589318</v>
      </c>
      <c r="M202" s="7">
        <v>0</v>
      </c>
      <c r="N202" s="7">
        <f t="shared" si="24"/>
        <v>0</v>
      </c>
      <c r="O202" s="7">
        <f t="shared" si="25"/>
        <v>0</v>
      </c>
    </row>
    <row r="203" spans="3:15" x14ac:dyDescent="0.2">
      <c r="C203">
        <v>184</v>
      </c>
      <c r="D203" s="7">
        <v>2968.8409010559321</v>
      </c>
      <c r="E203" s="7">
        <f t="shared" si="18"/>
        <v>88.781127423921419</v>
      </c>
      <c r="F203" s="7">
        <f t="shared" si="19"/>
        <v>239.7413193762163</v>
      </c>
      <c r="G203">
        <v>0</v>
      </c>
      <c r="H203" s="7">
        <f t="shared" si="20"/>
        <v>0</v>
      </c>
      <c r="I203" s="7">
        <f t="shared" si="21"/>
        <v>0</v>
      </c>
      <c r="J203" s="7">
        <v>2909.8254461608917</v>
      </c>
      <c r="K203" s="7">
        <f t="shared" si="22"/>
        <v>46.408699300811676</v>
      </c>
      <c r="L203" s="7">
        <f t="shared" si="23"/>
        <v>174.68288185141762</v>
      </c>
      <c r="M203" s="7">
        <v>680.37424334317575</v>
      </c>
      <c r="N203" s="7">
        <f t="shared" si="24"/>
        <v>54.256319245867289</v>
      </c>
      <c r="O203" s="7">
        <f t="shared" si="25"/>
        <v>20.537914935102574</v>
      </c>
    </row>
    <row r="204" spans="3:15" x14ac:dyDescent="0.2">
      <c r="C204">
        <v>185</v>
      </c>
      <c r="D204" s="7">
        <v>2967.00056128305</v>
      </c>
      <c r="E204" s="7">
        <f t="shared" si="18"/>
        <v>88.726093339804137</v>
      </c>
      <c r="F204" s="7">
        <f t="shared" si="19"/>
        <v>239.5927073421075</v>
      </c>
      <c r="G204">
        <v>0</v>
      </c>
      <c r="H204" s="7">
        <f t="shared" si="20"/>
        <v>0</v>
      </c>
      <c r="I204" s="7">
        <f t="shared" si="21"/>
        <v>0</v>
      </c>
      <c r="J204" s="7">
        <v>3710.7078137108183</v>
      </c>
      <c r="K204" s="7">
        <f t="shared" si="22"/>
        <v>59.181942802405402</v>
      </c>
      <c r="L204" s="7">
        <f t="shared" si="23"/>
        <v>222.76151838000615</v>
      </c>
      <c r="M204" s="7">
        <v>680.37424334317575</v>
      </c>
      <c r="N204" s="7">
        <f t="shared" si="24"/>
        <v>54.256319245867289</v>
      </c>
      <c r="O204" s="7">
        <f t="shared" si="25"/>
        <v>20.537914935102574</v>
      </c>
    </row>
    <row r="205" spans="3:15" x14ac:dyDescent="0.2">
      <c r="C205">
        <v>186</v>
      </c>
      <c r="D205" s="7">
        <v>2965.1784395611285</v>
      </c>
      <c r="E205" s="7">
        <f t="shared" si="18"/>
        <v>88.6716040538615</v>
      </c>
      <c r="F205" s="7">
        <f t="shared" si="19"/>
        <v>239.44556646112525</v>
      </c>
      <c r="G205">
        <v>0</v>
      </c>
      <c r="H205" s="7">
        <f t="shared" si="20"/>
        <v>0</v>
      </c>
      <c r="I205" s="7">
        <f t="shared" si="21"/>
        <v>0</v>
      </c>
      <c r="J205" s="7">
        <v>3541.3066437662301</v>
      </c>
      <c r="K205" s="7">
        <f t="shared" si="22"/>
        <v>56.480169757037167</v>
      </c>
      <c r="L205" s="7">
        <f t="shared" si="23"/>
        <v>212.59201333496495</v>
      </c>
      <c r="M205" s="7">
        <v>680.37424334317575</v>
      </c>
      <c r="N205" s="7">
        <f t="shared" si="24"/>
        <v>54.256319245867289</v>
      </c>
      <c r="O205" s="7">
        <f t="shared" si="25"/>
        <v>20.537914935102574</v>
      </c>
    </row>
    <row r="206" spans="3:15" x14ac:dyDescent="0.2">
      <c r="C206">
        <v>187</v>
      </c>
      <c r="D206" s="7">
        <v>2963.3744638795361</v>
      </c>
      <c r="E206" s="7">
        <f t="shared" si="18"/>
        <v>88.617657412665551</v>
      </c>
      <c r="F206" s="7">
        <f t="shared" si="19"/>
        <v>239.29989091823109</v>
      </c>
      <c r="G206">
        <v>0</v>
      </c>
      <c r="H206" s="7">
        <f t="shared" si="20"/>
        <v>0</v>
      </c>
      <c r="I206" s="7">
        <f t="shared" si="21"/>
        <v>0</v>
      </c>
      <c r="J206" s="7">
        <v>3885.5572027808421</v>
      </c>
      <c r="K206" s="7">
        <f t="shared" si="22"/>
        <v>61.970609294750275</v>
      </c>
      <c r="L206" s="7">
        <f t="shared" si="23"/>
        <v>233.25809136619986</v>
      </c>
      <c r="M206" s="7">
        <v>680.37424334317575</v>
      </c>
      <c r="N206" s="7">
        <f t="shared" si="24"/>
        <v>54.256319245867289</v>
      </c>
      <c r="O206" s="7">
        <f t="shared" si="25"/>
        <v>20.537914935102574</v>
      </c>
    </row>
    <row r="207" spans="3:15" x14ac:dyDescent="0.2">
      <c r="C207">
        <v>188</v>
      </c>
      <c r="D207" s="7">
        <v>2961.5885624431007</v>
      </c>
      <c r="E207" s="7">
        <f t="shared" si="18"/>
        <v>88.564251269231491</v>
      </c>
      <c r="F207" s="7">
        <f t="shared" si="19"/>
        <v>239.15567491578568</v>
      </c>
      <c r="G207">
        <v>0</v>
      </c>
      <c r="H207" s="7">
        <f t="shared" si="20"/>
        <v>0</v>
      </c>
      <c r="I207" s="7">
        <f t="shared" si="21"/>
        <v>0</v>
      </c>
      <c r="J207" s="7">
        <v>3544.8965208842578</v>
      </c>
      <c r="K207" s="7">
        <f t="shared" si="22"/>
        <v>56.537424575506506</v>
      </c>
      <c r="L207" s="7">
        <f t="shared" si="23"/>
        <v>212.80752113502797</v>
      </c>
      <c r="M207" s="7">
        <v>680.37424334317575</v>
      </c>
      <c r="N207" s="7">
        <f t="shared" si="24"/>
        <v>54.256319245867289</v>
      </c>
      <c r="O207" s="7">
        <f t="shared" si="25"/>
        <v>20.537914935102574</v>
      </c>
    </row>
    <row r="208" spans="3:15" x14ac:dyDescent="0.2">
      <c r="C208">
        <v>189</v>
      </c>
      <c r="D208" s="7">
        <v>2959.8206636715863</v>
      </c>
      <c r="E208" s="7">
        <f t="shared" si="18"/>
        <v>88.511383483001993</v>
      </c>
      <c r="F208" s="7">
        <f t="shared" si="19"/>
        <v>239.01291267350595</v>
      </c>
      <c r="G208">
        <v>0</v>
      </c>
      <c r="H208" s="7">
        <f t="shared" si="20"/>
        <v>0</v>
      </c>
      <c r="I208" s="7">
        <f t="shared" si="21"/>
        <v>0</v>
      </c>
      <c r="J208" s="7">
        <v>4060.3342946553007</v>
      </c>
      <c r="K208" s="7">
        <f t="shared" si="22"/>
        <v>64.758122721775138</v>
      </c>
      <c r="L208" s="7">
        <f t="shared" si="23"/>
        <v>243.75032420116983</v>
      </c>
      <c r="M208" s="7">
        <v>680.37424334317575</v>
      </c>
      <c r="N208" s="7">
        <f t="shared" si="24"/>
        <v>54.256319245867289</v>
      </c>
      <c r="O208" s="7">
        <f t="shared" si="25"/>
        <v>20.537914935102574</v>
      </c>
    </row>
    <row r="209" spans="3:15" x14ac:dyDescent="0.2">
      <c r="C209">
        <v>190</v>
      </c>
      <c r="D209" s="7">
        <v>2958.0706961991568</v>
      </c>
      <c r="E209" s="7">
        <f t="shared" si="18"/>
        <v>88.459051919831253</v>
      </c>
      <c r="F209" s="7">
        <f t="shared" si="19"/>
        <v>238.87159842842246</v>
      </c>
      <c r="G209">
        <v>0</v>
      </c>
      <c r="H209" s="7">
        <f t="shared" si="20"/>
        <v>0</v>
      </c>
      <c r="I209" s="7">
        <f t="shared" si="21"/>
        <v>0</v>
      </c>
      <c r="J209" s="7">
        <v>3205.967803795183</v>
      </c>
      <c r="K209" s="7">
        <f t="shared" si="22"/>
        <v>51.131862899444712</v>
      </c>
      <c r="L209" s="7">
        <f t="shared" si="23"/>
        <v>192.46092435842885</v>
      </c>
      <c r="M209" s="7">
        <v>680.37424334317575</v>
      </c>
      <c r="N209" s="7">
        <f t="shared" si="24"/>
        <v>54.256319245867289</v>
      </c>
      <c r="O209" s="7">
        <f t="shared" si="25"/>
        <v>20.537914935102574</v>
      </c>
    </row>
    <row r="210" spans="3:15" x14ac:dyDescent="0.2">
      <c r="C210">
        <v>191</v>
      </c>
      <c r="D210" s="7">
        <v>2956.3385888738449</v>
      </c>
      <c r="E210" s="7">
        <f t="shared" si="18"/>
        <v>88.407254451969052</v>
      </c>
      <c r="F210" s="7">
        <f t="shared" si="19"/>
        <v>238.73172643483608</v>
      </c>
      <c r="G210">
        <v>0</v>
      </c>
      <c r="H210" s="7">
        <f t="shared" si="20"/>
        <v>0</v>
      </c>
      <c r="I210" s="7">
        <f t="shared" si="21"/>
        <v>0</v>
      </c>
      <c r="J210" s="7">
        <v>2351.583452787946</v>
      </c>
      <c r="K210" s="7">
        <f t="shared" si="22"/>
        <v>37.50531822628303</v>
      </c>
      <c r="L210" s="7">
        <f t="shared" si="23"/>
        <v>141.17045233385878</v>
      </c>
      <c r="M210" s="7">
        <v>0</v>
      </c>
      <c r="N210" s="7">
        <f t="shared" si="24"/>
        <v>0</v>
      </c>
      <c r="O210" s="7">
        <f t="shared" si="25"/>
        <v>0</v>
      </c>
    </row>
    <row r="211" spans="3:15" x14ac:dyDescent="0.2">
      <c r="C211">
        <v>192</v>
      </c>
      <c r="D211" s="7">
        <v>2954.6242707570163</v>
      </c>
      <c r="E211" s="7">
        <f t="shared" si="18"/>
        <v>88.355988958044748</v>
      </c>
      <c r="F211" s="7">
        <f t="shared" si="19"/>
        <v>238.59329096427487</v>
      </c>
      <c r="G211">
        <v>0</v>
      </c>
      <c r="H211" s="7">
        <f t="shared" si="20"/>
        <v>0</v>
      </c>
      <c r="I211" s="7">
        <f t="shared" si="21"/>
        <v>0</v>
      </c>
      <c r="J211" s="7">
        <v>1497.1813125722283</v>
      </c>
      <c r="K211" s="7">
        <f t="shared" si="22"/>
        <v>23.878489833687855</v>
      </c>
      <c r="L211" s="7">
        <f t="shared" si="23"/>
        <v>89.878912386053884</v>
      </c>
      <c r="M211" s="7">
        <v>0</v>
      </c>
      <c r="N211" s="7">
        <f t="shared" si="24"/>
        <v>0</v>
      </c>
      <c r="O211" s="7">
        <f t="shared" si="25"/>
        <v>0</v>
      </c>
    </row>
    <row r="212" spans="3:15" x14ac:dyDescent="0.2">
      <c r="C212">
        <v>193</v>
      </c>
      <c r="D212" s="7">
        <v>2910.7959583306606</v>
      </c>
      <c r="E212" s="7">
        <f t="shared" si="18"/>
        <v>87.045333682136985</v>
      </c>
      <c r="F212" s="7">
        <f t="shared" si="19"/>
        <v>235.05404524605862</v>
      </c>
      <c r="G212">
        <v>0</v>
      </c>
      <c r="H212" s="7">
        <f t="shared" si="20"/>
        <v>0</v>
      </c>
      <c r="I212" s="7">
        <f t="shared" si="21"/>
        <v>0</v>
      </c>
      <c r="J212" s="7">
        <v>0</v>
      </c>
      <c r="K212" s="7">
        <f t="shared" si="22"/>
        <v>0</v>
      </c>
      <c r="L212" s="7">
        <f t="shared" si="23"/>
        <v>0</v>
      </c>
      <c r="M212" s="7">
        <v>0</v>
      </c>
      <c r="N212" s="7">
        <f t="shared" si="24"/>
        <v>0</v>
      </c>
      <c r="O212" s="7">
        <f t="shared" si="25"/>
        <v>0</v>
      </c>
    </row>
    <row r="213" spans="3:15" x14ac:dyDescent="0.2">
      <c r="C213">
        <v>194</v>
      </c>
      <c r="D213" s="7">
        <v>2739.5726666641513</v>
      </c>
      <c r="E213" s="7">
        <f t="shared" ref="E213:E276" si="26">D213/($C$3*($D$8-$D$6))</f>
        <v>81.925019936128933</v>
      </c>
      <c r="F213" s="7">
        <f t="shared" ref="F213:F276" si="27">E213*$C$3*((($D$8)-($D$6))-$C$2*LN(($D$8)/($D$6)))</f>
        <v>221.22733670217281</v>
      </c>
      <c r="G213">
        <v>0</v>
      </c>
      <c r="H213" s="7">
        <f t="shared" ref="H213:H276" si="28">G213/($C$3*($D$6-$D$9))</f>
        <v>0</v>
      </c>
      <c r="I213" s="7">
        <f t="shared" ref="I213:I276" si="29">ABS(H213*$C$3*(($D$9-$D$6)-$C$2*(LN($D$9/$D$6))))</f>
        <v>0</v>
      </c>
      <c r="J213" s="7">
        <v>0</v>
      </c>
      <c r="K213" s="7">
        <f t="shared" ref="K213:K276" si="30">J213/($C$3*($D$10-$D$7))</f>
        <v>0</v>
      </c>
      <c r="L213" s="7">
        <f t="shared" ref="L213:L276" si="31">K213*$C$3*(($D$10-$D$7)-$C$2*LN($D$10/$D$7))</f>
        <v>0</v>
      </c>
      <c r="M213" s="7">
        <v>0</v>
      </c>
      <c r="N213" s="7">
        <f t="shared" ref="N213:N276" si="32">M213/($C$3*($D$7-$D$11))</f>
        <v>0</v>
      </c>
      <c r="O213" s="7">
        <f t="shared" ref="O213:O276" si="33">ABS(N213*$C$3*(($D$11-$D$7)-$C$2*LN($D$11/$D$7)))</f>
        <v>0</v>
      </c>
    </row>
    <row r="214" spans="3:15" x14ac:dyDescent="0.2">
      <c r="C214">
        <v>195</v>
      </c>
      <c r="D214" s="7">
        <v>2945.0406166639623</v>
      </c>
      <c r="E214" s="7">
        <f t="shared" si="26"/>
        <v>88.069396431338589</v>
      </c>
      <c r="F214" s="7">
        <f t="shared" si="27"/>
        <v>237.81938695483575</v>
      </c>
      <c r="G214">
        <v>0</v>
      </c>
      <c r="H214" s="7">
        <f t="shared" si="28"/>
        <v>0</v>
      </c>
      <c r="I214" s="7">
        <f t="shared" si="29"/>
        <v>0</v>
      </c>
      <c r="J214" s="7">
        <v>0</v>
      </c>
      <c r="K214" s="7">
        <f t="shared" si="30"/>
        <v>0</v>
      </c>
      <c r="L214" s="7">
        <f t="shared" si="31"/>
        <v>0</v>
      </c>
      <c r="M214" s="7">
        <v>0</v>
      </c>
      <c r="N214" s="7">
        <f t="shared" si="32"/>
        <v>0</v>
      </c>
      <c r="O214" s="7">
        <f t="shared" si="33"/>
        <v>0</v>
      </c>
    </row>
    <row r="215" spans="3:15" x14ac:dyDescent="0.2">
      <c r="C215">
        <v>196</v>
      </c>
      <c r="D215" s="7">
        <v>2948.4698002385644</v>
      </c>
      <c r="E215" s="7">
        <f t="shared" si="26"/>
        <v>88.171943787038416</v>
      </c>
      <c r="F215" s="7">
        <f t="shared" si="27"/>
        <v>238.09630209510681</v>
      </c>
      <c r="G215">
        <v>0</v>
      </c>
      <c r="H215" s="7">
        <f t="shared" si="28"/>
        <v>0</v>
      </c>
      <c r="I215" s="7">
        <f t="shared" si="29"/>
        <v>0</v>
      </c>
      <c r="J215" s="7">
        <v>133.54944975860599</v>
      </c>
      <c r="K215" s="7">
        <f t="shared" si="30"/>
        <v>2.1299752752568741</v>
      </c>
      <c r="L215" s="7">
        <f t="shared" si="31"/>
        <v>8.0172516135919771</v>
      </c>
      <c r="M215" s="7">
        <v>0</v>
      </c>
      <c r="N215" s="7">
        <f t="shared" si="32"/>
        <v>0</v>
      </c>
      <c r="O215" s="7">
        <f t="shared" si="33"/>
        <v>0</v>
      </c>
    </row>
    <row r="216" spans="3:15" x14ac:dyDescent="0.2">
      <c r="C216">
        <v>197</v>
      </c>
      <c r="D216" s="7">
        <v>2946.8409498760784</v>
      </c>
      <c r="E216" s="7">
        <f t="shared" si="26"/>
        <v>88.123234147011914</v>
      </c>
      <c r="F216" s="7">
        <f t="shared" si="27"/>
        <v>237.96476835922022</v>
      </c>
      <c r="G216">
        <v>0</v>
      </c>
      <c r="H216" s="7">
        <f t="shared" si="28"/>
        <v>0</v>
      </c>
      <c r="I216" s="7">
        <f t="shared" si="29"/>
        <v>0</v>
      </c>
      <c r="J216" s="7">
        <v>453.1644132160377</v>
      </c>
      <c r="K216" s="7">
        <f t="shared" si="30"/>
        <v>7.2275026031265988</v>
      </c>
      <c r="L216" s="7">
        <f t="shared" si="31"/>
        <v>27.20440353476349</v>
      </c>
      <c r="M216" s="7">
        <v>0</v>
      </c>
      <c r="N216" s="7">
        <f t="shared" si="32"/>
        <v>0</v>
      </c>
      <c r="O216" s="7">
        <f t="shared" si="33"/>
        <v>0</v>
      </c>
    </row>
    <row r="217" spans="3:15" x14ac:dyDescent="0.2">
      <c r="C217">
        <v>198</v>
      </c>
      <c r="D217" s="7">
        <v>2945.2294753323695</v>
      </c>
      <c r="E217" s="7">
        <f t="shared" si="26"/>
        <v>88.075044118790956</v>
      </c>
      <c r="F217" s="7">
        <f t="shared" si="27"/>
        <v>237.8346377641073</v>
      </c>
      <c r="G217">
        <v>0</v>
      </c>
      <c r="H217" s="7">
        <f t="shared" si="28"/>
        <v>0</v>
      </c>
      <c r="I217" s="7">
        <f t="shared" si="29"/>
        <v>0</v>
      </c>
      <c r="J217" s="7">
        <v>674.92011990240144</v>
      </c>
      <c r="K217" s="7">
        <f t="shared" si="30"/>
        <v>10.764276234488062</v>
      </c>
      <c r="L217" s="7">
        <f t="shared" si="31"/>
        <v>40.516860459655547</v>
      </c>
      <c r="M217" s="7">
        <v>0</v>
      </c>
      <c r="N217" s="7">
        <f t="shared" si="32"/>
        <v>0</v>
      </c>
      <c r="O217" s="7">
        <f t="shared" si="33"/>
        <v>0</v>
      </c>
    </row>
    <row r="218" spans="3:15" x14ac:dyDescent="0.2">
      <c r="C218">
        <v>199</v>
      </c>
      <c r="D218" s="7">
        <v>2943.6353071269314</v>
      </c>
      <c r="E218" s="7">
        <f t="shared" si="26"/>
        <v>88.027371624609202</v>
      </c>
      <c r="F218" s="7">
        <f t="shared" si="27"/>
        <v>237.70590469904363</v>
      </c>
      <c r="G218">
        <v>0</v>
      </c>
      <c r="H218" s="7">
        <f t="shared" si="28"/>
        <v>0</v>
      </c>
      <c r="I218" s="7">
        <f t="shared" si="29"/>
        <v>0</v>
      </c>
      <c r="J218" s="7">
        <v>896.65852025049435</v>
      </c>
      <c r="K218" s="7">
        <f t="shared" si="30"/>
        <v>14.300773847695286</v>
      </c>
      <c r="L218" s="7">
        <f t="shared" si="31"/>
        <v>53.828278449017155</v>
      </c>
      <c r="M218" s="7">
        <v>680.37424334317575</v>
      </c>
      <c r="N218" s="7">
        <f t="shared" si="32"/>
        <v>54.256319245867289</v>
      </c>
      <c r="O218" s="7">
        <f t="shared" si="33"/>
        <v>20.537914935102574</v>
      </c>
    </row>
    <row r="219" spans="3:15" x14ac:dyDescent="0.2">
      <c r="C219">
        <v>200</v>
      </c>
      <c r="D219" s="7">
        <v>2942.0583759884244</v>
      </c>
      <c r="E219" s="7">
        <f t="shared" si="26"/>
        <v>87.980214592955278</v>
      </c>
      <c r="F219" s="7">
        <f t="shared" si="27"/>
        <v>237.57856357019543</v>
      </c>
      <c r="G219">
        <v>0</v>
      </c>
      <c r="H219" s="7">
        <f t="shared" si="28"/>
        <v>0</v>
      </c>
      <c r="I219" s="7">
        <f t="shared" si="29"/>
        <v>0</v>
      </c>
      <c r="J219" s="7">
        <v>1118.3796835316566</v>
      </c>
      <c r="K219" s="7">
        <f t="shared" si="30"/>
        <v>17.836996547554332</v>
      </c>
      <c r="L219" s="7">
        <f t="shared" si="31"/>
        <v>67.138661661351122</v>
      </c>
      <c r="M219" s="7">
        <v>680.37424334317575</v>
      </c>
      <c r="N219" s="7">
        <f t="shared" si="32"/>
        <v>54.256319245867289</v>
      </c>
      <c r="O219" s="7">
        <f t="shared" si="33"/>
        <v>20.537914935102574</v>
      </c>
    </row>
    <row r="220" spans="3:15" x14ac:dyDescent="0.2">
      <c r="C220">
        <v>201</v>
      </c>
      <c r="D220" s="7">
        <v>2940.4986128541714</v>
      </c>
      <c r="E220" s="7">
        <f t="shared" si="26"/>
        <v>87.933570958557766</v>
      </c>
      <c r="F220" s="7">
        <f t="shared" si="27"/>
        <v>237.45260880057907</v>
      </c>
      <c r="G220">
        <v>0</v>
      </c>
      <c r="H220" s="7">
        <f t="shared" si="28"/>
        <v>0</v>
      </c>
      <c r="I220" s="7">
        <f t="shared" si="29"/>
        <v>0</v>
      </c>
      <c r="J220" s="7">
        <v>1340.0836788085644</v>
      </c>
      <c r="K220" s="7">
        <f t="shared" si="30"/>
        <v>21.372945435543294</v>
      </c>
      <c r="L220" s="7">
        <f t="shared" si="31"/>
        <v>80.448014242633761</v>
      </c>
      <c r="M220" s="7">
        <v>0</v>
      </c>
      <c r="N220" s="7">
        <f t="shared" si="32"/>
        <v>0</v>
      </c>
      <c r="O220" s="7">
        <f t="shared" si="33"/>
        <v>0</v>
      </c>
    </row>
    <row r="221" spans="3:15" x14ac:dyDescent="0.2">
      <c r="C221">
        <v>202</v>
      </c>
      <c r="D221" s="7">
        <v>2938.9559488696223</v>
      </c>
      <c r="E221" s="7">
        <f t="shared" si="26"/>
        <v>87.887438662369092</v>
      </c>
      <c r="F221" s="7">
        <f t="shared" si="27"/>
        <v>237.32803483001754</v>
      </c>
      <c r="G221">
        <v>0</v>
      </c>
      <c r="H221" s="7">
        <f t="shared" si="28"/>
        <v>0</v>
      </c>
      <c r="I221" s="7">
        <f t="shared" si="29"/>
        <v>0</v>
      </c>
      <c r="J221" s="7">
        <v>1561.7705749357692</v>
      </c>
      <c r="K221" s="7">
        <f t="shared" si="30"/>
        <v>24.908621609820884</v>
      </c>
      <c r="L221" s="7">
        <f t="shared" si="31"/>
        <v>93.756340326347171</v>
      </c>
      <c r="M221" s="7">
        <v>0</v>
      </c>
      <c r="N221" s="7">
        <f t="shared" si="32"/>
        <v>0</v>
      </c>
      <c r="O221" s="7">
        <f t="shared" si="33"/>
        <v>0</v>
      </c>
    </row>
    <row r="222" spans="3:15" x14ac:dyDescent="0.2">
      <c r="C222">
        <v>203</v>
      </c>
      <c r="D222" s="7">
        <v>2937.4303153878436</v>
      </c>
      <c r="E222" s="7">
        <f t="shared" si="26"/>
        <v>87.841815651550348</v>
      </c>
      <c r="F222" s="7">
        <f t="shared" si="27"/>
        <v>237.20483611509951</v>
      </c>
      <c r="G222">
        <v>0</v>
      </c>
      <c r="H222" s="7">
        <f t="shared" si="28"/>
        <v>0</v>
      </c>
      <c r="I222" s="7">
        <f t="shared" si="29"/>
        <v>0</v>
      </c>
      <c r="J222" s="7">
        <v>1783.4404405602027</v>
      </c>
      <c r="K222" s="7">
        <f t="shared" si="30"/>
        <v>28.444026165234494</v>
      </c>
      <c r="L222" s="7">
        <f t="shared" si="31"/>
        <v>107.06364403350965</v>
      </c>
      <c r="M222" s="7">
        <v>0</v>
      </c>
      <c r="N222" s="7">
        <f t="shared" si="32"/>
        <v>0</v>
      </c>
      <c r="O222" s="7">
        <f t="shared" si="33"/>
        <v>0</v>
      </c>
    </row>
    <row r="223" spans="3:15" x14ac:dyDescent="0.2">
      <c r="C223">
        <v>204</v>
      </c>
      <c r="D223" s="7">
        <v>2935.9216439689931</v>
      </c>
      <c r="E223" s="7">
        <f t="shared" si="26"/>
        <v>87.796699879455545</v>
      </c>
      <c r="F223" s="7">
        <f t="shared" si="27"/>
        <v>237.08300712913675</v>
      </c>
      <c r="G223">
        <v>0</v>
      </c>
      <c r="H223" s="7">
        <f t="shared" si="28"/>
        <v>0</v>
      </c>
      <c r="I223" s="7">
        <f t="shared" si="29"/>
        <v>0</v>
      </c>
      <c r="J223" s="7">
        <v>2005.093344121708</v>
      </c>
      <c r="K223" s="7">
        <f t="shared" si="30"/>
        <v>31.979160193328678</v>
      </c>
      <c r="L223" s="7">
        <f t="shared" si="31"/>
        <v>120.36992947270751</v>
      </c>
      <c r="M223" s="7">
        <v>0</v>
      </c>
      <c r="N223" s="7">
        <f t="shared" si="32"/>
        <v>0</v>
      </c>
      <c r="O223" s="7">
        <f t="shared" si="33"/>
        <v>0</v>
      </c>
    </row>
    <row r="224" spans="3:15" x14ac:dyDescent="0.2">
      <c r="C224">
        <v>205</v>
      </c>
      <c r="D224" s="7">
        <v>2934.4298663798149</v>
      </c>
      <c r="E224" s="7">
        <f t="shared" si="26"/>
        <v>87.752089305616479</v>
      </c>
      <c r="F224" s="7">
        <f t="shared" si="27"/>
        <v>236.9625423621234</v>
      </c>
      <c r="G224">
        <v>0</v>
      </c>
      <c r="H224" s="7">
        <f t="shared" si="28"/>
        <v>0</v>
      </c>
      <c r="I224" s="7">
        <f t="shared" si="29"/>
        <v>0</v>
      </c>
      <c r="J224" s="7">
        <v>2226.7293538535409</v>
      </c>
      <c r="K224" s="7">
        <f t="shared" si="30"/>
        <v>35.514024782353125</v>
      </c>
      <c r="L224" s="7">
        <f t="shared" si="31"/>
        <v>133.67520074012521</v>
      </c>
      <c r="M224" s="7">
        <v>0</v>
      </c>
      <c r="N224" s="7">
        <f t="shared" si="32"/>
        <v>0</v>
      </c>
      <c r="O224" s="7">
        <f t="shared" si="33"/>
        <v>0</v>
      </c>
    </row>
    <row r="225" spans="3:15" x14ac:dyDescent="0.2">
      <c r="C225">
        <v>206</v>
      </c>
      <c r="D225" s="7">
        <v>2932.9549145931087</v>
      </c>
      <c r="E225" s="7">
        <f t="shared" si="26"/>
        <v>87.707981895726945</v>
      </c>
      <c r="F225" s="7">
        <f t="shared" si="27"/>
        <v>236.84343632069306</v>
      </c>
      <c r="G225">
        <v>0</v>
      </c>
      <c r="H225" s="7">
        <f t="shared" si="28"/>
        <v>0</v>
      </c>
      <c r="I225" s="7">
        <f t="shared" si="29"/>
        <v>0</v>
      </c>
      <c r="J225" s="7">
        <v>2448.348537782902</v>
      </c>
      <c r="K225" s="7">
        <f t="shared" si="30"/>
        <v>39.048621017271167</v>
      </c>
      <c r="L225" s="7">
        <f t="shared" si="31"/>
        <v>146.97946191957726</v>
      </c>
      <c r="M225" s="7">
        <v>0</v>
      </c>
      <c r="N225" s="7">
        <f t="shared" si="32"/>
        <v>0</v>
      </c>
      <c r="O225" s="7">
        <f t="shared" si="33"/>
        <v>0</v>
      </c>
    </row>
    <row r="226" spans="3:15" x14ac:dyDescent="0.2">
      <c r="C226">
        <v>207</v>
      </c>
      <c r="D226" s="7">
        <v>2931.4967207872269</v>
      </c>
      <c r="E226" s="7">
        <f t="shared" si="26"/>
        <v>87.664375621627599</v>
      </c>
      <c r="F226" s="7">
        <f t="shared" si="27"/>
        <v>236.72568352807826</v>
      </c>
      <c r="G226">
        <v>0</v>
      </c>
      <c r="H226" s="7">
        <f t="shared" si="28"/>
        <v>0</v>
      </c>
      <c r="I226" s="7">
        <f t="shared" si="29"/>
        <v>0</v>
      </c>
      <c r="J226" s="7">
        <v>2669.9509637314395</v>
      </c>
      <c r="K226" s="7">
        <f t="shared" si="30"/>
        <v>42.582949979767776</v>
      </c>
      <c r="L226" s="7">
        <f t="shared" si="31"/>
        <v>160.28271708253851</v>
      </c>
      <c r="M226" s="7">
        <v>0</v>
      </c>
      <c r="N226" s="7">
        <f t="shared" si="32"/>
        <v>0</v>
      </c>
      <c r="O226" s="7">
        <f t="shared" si="33"/>
        <v>0</v>
      </c>
    </row>
    <row r="227" spans="3:15" x14ac:dyDescent="0.2">
      <c r="C227">
        <v>208</v>
      </c>
      <c r="D227" s="7">
        <v>2930.0552173455535</v>
      </c>
      <c r="E227" s="7">
        <f t="shared" si="26"/>
        <v>87.621268461290484</v>
      </c>
      <c r="F227" s="7">
        <f t="shared" si="27"/>
        <v>236.60927852406837</v>
      </c>
      <c r="G227">
        <v>0</v>
      </c>
      <c r="H227" s="7">
        <f t="shared" si="28"/>
        <v>0</v>
      </c>
      <c r="I227" s="7">
        <f t="shared" si="29"/>
        <v>0</v>
      </c>
      <c r="J227" s="7">
        <v>2891.5366993157677</v>
      </c>
      <c r="K227" s="7">
        <f t="shared" si="30"/>
        <v>46.117012748257864</v>
      </c>
      <c r="L227" s="7">
        <f t="shared" si="31"/>
        <v>173.58497028817513</v>
      </c>
      <c r="M227" s="7">
        <v>680.37424334317575</v>
      </c>
      <c r="N227" s="7">
        <f t="shared" si="32"/>
        <v>54.256319245867289</v>
      </c>
      <c r="O227" s="7">
        <f t="shared" si="33"/>
        <v>20.537914935102574</v>
      </c>
    </row>
    <row r="228" spans="3:15" x14ac:dyDescent="0.2">
      <c r="C228">
        <v>209</v>
      </c>
      <c r="D228" s="7">
        <v>2928.6303368559975</v>
      </c>
      <c r="E228" s="7">
        <f t="shared" si="26"/>
        <v>87.578658398803753</v>
      </c>
      <c r="F228" s="7">
        <f t="shared" si="27"/>
        <v>236.49421586496862</v>
      </c>
      <c r="G228">
        <v>0</v>
      </c>
      <c r="H228" s="7">
        <f t="shared" si="28"/>
        <v>0</v>
      </c>
      <c r="I228" s="7">
        <f t="shared" si="29"/>
        <v>0</v>
      </c>
      <c r="J228" s="7">
        <v>2721.7382881388139</v>
      </c>
      <c r="K228" s="7">
        <f t="shared" si="30"/>
        <v>43.408904117046475</v>
      </c>
      <c r="L228" s="7">
        <f t="shared" si="31"/>
        <v>163.39161802461732</v>
      </c>
      <c r="M228" s="7">
        <v>680.37424334317575</v>
      </c>
      <c r="N228" s="7">
        <f t="shared" si="32"/>
        <v>54.256319245867289</v>
      </c>
      <c r="O228" s="7">
        <f t="shared" si="33"/>
        <v>20.537914935102574</v>
      </c>
    </row>
    <row r="229" spans="3:15" x14ac:dyDescent="0.2">
      <c r="C229">
        <v>210</v>
      </c>
      <c r="D229" s="7">
        <v>2927.2220121104765</v>
      </c>
      <c r="E229" s="7">
        <f t="shared" si="26"/>
        <v>87.536543424356367</v>
      </c>
      <c r="F229" s="7">
        <f t="shared" si="27"/>
        <v>236.38049012355847</v>
      </c>
      <c r="G229">
        <v>0</v>
      </c>
      <c r="H229" s="7">
        <f t="shared" si="28"/>
        <v>0</v>
      </c>
      <c r="I229" s="7">
        <f t="shared" si="29"/>
        <v>0</v>
      </c>
      <c r="J229" s="7">
        <v>3065.5931962173545</v>
      </c>
      <c r="K229" s="7">
        <f t="shared" si="30"/>
        <v>48.893033432493695</v>
      </c>
      <c r="L229" s="7">
        <f t="shared" si="31"/>
        <v>184.03394430613426</v>
      </c>
      <c r="M229" s="7">
        <v>680.37424334317575</v>
      </c>
      <c r="N229" s="7">
        <f t="shared" si="32"/>
        <v>54.256319245867289</v>
      </c>
      <c r="O229" s="7">
        <f t="shared" si="33"/>
        <v>20.537914935102574</v>
      </c>
    </row>
    <row r="230" spans="3:15" x14ac:dyDescent="0.2">
      <c r="C230">
        <v>211</v>
      </c>
      <c r="D230" s="7">
        <v>2925.8301761044045</v>
      </c>
      <c r="E230" s="7">
        <f t="shared" si="26"/>
        <v>87.494921534222627</v>
      </c>
      <c r="F230" s="7">
        <f t="shared" si="27"/>
        <v>236.26809588905022</v>
      </c>
      <c r="G230">
        <v>0</v>
      </c>
      <c r="H230" s="7">
        <f t="shared" si="28"/>
        <v>0</v>
      </c>
      <c r="I230" s="7">
        <f t="shared" si="29"/>
        <v>0</v>
      </c>
      <c r="J230" s="7">
        <v>3409.4316155564452</v>
      </c>
      <c r="K230" s="7">
        <f t="shared" si="30"/>
        <v>54.376899769640275</v>
      </c>
      <c r="L230" s="7">
        <f t="shared" si="31"/>
        <v>204.67528073428079</v>
      </c>
      <c r="M230" s="7">
        <v>680.37424334317575</v>
      </c>
      <c r="N230" s="7">
        <f t="shared" si="32"/>
        <v>54.256319245867289</v>
      </c>
      <c r="O230" s="7">
        <f t="shared" si="33"/>
        <v>20.537914935102574</v>
      </c>
    </row>
    <row r="231" spans="3:15" x14ac:dyDescent="0.2">
      <c r="C231">
        <v>212</v>
      </c>
      <c r="D231" s="7">
        <v>2924.4547620361936</v>
      </c>
      <c r="E231" s="7">
        <f t="shared" si="26"/>
        <v>87.453790730747428</v>
      </c>
      <c r="F231" s="7">
        <f t="shared" si="27"/>
        <v>236.15702776704873</v>
      </c>
      <c r="G231">
        <v>0</v>
      </c>
      <c r="H231" s="7">
        <f t="shared" si="28"/>
        <v>0</v>
      </c>
      <c r="I231" s="7">
        <f t="shared" si="29"/>
        <v>0</v>
      </c>
      <c r="J231" s="7">
        <v>3582.0303212911649</v>
      </c>
      <c r="K231" s="7">
        <f t="shared" si="30"/>
        <v>57.129670196031341</v>
      </c>
      <c r="L231" s="7">
        <f t="shared" si="31"/>
        <v>215.03674051233875</v>
      </c>
      <c r="M231" s="7">
        <v>680.37424334317575</v>
      </c>
      <c r="N231" s="7">
        <f t="shared" si="32"/>
        <v>54.256319245867289</v>
      </c>
      <c r="O231" s="7">
        <f t="shared" si="33"/>
        <v>20.537914935102574</v>
      </c>
    </row>
    <row r="232" spans="3:15" x14ac:dyDescent="0.2">
      <c r="C232">
        <v>213</v>
      </c>
      <c r="D232" s="7">
        <v>2923.0957033067311</v>
      </c>
      <c r="E232" s="7">
        <f t="shared" si="26"/>
        <v>87.413149022330487</v>
      </c>
      <c r="F232" s="7">
        <f t="shared" si="27"/>
        <v>236.04728037950929</v>
      </c>
      <c r="G232">
        <v>0</v>
      </c>
      <c r="H232" s="7">
        <f t="shared" si="28"/>
        <v>0</v>
      </c>
      <c r="I232" s="7">
        <f t="shared" si="29"/>
        <v>0</v>
      </c>
      <c r="J232" s="7">
        <v>4097.0592550201563</v>
      </c>
      <c r="K232" s="7">
        <f t="shared" si="30"/>
        <v>65.343847767466613</v>
      </c>
      <c r="L232" s="7">
        <f t="shared" si="31"/>
        <v>245.95500005926161</v>
      </c>
      <c r="M232" s="7">
        <v>680.37424334317575</v>
      </c>
      <c r="N232" s="7">
        <f t="shared" si="32"/>
        <v>54.256319245867289</v>
      </c>
      <c r="O232" s="7">
        <f t="shared" si="33"/>
        <v>20.537914935102574</v>
      </c>
    </row>
    <row r="233" spans="3:15" x14ac:dyDescent="0.2">
      <c r="C233">
        <v>214</v>
      </c>
      <c r="D233" s="7">
        <v>2921.7529335188792</v>
      </c>
      <c r="E233" s="7">
        <f t="shared" si="26"/>
        <v>87.37299442341147</v>
      </c>
      <c r="F233" s="7">
        <f t="shared" si="27"/>
        <v>235.93884836469718</v>
      </c>
      <c r="G233">
        <v>0</v>
      </c>
      <c r="H233" s="7">
        <f t="shared" si="28"/>
        <v>0</v>
      </c>
      <c r="I233" s="7">
        <f t="shared" si="29"/>
        <v>0</v>
      </c>
      <c r="J233" s="7">
        <v>3242.2855664754607</v>
      </c>
      <c r="K233" s="7">
        <f t="shared" si="30"/>
        <v>51.711093564201931</v>
      </c>
      <c r="L233" s="7">
        <f t="shared" si="31"/>
        <v>194.64115529144129</v>
      </c>
      <c r="M233" s="7">
        <v>680.37424334317575</v>
      </c>
      <c r="N233" s="7">
        <f t="shared" si="32"/>
        <v>54.256319245867289</v>
      </c>
      <c r="O233" s="7">
        <f t="shared" si="33"/>
        <v>20.537914935102574</v>
      </c>
    </row>
    <row r="234" spans="3:15" x14ac:dyDescent="0.2">
      <c r="C234">
        <v>215</v>
      </c>
      <c r="D234" s="7">
        <v>2920.4263864769691</v>
      </c>
      <c r="E234" s="7">
        <f t="shared" si="26"/>
        <v>87.333324954454824</v>
      </c>
      <c r="F234" s="7">
        <f t="shared" si="27"/>
        <v>235.83172637714674</v>
      </c>
      <c r="G234">
        <v>0</v>
      </c>
      <c r="H234" s="7">
        <f t="shared" si="28"/>
        <v>0</v>
      </c>
      <c r="I234" s="7">
        <f t="shared" si="29"/>
        <v>0</v>
      </c>
      <c r="J234" s="7">
        <v>2387.4956551848218</v>
      </c>
      <c r="K234" s="7">
        <f t="shared" si="30"/>
        <v>38.078080624957288</v>
      </c>
      <c r="L234" s="7">
        <f t="shared" si="31"/>
        <v>143.32633663839474</v>
      </c>
      <c r="M234" s="7">
        <v>0</v>
      </c>
      <c r="N234" s="7">
        <f t="shared" si="32"/>
        <v>0</v>
      </c>
      <c r="O234" s="7">
        <f t="shared" si="33"/>
        <v>0</v>
      </c>
    </row>
    <row r="235" spans="3:15" x14ac:dyDescent="0.2">
      <c r="C235">
        <v>216</v>
      </c>
      <c r="D235" s="7">
        <v>2919.1159961862927</v>
      </c>
      <c r="E235" s="7">
        <f t="shared" si="26"/>
        <v>87.294138641934595</v>
      </c>
      <c r="F235" s="7">
        <f t="shared" si="27"/>
        <v>235.72590908762044</v>
      </c>
      <c r="G235">
        <v>0</v>
      </c>
      <c r="H235" s="7">
        <f t="shared" si="28"/>
        <v>0</v>
      </c>
      <c r="I235" s="7">
        <f t="shared" si="29"/>
        <v>0</v>
      </c>
      <c r="J235" s="7">
        <v>1532.689587142952</v>
      </c>
      <c r="K235" s="7">
        <f t="shared" si="30"/>
        <v>24.444810002279937</v>
      </c>
      <c r="L235" s="7">
        <f t="shared" si="31"/>
        <v>92.010548061921995</v>
      </c>
      <c r="M235" s="7">
        <v>0</v>
      </c>
      <c r="N235" s="7">
        <f t="shared" si="32"/>
        <v>0</v>
      </c>
      <c r="O235" s="7">
        <f t="shared" si="33"/>
        <v>0</v>
      </c>
    </row>
    <row r="236" spans="3:15" x14ac:dyDescent="0.2">
      <c r="C236">
        <v>217</v>
      </c>
      <c r="D236" s="7">
        <v>2910.7959583306606</v>
      </c>
      <c r="E236" s="7">
        <f t="shared" si="26"/>
        <v>87.045333682136985</v>
      </c>
      <c r="F236" s="7">
        <f t="shared" si="27"/>
        <v>235.05404524605862</v>
      </c>
      <c r="G236">
        <v>0</v>
      </c>
      <c r="H236" s="7">
        <f t="shared" si="28"/>
        <v>0</v>
      </c>
      <c r="I236" s="7">
        <f t="shared" si="29"/>
        <v>0</v>
      </c>
      <c r="J236" s="7">
        <v>0</v>
      </c>
      <c r="K236" s="7">
        <f t="shared" si="30"/>
        <v>0</v>
      </c>
      <c r="L236" s="7">
        <f t="shared" si="31"/>
        <v>0</v>
      </c>
      <c r="M236" s="7">
        <v>0</v>
      </c>
      <c r="N236" s="7">
        <f t="shared" si="32"/>
        <v>0</v>
      </c>
      <c r="O236" s="7">
        <f t="shared" si="33"/>
        <v>0</v>
      </c>
    </row>
    <row r="237" spans="3:15" x14ac:dyDescent="0.2">
      <c r="C237">
        <v>218</v>
      </c>
      <c r="D237" s="7">
        <v>2739.5726666641513</v>
      </c>
      <c r="E237" s="7">
        <f t="shared" si="26"/>
        <v>81.925019936128933</v>
      </c>
      <c r="F237" s="7">
        <f t="shared" si="27"/>
        <v>221.22733670217281</v>
      </c>
      <c r="G237">
        <v>0</v>
      </c>
      <c r="H237" s="7">
        <f t="shared" si="28"/>
        <v>0</v>
      </c>
      <c r="I237" s="7">
        <f t="shared" si="29"/>
        <v>0</v>
      </c>
      <c r="J237" s="7">
        <v>0</v>
      </c>
      <c r="K237" s="7">
        <f t="shared" si="30"/>
        <v>0</v>
      </c>
      <c r="L237" s="7">
        <f t="shared" si="31"/>
        <v>0</v>
      </c>
      <c r="M237" s="7">
        <v>0</v>
      </c>
      <c r="N237" s="7">
        <f t="shared" si="32"/>
        <v>0</v>
      </c>
      <c r="O237" s="7">
        <f t="shared" si="33"/>
        <v>0</v>
      </c>
    </row>
    <row r="238" spans="3:15" x14ac:dyDescent="0.2">
      <c r="C238">
        <v>219</v>
      </c>
      <c r="D238" s="7">
        <v>2910.7959583306606</v>
      </c>
      <c r="E238" s="7">
        <f t="shared" si="26"/>
        <v>87.045333682136985</v>
      </c>
      <c r="F238" s="7">
        <f t="shared" si="27"/>
        <v>235.05404524605862</v>
      </c>
      <c r="G238">
        <v>0</v>
      </c>
      <c r="H238" s="7">
        <f t="shared" si="28"/>
        <v>0</v>
      </c>
      <c r="I238" s="7">
        <f t="shared" si="29"/>
        <v>0</v>
      </c>
      <c r="J238" s="7">
        <v>0</v>
      </c>
      <c r="K238" s="7">
        <f t="shared" si="30"/>
        <v>0</v>
      </c>
      <c r="L238" s="7">
        <f t="shared" si="31"/>
        <v>0</v>
      </c>
      <c r="M238" s="7">
        <v>0</v>
      </c>
      <c r="N238" s="7">
        <f t="shared" si="32"/>
        <v>0</v>
      </c>
      <c r="O238" s="7">
        <f t="shared" si="33"/>
        <v>0</v>
      </c>
    </row>
    <row r="239" spans="3:15" x14ac:dyDescent="0.2">
      <c r="C239">
        <v>220</v>
      </c>
      <c r="D239" s="7">
        <v>2914.4432692771284</v>
      </c>
      <c r="E239" s="7">
        <f t="shared" si="26"/>
        <v>87.154403985560066</v>
      </c>
      <c r="F239" s="7">
        <f t="shared" si="27"/>
        <v>235.34857471652316</v>
      </c>
      <c r="G239">
        <v>0</v>
      </c>
      <c r="H239" s="7">
        <f t="shared" si="28"/>
        <v>0</v>
      </c>
      <c r="I239" s="7">
        <f t="shared" si="29"/>
        <v>0</v>
      </c>
      <c r="J239" s="7">
        <v>167.57598072004203</v>
      </c>
      <c r="K239" s="7">
        <f t="shared" si="30"/>
        <v>2.6726631693786609</v>
      </c>
      <c r="L239" s="7">
        <f t="shared" si="31"/>
        <v>10.059935134554452</v>
      </c>
      <c r="M239" s="7">
        <v>0</v>
      </c>
      <c r="N239" s="7">
        <f t="shared" si="32"/>
        <v>0</v>
      </c>
      <c r="O239" s="7">
        <f t="shared" si="33"/>
        <v>0</v>
      </c>
    </row>
    <row r="240" spans="3:15" x14ac:dyDescent="0.2">
      <c r="C240">
        <v>221</v>
      </c>
      <c r="D240" s="7">
        <v>2913.2108000487219</v>
      </c>
      <c r="E240" s="7">
        <f t="shared" si="26"/>
        <v>87.117547848346959</v>
      </c>
      <c r="F240" s="7">
        <f t="shared" si="27"/>
        <v>235.24904974743382</v>
      </c>
      <c r="G240">
        <v>0</v>
      </c>
      <c r="H240" s="7">
        <f t="shared" si="28"/>
        <v>0</v>
      </c>
      <c r="I240" s="7">
        <f t="shared" si="29"/>
        <v>0</v>
      </c>
      <c r="J240" s="7">
        <v>537.59707815323782</v>
      </c>
      <c r="K240" s="7">
        <f t="shared" si="30"/>
        <v>8.5741160789990083</v>
      </c>
      <c r="L240" s="7">
        <f t="shared" si="31"/>
        <v>32.273072259578036</v>
      </c>
      <c r="M240" s="7">
        <v>0</v>
      </c>
      <c r="N240" s="7">
        <f t="shared" si="32"/>
        <v>0</v>
      </c>
      <c r="O240" s="7">
        <f t="shared" si="33"/>
        <v>0</v>
      </c>
    </row>
    <row r="241" spans="3:15" x14ac:dyDescent="0.2">
      <c r="C241">
        <v>222</v>
      </c>
      <c r="D241" s="7">
        <v>2911.9941018433169</v>
      </c>
      <c r="E241" s="7">
        <f t="shared" si="26"/>
        <v>87.081163332635086</v>
      </c>
      <c r="F241" s="7">
        <f t="shared" si="27"/>
        <v>235.15079832785025</v>
      </c>
      <c r="G241">
        <v>0</v>
      </c>
      <c r="H241" s="7">
        <f t="shared" si="28"/>
        <v>0</v>
      </c>
      <c r="I241" s="7">
        <f t="shared" si="29"/>
        <v>0</v>
      </c>
      <c r="J241" s="7">
        <v>775.89218020457884</v>
      </c>
      <c r="K241" s="7">
        <f t="shared" si="30"/>
        <v>12.374675920328212</v>
      </c>
      <c r="L241" s="7">
        <f t="shared" si="31"/>
        <v>46.578423534970071</v>
      </c>
      <c r="M241" s="7">
        <v>0</v>
      </c>
      <c r="N241" s="7">
        <f t="shared" si="32"/>
        <v>0</v>
      </c>
      <c r="O241" s="7">
        <f t="shared" si="33"/>
        <v>0</v>
      </c>
    </row>
    <row r="242" spans="3:15" x14ac:dyDescent="0.2">
      <c r="C242">
        <v>223</v>
      </c>
      <c r="D242" s="7">
        <v>2910.7931100430005</v>
      </c>
      <c r="E242" s="7">
        <f t="shared" si="26"/>
        <v>87.045248506070592</v>
      </c>
      <c r="F242" s="7">
        <f t="shared" si="27"/>
        <v>235.0538152397146</v>
      </c>
      <c r="G242">
        <v>0</v>
      </c>
      <c r="H242" s="7">
        <f t="shared" si="28"/>
        <v>0</v>
      </c>
      <c r="I242" s="7">
        <f t="shared" si="29"/>
        <v>0</v>
      </c>
      <c r="J242" s="7">
        <v>1014.1715758508308</v>
      </c>
      <c r="K242" s="7">
        <f t="shared" si="30"/>
        <v>16.174985260778801</v>
      </c>
      <c r="L242" s="7">
        <f t="shared" si="31"/>
        <v>60.882831922152747</v>
      </c>
      <c r="M242" s="7">
        <v>680.37424334317575</v>
      </c>
      <c r="N242" s="7">
        <f t="shared" si="32"/>
        <v>54.256319245867289</v>
      </c>
      <c r="O242" s="7">
        <f t="shared" si="33"/>
        <v>20.537914935102574</v>
      </c>
    </row>
    <row r="243" spans="3:15" x14ac:dyDescent="0.2">
      <c r="C243">
        <v>224</v>
      </c>
      <c r="D243" s="7">
        <v>2909.6077602268469</v>
      </c>
      <c r="E243" s="7">
        <f t="shared" si="26"/>
        <v>87.009801442190408</v>
      </c>
      <c r="F243" s="7">
        <f t="shared" si="27"/>
        <v>234.95809528087614</v>
      </c>
      <c r="G243">
        <v>0</v>
      </c>
      <c r="H243" s="7">
        <f t="shared" si="28"/>
        <v>0</v>
      </c>
      <c r="I243" s="7">
        <f t="shared" si="29"/>
        <v>0</v>
      </c>
      <c r="J243" s="7">
        <v>1252.4353295129204</v>
      </c>
      <c r="K243" s="7">
        <f t="shared" si="30"/>
        <v>19.975045127797774</v>
      </c>
      <c r="L243" s="7">
        <f t="shared" si="31"/>
        <v>75.186301288448462</v>
      </c>
      <c r="M243" s="7">
        <v>680.37424334317575</v>
      </c>
      <c r="N243" s="7">
        <f t="shared" si="32"/>
        <v>54.256319245867289</v>
      </c>
      <c r="O243" s="7">
        <f t="shared" si="33"/>
        <v>20.537914935102574</v>
      </c>
    </row>
    <row r="244" spans="3:15" x14ac:dyDescent="0.2">
      <c r="C244">
        <v>225</v>
      </c>
      <c r="D244" s="7">
        <v>2908.4379881704313</v>
      </c>
      <c r="E244" s="7">
        <f t="shared" si="26"/>
        <v>86.974820220407636</v>
      </c>
      <c r="F244" s="7">
        <f t="shared" si="27"/>
        <v>234.86363326505213</v>
      </c>
      <c r="G244">
        <v>0</v>
      </c>
      <c r="H244" s="7">
        <f t="shared" si="28"/>
        <v>0</v>
      </c>
      <c r="I244" s="7">
        <f t="shared" si="29"/>
        <v>0</v>
      </c>
      <c r="J244" s="7">
        <v>1490.6835054152721</v>
      </c>
      <c r="K244" s="7">
        <f t="shared" si="30"/>
        <v>23.774856545698121</v>
      </c>
      <c r="L244" s="7">
        <f t="shared" si="31"/>
        <v>89.488835489383177</v>
      </c>
      <c r="M244" s="7">
        <v>0</v>
      </c>
      <c r="N244" s="7">
        <f t="shared" si="32"/>
        <v>0</v>
      </c>
      <c r="O244" s="7">
        <f t="shared" si="33"/>
        <v>0</v>
      </c>
    </row>
    <row r="245" spans="3:15" x14ac:dyDescent="0.2">
      <c r="C245">
        <v>226</v>
      </c>
      <c r="D245" s="7">
        <v>2907.2837298453283</v>
      </c>
      <c r="E245" s="7">
        <f t="shared" si="26"/>
        <v>86.940302925996662</v>
      </c>
      <c r="F245" s="7">
        <f t="shared" si="27"/>
        <v>234.77042402178728</v>
      </c>
      <c r="G245">
        <v>0</v>
      </c>
      <c r="H245" s="7">
        <f t="shared" si="28"/>
        <v>0</v>
      </c>
      <c r="I245" s="7">
        <f t="shared" si="29"/>
        <v>0</v>
      </c>
      <c r="J245" s="7">
        <v>1728.9161675863111</v>
      </c>
      <c r="K245" s="7">
        <f t="shared" si="30"/>
        <v>27.574420535666846</v>
      </c>
      <c r="L245" s="7">
        <f t="shared" si="31"/>
        <v>103.79043836871661</v>
      </c>
      <c r="M245" s="7">
        <v>0</v>
      </c>
      <c r="N245" s="7">
        <f t="shared" si="32"/>
        <v>0</v>
      </c>
      <c r="O245" s="7">
        <f t="shared" si="33"/>
        <v>0</v>
      </c>
    </row>
    <row r="246" spans="3:15" x14ac:dyDescent="0.2">
      <c r="C246">
        <v>227</v>
      </c>
      <c r="D246" s="7">
        <v>2906.1449214186191</v>
      </c>
      <c r="E246" s="7">
        <f t="shared" si="26"/>
        <v>86.906247650078328</v>
      </c>
      <c r="F246" s="7">
        <f t="shared" si="27"/>
        <v>234.67846239641392</v>
      </c>
      <c r="G246">
        <v>0</v>
      </c>
      <c r="H246" s="7">
        <f t="shared" si="28"/>
        <v>0</v>
      </c>
      <c r="I246" s="7">
        <f t="shared" si="29"/>
        <v>0</v>
      </c>
      <c r="J246" s="7">
        <v>1967.1333798589571</v>
      </c>
      <c r="K246" s="7">
        <f t="shared" si="30"/>
        <v>31.373738115772845</v>
      </c>
      <c r="L246" s="7">
        <f t="shared" si="31"/>
        <v>118.09111375847188</v>
      </c>
      <c r="M246" s="7">
        <v>0</v>
      </c>
      <c r="N246" s="7">
        <f t="shared" si="32"/>
        <v>0</v>
      </c>
      <c r="O246" s="7">
        <f t="shared" si="33"/>
        <v>0</v>
      </c>
    </row>
    <row r="247" spans="3:15" x14ac:dyDescent="0.2">
      <c r="C247">
        <v>228</v>
      </c>
      <c r="D247" s="7">
        <v>2905.0214992523966</v>
      </c>
      <c r="E247" s="7">
        <f t="shared" si="26"/>
        <v>86.872652489605173</v>
      </c>
      <c r="F247" s="7">
        <f t="shared" si="27"/>
        <v>234.5877432500121</v>
      </c>
      <c r="G247">
        <v>0</v>
      </c>
      <c r="H247" s="7">
        <f t="shared" si="28"/>
        <v>0</v>
      </c>
      <c r="I247" s="7">
        <f t="shared" si="29"/>
        <v>0</v>
      </c>
      <c r="J247" s="7">
        <v>2205.3352058711157</v>
      </c>
      <c r="K247" s="7">
        <f t="shared" si="30"/>
        <v>35.172810300974731</v>
      </c>
      <c r="L247" s="7">
        <f t="shared" si="31"/>
        <v>132.39086547896497</v>
      </c>
      <c r="M247" s="7">
        <v>0</v>
      </c>
      <c r="N247" s="7">
        <f t="shared" si="32"/>
        <v>0</v>
      </c>
      <c r="O247" s="7">
        <f t="shared" si="33"/>
        <v>0</v>
      </c>
    </row>
    <row r="248" spans="3:15" x14ac:dyDescent="0.2">
      <c r="C248">
        <v>229</v>
      </c>
      <c r="D248" s="7">
        <v>2903.9133999032797</v>
      </c>
      <c r="E248" s="7">
        <f t="shared" si="26"/>
        <v>86.839515547346892</v>
      </c>
      <c r="F248" s="7">
        <f t="shared" si="27"/>
        <v>234.49826145937024</v>
      </c>
      <c r="G248">
        <v>0</v>
      </c>
      <c r="H248" s="7">
        <f t="shared" si="28"/>
        <v>0</v>
      </c>
      <c r="I248" s="7">
        <f t="shared" si="29"/>
        <v>0</v>
      </c>
      <c r="J248" s="7">
        <v>2443.5217090661677</v>
      </c>
      <c r="K248" s="7">
        <f t="shared" si="30"/>
        <v>38.971638103128676</v>
      </c>
      <c r="L248" s="7">
        <f t="shared" si="31"/>
        <v>146.68969733883421</v>
      </c>
      <c r="M248" s="7">
        <v>0</v>
      </c>
      <c r="N248" s="7">
        <f t="shared" si="32"/>
        <v>0</v>
      </c>
      <c r="O248" s="7">
        <f t="shared" si="33"/>
        <v>0</v>
      </c>
    </row>
    <row r="249" spans="3:15" x14ac:dyDescent="0.2">
      <c r="C249">
        <v>230</v>
      </c>
      <c r="D249" s="7">
        <v>2902.8205601219206</v>
      </c>
      <c r="E249" s="7">
        <f t="shared" si="26"/>
        <v>86.806834931875628</v>
      </c>
      <c r="F249" s="7">
        <f t="shared" si="27"/>
        <v>234.41001191694556</v>
      </c>
      <c r="G249">
        <v>0</v>
      </c>
      <c r="H249" s="7">
        <f t="shared" si="28"/>
        <v>0</v>
      </c>
      <c r="I249" s="7">
        <f t="shared" si="29"/>
        <v>0</v>
      </c>
      <c r="J249" s="7">
        <v>2681.6929526934637</v>
      </c>
      <c r="K249" s="7">
        <f t="shared" si="30"/>
        <v>42.770222530996236</v>
      </c>
      <c r="L249" s="7">
        <f t="shared" si="31"/>
        <v>160.98761313506984</v>
      </c>
      <c r="M249" s="7">
        <v>0</v>
      </c>
      <c r="N249" s="7">
        <f t="shared" si="32"/>
        <v>0</v>
      </c>
      <c r="O249" s="7">
        <f t="shared" si="33"/>
        <v>0</v>
      </c>
    </row>
    <row r="250" spans="3:15" x14ac:dyDescent="0.2">
      <c r="C250">
        <v>231</v>
      </c>
      <c r="D250" s="7">
        <v>2901.7429168525114</v>
      </c>
      <c r="E250" s="7">
        <f t="shared" si="26"/>
        <v>86.774608757551178</v>
      </c>
      <c r="F250" s="7">
        <f t="shared" si="27"/>
        <v>234.32298953082403</v>
      </c>
      <c r="G250">
        <v>0</v>
      </c>
      <c r="H250" s="7">
        <f t="shared" si="28"/>
        <v>0</v>
      </c>
      <c r="I250" s="7">
        <f t="shared" si="29"/>
        <v>0</v>
      </c>
      <c r="J250" s="7">
        <v>2919.8489998088098</v>
      </c>
      <c r="K250" s="7">
        <f t="shared" si="30"/>
        <v>46.568564590252151</v>
      </c>
      <c r="L250" s="7">
        <f t="shared" si="31"/>
        <v>175.28461665304317</v>
      </c>
      <c r="M250" s="7">
        <v>0</v>
      </c>
      <c r="N250" s="7">
        <f t="shared" si="32"/>
        <v>0</v>
      </c>
      <c r="O250" s="7">
        <f t="shared" si="33"/>
        <v>0</v>
      </c>
    </row>
    <row r="251" spans="3:15" x14ac:dyDescent="0.2">
      <c r="C251">
        <v>232</v>
      </c>
      <c r="D251" s="7">
        <v>2900.6804072322921</v>
      </c>
      <c r="E251" s="7">
        <f t="shared" si="26"/>
        <v>86.742835144506344</v>
      </c>
      <c r="F251" s="7">
        <f t="shared" si="27"/>
        <v>234.23718922468075</v>
      </c>
      <c r="G251">
        <v>0</v>
      </c>
      <c r="H251" s="7">
        <f t="shared" si="28"/>
        <v>0</v>
      </c>
      <c r="I251" s="7">
        <f t="shared" si="29"/>
        <v>0</v>
      </c>
      <c r="J251" s="7">
        <v>2749.6882177625193</v>
      </c>
      <c r="K251" s="7">
        <f t="shared" si="30"/>
        <v>43.854676519338426</v>
      </c>
      <c r="L251" s="7">
        <f t="shared" si="31"/>
        <v>165.06951051148616</v>
      </c>
      <c r="M251" s="7">
        <v>680.37424334317575</v>
      </c>
      <c r="N251" s="7">
        <f t="shared" si="32"/>
        <v>54.256319245867289</v>
      </c>
      <c r="O251" s="7">
        <f t="shared" si="33"/>
        <v>20.537914935102574</v>
      </c>
    </row>
    <row r="252" spans="3:15" x14ac:dyDescent="0.2">
      <c r="C252">
        <v>233</v>
      </c>
      <c r="D252" s="7">
        <v>2899.632968591075</v>
      </c>
      <c r="E252" s="7">
        <f t="shared" si="26"/>
        <v>86.711512218632635</v>
      </c>
      <c r="F252" s="7">
        <f t="shared" si="27"/>
        <v>234.1526059377415</v>
      </c>
      <c r="G252">
        <v>0</v>
      </c>
      <c r="H252" s="7">
        <f t="shared" si="28"/>
        <v>0</v>
      </c>
      <c r="I252" s="7">
        <f t="shared" si="29"/>
        <v>0</v>
      </c>
      <c r="J252" s="7">
        <v>3058.9375814034538</v>
      </c>
      <c r="K252" s="7">
        <f t="shared" si="30"/>
        <v>48.786883275972151</v>
      </c>
      <c r="L252" s="7">
        <f t="shared" si="31"/>
        <v>183.63439388714983</v>
      </c>
      <c r="M252" s="7">
        <v>680.37424334317575</v>
      </c>
      <c r="N252" s="7">
        <f t="shared" si="32"/>
        <v>54.256319245867289</v>
      </c>
      <c r="O252" s="7">
        <f t="shared" si="33"/>
        <v>20.537914935102574</v>
      </c>
    </row>
    <row r="253" spans="3:15" x14ac:dyDescent="0.2">
      <c r="C253">
        <v>234</v>
      </c>
      <c r="D253" s="7">
        <v>2898.6005384507489</v>
      </c>
      <c r="E253" s="7">
        <f t="shared" si="26"/>
        <v>86.680638111565457</v>
      </c>
      <c r="F253" s="7">
        <f t="shared" si="27"/>
        <v>234.06923462474271</v>
      </c>
      <c r="G253">
        <v>0</v>
      </c>
      <c r="H253" s="7">
        <f t="shared" si="28"/>
        <v>0</v>
      </c>
      <c r="I253" s="7">
        <f t="shared" si="29"/>
        <v>0</v>
      </c>
      <c r="J253" s="7">
        <v>3368.1719365434974</v>
      </c>
      <c r="K253" s="7">
        <f t="shared" si="30"/>
        <v>53.718850662575719</v>
      </c>
      <c r="L253" s="7">
        <f t="shared" si="31"/>
        <v>202.19837627124667</v>
      </c>
      <c r="M253" s="7">
        <v>680.37424334317575</v>
      </c>
      <c r="N253" s="7">
        <f t="shared" si="32"/>
        <v>54.256319245867289</v>
      </c>
      <c r="O253" s="7">
        <f t="shared" si="33"/>
        <v>20.537914935102574</v>
      </c>
    </row>
    <row r="254" spans="3:15" x14ac:dyDescent="0.2">
      <c r="C254">
        <v>235</v>
      </c>
      <c r="D254" s="7">
        <v>2897.5830545247954</v>
      </c>
      <c r="E254" s="7">
        <f t="shared" si="26"/>
        <v>86.650210960669725</v>
      </c>
      <c r="F254" s="7">
        <f t="shared" si="27"/>
        <v>233.98707025589241</v>
      </c>
      <c r="G254">
        <v>0</v>
      </c>
      <c r="H254" s="7">
        <f t="shared" si="28"/>
        <v>0</v>
      </c>
      <c r="I254" s="7">
        <f t="shared" si="29"/>
        <v>0</v>
      </c>
      <c r="J254" s="7">
        <v>3951.3486121355827</v>
      </c>
      <c r="K254" s="7">
        <f t="shared" si="30"/>
        <v>63.019914069148051</v>
      </c>
      <c r="L254" s="7">
        <f t="shared" si="31"/>
        <v>237.20768669409668</v>
      </c>
      <c r="M254" s="7">
        <v>680.37424334317575</v>
      </c>
      <c r="N254" s="7">
        <f t="shared" si="32"/>
        <v>54.256319245867289</v>
      </c>
      <c r="O254" s="7">
        <f t="shared" si="33"/>
        <v>20.537914935102574</v>
      </c>
    </row>
    <row r="255" spans="3:15" x14ac:dyDescent="0.2">
      <c r="C255">
        <v>236</v>
      </c>
      <c r="D255" s="7">
        <v>2896.5804547178018</v>
      </c>
      <c r="E255" s="7">
        <f t="shared" si="26"/>
        <v>86.620228909025172</v>
      </c>
      <c r="F255" s="7">
        <f t="shared" si="27"/>
        <v>233.90610781683094</v>
      </c>
      <c r="G255">
        <v>0</v>
      </c>
      <c r="H255" s="7">
        <f t="shared" si="28"/>
        <v>0</v>
      </c>
      <c r="I255" s="7">
        <f t="shared" si="29"/>
        <v>0</v>
      </c>
      <c r="J255" s="7">
        <v>3952.3512119425764</v>
      </c>
      <c r="K255" s="7">
        <f t="shared" si="30"/>
        <v>63.035904496691813</v>
      </c>
      <c r="L255" s="7">
        <f t="shared" si="31"/>
        <v>237.26787484863374</v>
      </c>
      <c r="M255" s="7">
        <v>680.37424334317575</v>
      </c>
      <c r="N255" s="7">
        <f t="shared" si="32"/>
        <v>54.256319245867289</v>
      </c>
      <c r="O255" s="7">
        <f t="shared" si="33"/>
        <v>20.537914935102574</v>
      </c>
    </row>
    <row r="256" spans="3:15" x14ac:dyDescent="0.2">
      <c r="C256">
        <v>237</v>
      </c>
      <c r="D256" s="7">
        <v>2895.5926771249847</v>
      </c>
      <c r="E256" s="7">
        <f t="shared" si="26"/>
        <v>86.590690105412222</v>
      </c>
      <c r="F256" s="7">
        <f t="shared" si="27"/>
        <v>233.82634230859233</v>
      </c>
      <c r="G256">
        <v>0</v>
      </c>
      <c r="H256" s="7">
        <f t="shared" si="28"/>
        <v>0</v>
      </c>
      <c r="I256" s="7">
        <f t="shared" si="29"/>
        <v>0</v>
      </c>
      <c r="J256" s="7">
        <v>4295.7855728684117</v>
      </c>
      <c r="K256" s="7">
        <f t="shared" si="30"/>
        <v>68.513326521027309</v>
      </c>
      <c r="L256" s="7">
        <f t="shared" si="31"/>
        <v>257.8849548086967</v>
      </c>
      <c r="M256" s="7">
        <v>680.37424334317575</v>
      </c>
      <c r="N256" s="7">
        <f t="shared" si="32"/>
        <v>54.256319245867289</v>
      </c>
      <c r="O256" s="7">
        <f t="shared" si="33"/>
        <v>20.537914935102574</v>
      </c>
    </row>
    <row r="257" spans="3:15" x14ac:dyDescent="0.2">
      <c r="C257">
        <v>238</v>
      </c>
      <c r="D257" s="7">
        <v>2894.6196600316948</v>
      </c>
      <c r="E257" s="7">
        <f t="shared" si="26"/>
        <v>86.561592704297098</v>
      </c>
      <c r="F257" s="7">
        <f t="shared" si="27"/>
        <v>233.74776874756455</v>
      </c>
      <c r="G257">
        <v>0</v>
      </c>
      <c r="H257" s="7">
        <f t="shared" si="28"/>
        <v>0</v>
      </c>
      <c r="I257" s="7">
        <f t="shared" si="29"/>
        <v>0</v>
      </c>
      <c r="J257" s="7">
        <v>3406.3974732958536</v>
      </c>
      <c r="K257" s="7">
        <f t="shared" si="30"/>
        <v>54.328508346026375</v>
      </c>
      <c r="L257" s="7">
        <f t="shared" si="31"/>
        <v>204.49313485514341</v>
      </c>
      <c r="M257" s="7">
        <v>680.37424334317575</v>
      </c>
      <c r="N257" s="7">
        <f t="shared" si="32"/>
        <v>54.256319245867289</v>
      </c>
      <c r="O257" s="7">
        <f t="shared" si="33"/>
        <v>20.537914935102574</v>
      </c>
    </row>
    <row r="258" spans="3:15" x14ac:dyDescent="0.2">
      <c r="C258">
        <v>239</v>
      </c>
      <c r="D258" s="7">
        <v>2893.6613419129517</v>
      </c>
      <c r="E258" s="7">
        <f t="shared" si="26"/>
        <v>86.532934865817936</v>
      </c>
      <c r="F258" s="7">
        <f t="shared" si="27"/>
        <v>233.67038216545168</v>
      </c>
      <c r="G258">
        <v>0</v>
      </c>
      <c r="H258" s="7">
        <f t="shared" si="28"/>
        <v>0</v>
      </c>
      <c r="I258" s="7">
        <f t="shared" si="29"/>
        <v>0</v>
      </c>
      <c r="J258" s="7">
        <v>2516.9946747487475</v>
      </c>
      <c r="K258" s="7">
        <f t="shared" si="30"/>
        <v>40.143455737619583</v>
      </c>
      <c r="L258" s="7">
        <f t="shared" si="31"/>
        <v>151.10043249153441</v>
      </c>
      <c r="M258" s="7">
        <v>0</v>
      </c>
      <c r="N258" s="7">
        <f t="shared" si="32"/>
        <v>0</v>
      </c>
      <c r="O258" s="7">
        <f t="shared" si="33"/>
        <v>0</v>
      </c>
    </row>
    <row r="259" spans="3:15" x14ac:dyDescent="0.2">
      <c r="C259">
        <v>240</v>
      </c>
      <c r="D259" s="7">
        <v>2892.7176614329437</v>
      </c>
      <c r="E259" s="7">
        <f t="shared" si="26"/>
        <v>86.504714755769854</v>
      </c>
      <c r="F259" s="7">
        <f t="shared" si="27"/>
        <v>233.59417760923372</v>
      </c>
      <c r="G259">
        <v>0</v>
      </c>
      <c r="H259" s="7">
        <f t="shared" si="28"/>
        <v>0</v>
      </c>
      <c r="I259" s="7">
        <f t="shared" si="29"/>
        <v>0</v>
      </c>
      <c r="J259" s="7">
        <v>1627.5772385629052</v>
      </c>
      <c r="K259" s="7">
        <f t="shared" si="30"/>
        <v>25.958169674049525</v>
      </c>
      <c r="L259" s="7">
        <f t="shared" si="31"/>
        <v>97.706851399986107</v>
      </c>
      <c r="M259" s="7">
        <v>0</v>
      </c>
      <c r="N259" s="7">
        <f t="shared" si="32"/>
        <v>0</v>
      </c>
      <c r="O259" s="7">
        <f t="shared" si="33"/>
        <v>0</v>
      </c>
    </row>
    <row r="260" spans="3:15" x14ac:dyDescent="0.2">
      <c r="C260">
        <v>241</v>
      </c>
      <c r="D260" s="7">
        <v>2891.7885574445654</v>
      </c>
      <c r="E260" s="7">
        <f t="shared" si="26"/>
        <v>86.476930545591074</v>
      </c>
      <c r="F260" s="7">
        <f t="shared" si="27"/>
        <v>233.51915014112916</v>
      </c>
      <c r="G260">
        <v>0</v>
      </c>
      <c r="H260" s="7">
        <f t="shared" si="28"/>
        <v>0</v>
      </c>
      <c r="I260" s="7">
        <f t="shared" si="29"/>
        <v>0</v>
      </c>
      <c r="J260" s="7">
        <v>19.007400886095184</v>
      </c>
      <c r="K260" s="7">
        <f t="shared" si="30"/>
        <v>0.30314833949115128</v>
      </c>
      <c r="L260" s="7">
        <f t="shared" si="31"/>
        <v>1.1410538620689172</v>
      </c>
      <c r="M260" s="7">
        <v>0</v>
      </c>
      <c r="N260" s="7">
        <f t="shared" si="32"/>
        <v>0</v>
      </c>
      <c r="O260" s="7">
        <f t="shared" si="33"/>
        <v>0</v>
      </c>
    </row>
    <row r="261" spans="3:15" x14ac:dyDescent="0.2">
      <c r="C261">
        <v>242</v>
      </c>
      <c r="D261" s="7">
        <v>2739.5726666641513</v>
      </c>
      <c r="E261" s="7">
        <f t="shared" si="26"/>
        <v>81.925019936128933</v>
      </c>
      <c r="F261" s="7">
        <f t="shared" si="27"/>
        <v>221.22733670217281</v>
      </c>
      <c r="G261">
        <v>0</v>
      </c>
      <c r="H261" s="7">
        <f t="shared" si="28"/>
        <v>0</v>
      </c>
      <c r="I261" s="7">
        <f t="shared" si="29"/>
        <v>0</v>
      </c>
      <c r="J261" s="7">
        <v>0</v>
      </c>
      <c r="K261" s="7">
        <f t="shared" si="30"/>
        <v>0</v>
      </c>
      <c r="L261" s="7">
        <f t="shared" si="31"/>
        <v>0</v>
      </c>
      <c r="M261" s="7">
        <v>0</v>
      </c>
      <c r="N261" s="7">
        <f t="shared" si="32"/>
        <v>0</v>
      </c>
      <c r="O261" s="7">
        <f t="shared" si="33"/>
        <v>0</v>
      </c>
    </row>
    <row r="262" spans="3:15" x14ac:dyDescent="0.2">
      <c r="C262">
        <v>243</v>
      </c>
      <c r="D262" s="7">
        <v>2888.509065176042</v>
      </c>
      <c r="E262" s="7">
        <f t="shared" si="26"/>
        <v>86.378859604546719</v>
      </c>
      <c r="F262" s="7">
        <f t="shared" si="27"/>
        <v>233.25432294777559</v>
      </c>
      <c r="G262">
        <v>0</v>
      </c>
      <c r="H262" s="7">
        <f t="shared" si="28"/>
        <v>0</v>
      </c>
      <c r="I262" s="7">
        <f t="shared" si="29"/>
        <v>0</v>
      </c>
      <c r="J262" s="7">
        <v>22.28689315461861</v>
      </c>
      <c r="K262" s="7">
        <f t="shared" si="30"/>
        <v>0.35545284138147709</v>
      </c>
      <c r="L262" s="7">
        <f t="shared" si="31"/>
        <v>1.337928613175015</v>
      </c>
      <c r="M262" s="7">
        <v>0</v>
      </c>
      <c r="N262" s="7">
        <f t="shared" si="32"/>
        <v>0</v>
      </c>
      <c r="O262" s="7">
        <f t="shared" si="33"/>
        <v>0</v>
      </c>
    </row>
    <row r="263" spans="3:15" x14ac:dyDescent="0.2">
      <c r="C263">
        <v>244</v>
      </c>
      <c r="D263" s="7">
        <v>2886.7437917228635</v>
      </c>
      <c r="E263" s="7">
        <f t="shared" si="26"/>
        <v>86.326070326640661</v>
      </c>
      <c r="F263" s="7">
        <f t="shared" si="27"/>
        <v>233.11177270650995</v>
      </c>
      <c r="G263">
        <v>0</v>
      </c>
      <c r="H263" s="7">
        <f t="shared" si="28"/>
        <v>0</v>
      </c>
      <c r="I263" s="7">
        <f t="shared" si="29"/>
        <v>0</v>
      </c>
      <c r="J263" s="7">
        <v>195.27545827430686</v>
      </c>
      <c r="K263" s="7">
        <f t="shared" si="30"/>
        <v>3.1144411208023426</v>
      </c>
      <c r="L263" s="7">
        <f t="shared" si="31"/>
        <v>11.722792462076118</v>
      </c>
      <c r="M263" s="7">
        <v>0</v>
      </c>
      <c r="N263" s="7">
        <f t="shared" si="32"/>
        <v>0</v>
      </c>
      <c r="O263" s="7">
        <f t="shared" si="33"/>
        <v>0</v>
      </c>
    </row>
    <row r="264" spans="3:15" x14ac:dyDescent="0.2">
      <c r="C264">
        <v>245</v>
      </c>
      <c r="D264" s="7">
        <v>2884.9945216426436</v>
      </c>
      <c r="E264" s="7">
        <f t="shared" si="26"/>
        <v>86.273759618500108</v>
      </c>
      <c r="F264" s="7">
        <f t="shared" si="27"/>
        <v>232.97051477758956</v>
      </c>
      <c r="G264">
        <v>0</v>
      </c>
      <c r="H264" s="7">
        <f t="shared" si="28"/>
        <v>0</v>
      </c>
      <c r="I264" s="7">
        <f t="shared" si="29"/>
        <v>0</v>
      </c>
      <c r="J264" s="7">
        <v>539.47131168754549</v>
      </c>
      <c r="K264" s="7">
        <f t="shared" si="30"/>
        <v>8.6040081608858934</v>
      </c>
      <c r="L264" s="7">
        <f t="shared" si="31"/>
        <v>32.385586402124758</v>
      </c>
      <c r="M264" s="7">
        <v>0</v>
      </c>
      <c r="N264" s="7">
        <f t="shared" si="32"/>
        <v>0</v>
      </c>
      <c r="O264" s="7">
        <f t="shared" si="33"/>
        <v>0</v>
      </c>
    </row>
    <row r="265" spans="3:15" x14ac:dyDescent="0.2">
      <c r="C265">
        <v>246</v>
      </c>
      <c r="D265" s="7">
        <v>2883.2611926182935</v>
      </c>
      <c r="E265" s="7">
        <f t="shared" si="26"/>
        <v>86.221925616575774</v>
      </c>
      <c r="F265" s="7">
        <f t="shared" si="27"/>
        <v>232.83054412875387</v>
      </c>
      <c r="G265">
        <v>0</v>
      </c>
      <c r="H265" s="7">
        <f t="shared" si="28"/>
        <v>0</v>
      </c>
      <c r="I265" s="7">
        <f t="shared" si="29"/>
        <v>0</v>
      </c>
      <c r="J265" s="7">
        <v>769.50236293390753</v>
      </c>
      <c r="K265" s="7">
        <f t="shared" si="30"/>
        <v>12.272764959073486</v>
      </c>
      <c r="L265" s="7">
        <f t="shared" si="31"/>
        <v>46.194829496084516</v>
      </c>
      <c r="M265" s="7">
        <v>0</v>
      </c>
      <c r="N265" s="7">
        <f t="shared" si="32"/>
        <v>0</v>
      </c>
      <c r="O265" s="7">
        <f t="shared" si="33"/>
        <v>0</v>
      </c>
    </row>
    <row r="266" spans="3:15" x14ac:dyDescent="0.2">
      <c r="C266">
        <v>247</v>
      </c>
      <c r="D266" s="7">
        <v>2881.5437425176865</v>
      </c>
      <c r="E266" s="7">
        <f t="shared" si="26"/>
        <v>86.170566462849479</v>
      </c>
      <c r="F266" s="7">
        <f t="shared" si="27"/>
        <v>232.69185574267837</v>
      </c>
      <c r="G266">
        <v>0</v>
      </c>
      <c r="H266" s="7">
        <f t="shared" si="28"/>
        <v>0</v>
      </c>
      <c r="I266" s="7">
        <f t="shared" si="29"/>
        <v>0</v>
      </c>
      <c r="J266" s="7">
        <v>999.51753525652748</v>
      </c>
      <c r="K266" s="7">
        <f t="shared" si="30"/>
        <v>15.941268504888797</v>
      </c>
      <c r="L266" s="7">
        <f t="shared" si="31"/>
        <v>60.003119345180863</v>
      </c>
      <c r="M266" s="7">
        <v>680.37424334317575</v>
      </c>
      <c r="N266" s="7">
        <f t="shared" si="32"/>
        <v>54.256319245867289</v>
      </c>
      <c r="O266" s="7">
        <f t="shared" si="33"/>
        <v>20.537914935102574</v>
      </c>
    </row>
    <row r="267" spans="3:15" x14ac:dyDescent="0.2">
      <c r="C267">
        <v>248</v>
      </c>
      <c r="D267" s="7">
        <v>2879.8421093931925</v>
      </c>
      <c r="E267" s="7">
        <f t="shared" si="26"/>
        <v>86.119680304820349</v>
      </c>
      <c r="F267" s="7">
        <f t="shared" si="27"/>
        <v>232.55444461693722</v>
      </c>
      <c r="G267">
        <v>0</v>
      </c>
      <c r="H267" s="7">
        <f t="shared" si="28"/>
        <v>0</v>
      </c>
      <c r="I267" s="7">
        <f t="shared" si="29"/>
        <v>0</v>
      </c>
      <c r="J267" s="7">
        <v>1229.5168906030335</v>
      </c>
      <c r="K267" s="7">
        <f t="shared" si="30"/>
        <v>19.609519786332275</v>
      </c>
      <c r="L267" s="7">
        <f t="shared" si="31"/>
        <v>73.810459668258943</v>
      </c>
      <c r="M267" s="7">
        <v>680.37424334317575</v>
      </c>
      <c r="N267" s="7">
        <f t="shared" si="32"/>
        <v>54.256319245867289</v>
      </c>
      <c r="O267" s="7">
        <f t="shared" si="33"/>
        <v>20.537914935102574</v>
      </c>
    </row>
    <row r="268" spans="3:15" x14ac:dyDescent="0.2">
      <c r="C268">
        <v>249</v>
      </c>
      <c r="D268" s="7">
        <v>2878.1562314812404</v>
      </c>
      <c r="E268" s="7">
        <f t="shared" si="26"/>
        <v>86.069265295491647</v>
      </c>
      <c r="F268" s="7">
        <f t="shared" si="27"/>
        <v>232.41830576396777</v>
      </c>
      <c r="G268">
        <v>0</v>
      </c>
      <c r="H268" s="7">
        <f t="shared" si="28"/>
        <v>0</v>
      </c>
      <c r="I268" s="7">
        <f t="shared" si="29"/>
        <v>0</v>
      </c>
      <c r="J268" s="7">
        <v>1459.5004907369989</v>
      </c>
      <c r="K268" s="7">
        <f t="shared" si="30"/>
        <v>23.277519788468883</v>
      </c>
      <c r="L268" s="7">
        <f t="shared" si="31"/>
        <v>87.616854173114689</v>
      </c>
      <c r="M268" s="7">
        <v>680.37424334317575</v>
      </c>
      <c r="N268" s="7">
        <f t="shared" si="32"/>
        <v>54.256319245867289</v>
      </c>
      <c r="O268" s="7">
        <f t="shared" si="33"/>
        <v>20.537914935102574</v>
      </c>
    </row>
    <row r="269" spans="3:15" x14ac:dyDescent="0.2">
      <c r="C269">
        <v>250</v>
      </c>
      <c r="D269" s="7">
        <v>2876.4860472018499</v>
      </c>
      <c r="E269" s="7">
        <f t="shared" si="26"/>
        <v>86.019319593356769</v>
      </c>
      <c r="F269" s="7">
        <f t="shared" si="27"/>
        <v>232.28343421103276</v>
      </c>
      <c r="G269">
        <v>0</v>
      </c>
      <c r="H269" s="7">
        <f t="shared" si="28"/>
        <v>0</v>
      </c>
      <c r="I269" s="7">
        <f t="shared" si="29"/>
        <v>0</v>
      </c>
      <c r="J269" s="7">
        <v>1689.4683972384018</v>
      </c>
      <c r="K269" s="7">
        <f t="shared" si="30"/>
        <v>26.94526949343544</v>
      </c>
      <c r="L269" s="7">
        <f t="shared" si="31"/>
        <v>101.42230655652246</v>
      </c>
      <c r="M269" s="7">
        <v>680.37424334317575</v>
      </c>
      <c r="N269" s="7">
        <f t="shared" si="32"/>
        <v>54.256319245867289</v>
      </c>
      <c r="O269" s="7">
        <f t="shared" si="33"/>
        <v>20.537914935102574</v>
      </c>
    </row>
    <row r="270" spans="3:15" x14ac:dyDescent="0.2">
      <c r="C270">
        <v>251</v>
      </c>
      <c r="D270" s="7">
        <v>2874.8314951581933</v>
      </c>
      <c r="E270" s="7">
        <f t="shared" si="26"/>
        <v>85.969841362386177</v>
      </c>
      <c r="F270" s="7">
        <f t="shared" si="27"/>
        <v>232.1498250001849</v>
      </c>
      <c r="G270">
        <v>0</v>
      </c>
      <c r="H270" s="7">
        <f t="shared" si="28"/>
        <v>0</v>
      </c>
      <c r="I270" s="7">
        <f t="shared" si="29"/>
        <v>0</v>
      </c>
      <c r="J270" s="7">
        <v>1919.4206715040709</v>
      </c>
      <c r="K270" s="7">
        <f t="shared" si="30"/>
        <v>30.612769880447704</v>
      </c>
      <c r="L270" s="7">
        <f t="shared" si="31"/>
        <v>115.2268205042617</v>
      </c>
      <c r="M270" s="7">
        <v>680.37424334317575</v>
      </c>
      <c r="N270" s="7">
        <f t="shared" si="32"/>
        <v>54.256319245867289</v>
      </c>
      <c r="O270" s="7">
        <f t="shared" si="33"/>
        <v>20.537914935102574</v>
      </c>
    </row>
    <row r="271" spans="3:15" x14ac:dyDescent="0.2">
      <c r="C271">
        <v>252</v>
      </c>
      <c r="D271" s="7">
        <v>2873.1925141361289</v>
      </c>
      <c r="E271" s="7">
        <f t="shared" si="26"/>
        <v>85.920828772013436</v>
      </c>
      <c r="F271" s="7">
        <f t="shared" si="27"/>
        <v>232.01747318822939</v>
      </c>
      <c r="G271">
        <v>0</v>
      </c>
      <c r="H271" s="7">
        <f t="shared" si="28"/>
        <v>0</v>
      </c>
      <c r="I271" s="7">
        <f t="shared" si="29"/>
        <v>0</v>
      </c>
      <c r="J271" s="7">
        <v>2149.3573747481478</v>
      </c>
      <c r="K271" s="7">
        <f t="shared" si="30"/>
        <v>34.28002192580778</v>
      </c>
      <c r="L271" s="7">
        <f t="shared" si="31"/>
        <v>129.03039969114488</v>
      </c>
      <c r="M271" s="7">
        <v>680.37424334317575</v>
      </c>
      <c r="N271" s="7">
        <f t="shared" si="32"/>
        <v>54.256319245867289</v>
      </c>
      <c r="O271" s="7">
        <f t="shared" si="33"/>
        <v>20.537914935102574</v>
      </c>
    </row>
    <row r="272" spans="3:15" x14ac:dyDescent="0.2">
      <c r="C272">
        <v>253</v>
      </c>
      <c r="D272" s="7">
        <v>2871.5690431037551</v>
      </c>
      <c r="E272" s="7">
        <f t="shared" si="26"/>
        <v>85.872279997121865</v>
      </c>
      <c r="F272" s="7">
        <f t="shared" si="27"/>
        <v>231.88637384668775</v>
      </c>
      <c r="G272">
        <v>0</v>
      </c>
      <c r="H272" s="7">
        <f t="shared" si="28"/>
        <v>0</v>
      </c>
      <c r="I272" s="7">
        <f t="shared" si="29"/>
        <v>0</v>
      </c>
      <c r="J272" s="7">
        <v>2379.278568002534</v>
      </c>
      <c r="K272" s="7">
        <f t="shared" si="30"/>
        <v>37.94702660291123</v>
      </c>
      <c r="L272" s="7">
        <f t="shared" si="31"/>
        <v>142.83304778104414</v>
      </c>
      <c r="M272" s="7">
        <v>680.37424334317575</v>
      </c>
      <c r="N272" s="7">
        <f t="shared" si="32"/>
        <v>54.256319245867289</v>
      </c>
      <c r="O272" s="7">
        <f t="shared" si="33"/>
        <v>20.537914935102574</v>
      </c>
    </row>
    <row r="273" spans="3:15" x14ac:dyDescent="0.2">
      <c r="C273">
        <v>254</v>
      </c>
      <c r="D273" s="7">
        <v>2869.9610212109724</v>
      </c>
      <c r="E273" s="7">
        <f t="shared" si="26"/>
        <v>85.824193218031482</v>
      </c>
      <c r="F273" s="7">
        <f t="shared" si="27"/>
        <v>231.75652206176235</v>
      </c>
      <c r="G273">
        <v>0</v>
      </c>
      <c r="H273" s="7">
        <f t="shared" si="28"/>
        <v>0</v>
      </c>
      <c r="I273" s="7">
        <f t="shared" si="29"/>
        <v>0</v>
      </c>
      <c r="J273" s="7">
        <v>2609.1843121173301</v>
      </c>
      <c r="K273" s="7">
        <f t="shared" si="30"/>
        <v>41.613784882254073</v>
      </c>
      <c r="L273" s="7">
        <f t="shared" si="31"/>
        <v>156.63476842691779</v>
      </c>
      <c r="M273" s="7">
        <v>680.37424334317575</v>
      </c>
      <c r="N273" s="7">
        <f t="shared" si="32"/>
        <v>54.256319245867289</v>
      </c>
      <c r="O273" s="7">
        <f t="shared" si="33"/>
        <v>20.537914935102574</v>
      </c>
    </row>
    <row r="274" spans="3:15" x14ac:dyDescent="0.2">
      <c r="C274">
        <v>255</v>
      </c>
      <c r="D274" s="7">
        <v>2868.3683877890171</v>
      </c>
      <c r="E274" s="7">
        <f t="shared" si="26"/>
        <v>85.776566620484971</v>
      </c>
      <c r="F274" s="7">
        <f t="shared" si="27"/>
        <v>231.62791293429905</v>
      </c>
      <c r="G274">
        <v>0</v>
      </c>
      <c r="H274" s="7">
        <f t="shared" si="28"/>
        <v>0</v>
      </c>
      <c r="I274" s="7">
        <f t="shared" si="29"/>
        <v>0</v>
      </c>
      <c r="J274" s="7">
        <v>2439.5536538727747</v>
      </c>
      <c r="K274" s="7">
        <f t="shared" si="30"/>
        <v>38.908351736407894</v>
      </c>
      <c r="L274" s="7">
        <f t="shared" si="31"/>
        <v>146.45148672127232</v>
      </c>
      <c r="M274" s="7">
        <v>680.37424334317575</v>
      </c>
      <c r="N274" s="7">
        <f t="shared" si="32"/>
        <v>54.256319245867289</v>
      </c>
      <c r="O274" s="7">
        <f t="shared" si="33"/>
        <v>20.537914935102574</v>
      </c>
    </row>
    <row r="275" spans="3:15" x14ac:dyDescent="0.2">
      <c r="C275">
        <v>256</v>
      </c>
      <c r="D275" s="7">
        <v>2866.791082350021</v>
      </c>
      <c r="E275" s="7">
        <f t="shared" si="26"/>
        <v>85.729398395634604</v>
      </c>
      <c r="F275" s="7">
        <f t="shared" si="27"/>
        <v>231.50054157975131</v>
      </c>
      <c r="G275">
        <v>0</v>
      </c>
      <c r="H275" s="7">
        <f t="shared" si="28"/>
        <v>0</v>
      </c>
      <c r="I275" s="7">
        <f t="shared" si="29"/>
        <v>0</v>
      </c>
      <c r="J275" s="7">
        <v>2840.6519732002939</v>
      </c>
      <c r="K275" s="7">
        <f t="shared" si="30"/>
        <v>45.305454118027022</v>
      </c>
      <c r="L275" s="7">
        <f t="shared" si="31"/>
        <v>170.53025420140835</v>
      </c>
      <c r="M275" s="7">
        <v>680.37424334317575</v>
      </c>
      <c r="N275" s="7">
        <f t="shared" si="32"/>
        <v>54.256319245867289</v>
      </c>
      <c r="O275" s="7">
        <f t="shared" si="33"/>
        <v>20.537914935102574</v>
      </c>
    </row>
    <row r="276" spans="3:15" x14ac:dyDescent="0.2">
      <c r="C276">
        <v>257</v>
      </c>
      <c r="D276" s="7">
        <v>2865.2290445865647</v>
      </c>
      <c r="E276" s="7">
        <f t="shared" si="26"/>
        <v>85.682686740028856</v>
      </c>
      <c r="F276" s="7">
        <f t="shared" si="27"/>
        <v>231.37440312814439</v>
      </c>
      <c r="G276">
        <v>0</v>
      </c>
      <c r="H276" s="7">
        <f t="shared" si="28"/>
        <v>0</v>
      </c>
      <c r="I276" s="7">
        <f t="shared" si="29"/>
        <v>0</v>
      </c>
      <c r="J276" s="7">
        <v>3241.7350248522725</v>
      </c>
      <c r="K276" s="7">
        <f t="shared" si="30"/>
        <v>51.70231299604901</v>
      </c>
      <c r="L276" s="7">
        <f t="shared" si="31"/>
        <v>194.60810513118355</v>
      </c>
      <c r="M276" s="7">
        <v>680.37424334317575</v>
      </c>
      <c r="N276" s="7">
        <f t="shared" si="32"/>
        <v>54.256319245867289</v>
      </c>
      <c r="O276" s="7">
        <f t="shared" si="33"/>
        <v>20.537914935102574</v>
      </c>
    </row>
    <row r="277" spans="3:15" x14ac:dyDescent="0.2">
      <c r="C277">
        <v>258</v>
      </c>
      <c r="D277" s="7">
        <v>2863.6822143712338</v>
      </c>
      <c r="E277" s="7">
        <f t="shared" ref="E277:E340" si="34">D277/($C$3*($D$8-$D$6))</f>
        <v>85.636429855599104</v>
      </c>
      <c r="F277" s="7">
        <f t="shared" ref="F277:F340" si="35">E277*$C$3*((($D$8)-($D$6))-$C$2*LN(($D$8)/($D$6)))</f>
        <v>231.24949272403938</v>
      </c>
      <c r="G277">
        <v>0</v>
      </c>
      <c r="H277" s="7">
        <f t="shared" ref="H277:H340" si="36">G277/($C$3*($D$6-$D$9))</f>
        <v>0</v>
      </c>
      <c r="I277" s="7">
        <f t="shared" ref="I277:I340" si="37">ABS(H277*$C$3*(($D$9-$D$6)-$C$2*(LN($D$9/$D$6))))</f>
        <v>0</v>
      </c>
      <c r="J277" s="7">
        <v>3642.8028689561247</v>
      </c>
      <c r="K277" s="7">
        <f t="shared" ref="K277:K340" si="38">J277/($C$3*($D$10-$D$7))</f>
        <v>58.098929329443777</v>
      </c>
      <c r="L277" s="7">
        <f t="shared" ref="L277:L340" si="39">K277*$C$3*(($D$10-$D$7)-$C$2*LN($D$10/$D$7))</f>
        <v>218.68504312017183</v>
      </c>
      <c r="M277" s="7">
        <v>680.37424334317575</v>
      </c>
      <c r="N277" s="7">
        <f t="shared" ref="N277:N340" si="40">M277/($C$3*($D$7-$D$11))</f>
        <v>54.256319245867289</v>
      </c>
      <c r="O277" s="7">
        <f t="shared" ref="O277:O340" si="41">ABS(N277*$C$3*(($D$11-$D$7)-$C$2*LN($D$11/$D$7)))</f>
        <v>20.537914935102574</v>
      </c>
    </row>
    <row r="278" spans="3:15" x14ac:dyDescent="0.2">
      <c r="C278">
        <v>259</v>
      </c>
      <c r="D278" s="7">
        <v>2862.1505317561678</v>
      </c>
      <c r="E278" s="7">
        <f t="shared" si="34"/>
        <v>85.590625949646167</v>
      </c>
      <c r="F278" s="7">
        <f t="shared" si="35"/>
        <v>231.12580552649675</v>
      </c>
      <c r="G278">
        <v>0</v>
      </c>
      <c r="H278" s="7">
        <f t="shared" si="36"/>
        <v>0</v>
      </c>
      <c r="I278" s="7">
        <f t="shared" si="37"/>
        <v>0</v>
      </c>
      <c r="J278" s="7">
        <v>3173.4704994882904</v>
      </c>
      <c r="K278" s="7">
        <f t="shared" si="38"/>
        <v>50.613564585140203</v>
      </c>
      <c r="L278" s="7">
        <f t="shared" si="39"/>
        <v>190.51004349847204</v>
      </c>
      <c r="M278" s="7">
        <v>680.37424334317575</v>
      </c>
      <c r="N278" s="7">
        <f t="shared" si="40"/>
        <v>54.256319245867289</v>
      </c>
      <c r="O278" s="7">
        <f t="shared" si="41"/>
        <v>20.537914935102574</v>
      </c>
    </row>
    <row r="279" spans="3:15" x14ac:dyDescent="0.2">
      <c r="C279">
        <v>260</v>
      </c>
      <c r="D279" s="7">
        <v>2860.6339369726238</v>
      </c>
      <c r="E279" s="7">
        <f t="shared" si="34"/>
        <v>85.545273234827278</v>
      </c>
      <c r="F279" s="7">
        <f t="shared" si="35"/>
        <v>231.00333670904121</v>
      </c>
      <c r="G279">
        <v>0</v>
      </c>
      <c r="H279" s="7">
        <f t="shared" si="36"/>
        <v>0</v>
      </c>
      <c r="I279" s="7">
        <f t="shared" si="37"/>
        <v>0</v>
      </c>
      <c r="J279" s="7">
        <v>2704.1230421889331</v>
      </c>
      <c r="K279" s="7">
        <f t="shared" si="38"/>
        <v>43.127959205565126</v>
      </c>
      <c r="L279" s="7">
        <f t="shared" si="39"/>
        <v>162.33413812282237</v>
      </c>
      <c r="M279" s="7">
        <v>680.37424334317575</v>
      </c>
      <c r="N279" s="7">
        <f t="shared" si="40"/>
        <v>54.256319245867289</v>
      </c>
      <c r="O279" s="7">
        <f t="shared" si="41"/>
        <v>20.537914935102574</v>
      </c>
    </row>
    <row r="280" spans="3:15" x14ac:dyDescent="0.2">
      <c r="C280">
        <v>261</v>
      </c>
      <c r="D280" s="7">
        <v>2859.132370430521</v>
      </c>
      <c r="E280" s="7">
        <f t="shared" si="34"/>
        <v>85.50036992914238</v>
      </c>
      <c r="F280" s="7">
        <f t="shared" si="35"/>
        <v>230.88208145962489</v>
      </c>
      <c r="G280">
        <v>0</v>
      </c>
      <c r="H280" s="7">
        <f t="shared" si="36"/>
        <v>0</v>
      </c>
      <c r="I280" s="7">
        <f t="shared" si="37"/>
        <v>0</v>
      </c>
      <c r="J280" s="7">
        <v>2234.7605566481348</v>
      </c>
      <c r="K280" s="7">
        <f t="shared" si="38"/>
        <v>35.642114141118576</v>
      </c>
      <c r="L280" s="7">
        <f t="shared" si="39"/>
        <v>134.1573305705395</v>
      </c>
      <c r="M280" s="7">
        <v>680.37424334317575</v>
      </c>
      <c r="N280" s="7">
        <f t="shared" si="40"/>
        <v>54.256319245867289</v>
      </c>
      <c r="O280" s="7">
        <f t="shared" si="41"/>
        <v>20.537914935102574</v>
      </c>
    </row>
    <row r="281" spans="3:15" x14ac:dyDescent="0.2">
      <c r="C281">
        <v>262</v>
      </c>
      <c r="D281" s="7">
        <v>2857.6457727180064</v>
      </c>
      <c r="E281" s="7">
        <f t="shared" si="34"/>
        <v>85.455914255921243</v>
      </c>
      <c r="F281" s="7">
        <f t="shared" si="35"/>
        <v>230.76203498059223</v>
      </c>
      <c r="G281">
        <v>0</v>
      </c>
      <c r="H281" s="7">
        <f t="shared" si="36"/>
        <v>0</v>
      </c>
      <c r="I281" s="7">
        <f t="shared" si="37"/>
        <v>0</v>
      </c>
      <c r="J281" s="7">
        <v>1765.383102277749</v>
      </c>
      <c r="K281" s="7">
        <f t="shared" si="38"/>
        <v>28.15603033935804</v>
      </c>
      <c r="L281" s="7">
        <f t="shared" si="39"/>
        <v>105.97962440824084</v>
      </c>
      <c r="M281" s="7">
        <v>680.37424334317575</v>
      </c>
      <c r="N281" s="7">
        <f t="shared" si="40"/>
        <v>54.256319245867289</v>
      </c>
      <c r="O281" s="7">
        <f t="shared" si="41"/>
        <v>20.537914935102574</v>
      </c>
    </row>
    <row r="282" spans="3:15" x14ac:dyDescent="0.2">
      <c r="C282">
        <v>263</v>
      </c>
      <c r="D282" s="7">
        <v>2856.1740846010198</v>
      </c>
      <c r="E282" s="7">
        <f t="shared" si="34"/>
        <v>85.4119044438104</v>
      </c>
      <c r="F282" s="7">
        <f t="shared" si="35"/>
        <v>230.6431924886449</v>
      </c>
      <c r="G282">
        <v>0</v>
      </c>
      <c r="H282" s="7">
        <f t="shared" si="36"/>
        <v>0</v>
      </c>
      <c r="I282" s="7">
        <f t="shared" si="37"/>
        <v>0</v>
      </c>
      <c r="J282" s="7">
        <v>1295.9907383118343</v>
      </c>
      <c r="K282" s="7">
        <f t="shared" si="38"/>
        <v>20.669708745005334</v>
      </c>
      <c r="L282" s="7">
        <f t="shared" si="39"/>
        <v>77.801023191870215</v>
      </c>
      <c r="M282" s="7">
        <v>0</v>
      </c>
      <c r="N282" s="7">
        <f t="shared" si="40"/>
        <v>0</v>
      </c>
      <c r="O282" s="7">
        <f t="shared" si="41"/>
        <v>0</v>
      </c>
    </row>
    <row r="283" spans="3:15" x14ac:dyDescent="0.2">
      <c r="C283">
        <v>264</v>
      </c>
      <c r="D283" s="7">
        <v>2854.7172470228393</v>
      </c>
      <c r="E283" s="7">
        <f t="shared" si="34"/>
        <v>85.368338726759546</v>
      </c>
      <c r="F283" s="7">
        <f t="shared" si="35"/>
        <v>230.52554921480501</v>
      </c>
      <c r="G283">
        <v>0</v>
      </c>
      <c r="H283" s="7">
        <f t="shared" si="36"/>
        <v>0</v>
      </c>
      <c r="I283" s="7">
        <f t="shared" si="37"/>
        <v>0</v>
      </c>
      <c r="J283" s="7">
        <v>569.7485863073498</v>
      </c>
      <c r="K283" s="7">
        <f t="shared" si="38"/>
        <v>9.0868993031475256</v>
      </c>
      <c r="L283" s="7">
        <f t="shared" si="39"/>
        <v>34.203194256290793</v>
      </c>
      <c r="M283" s="7">
        <v>0</v>
      </c>
      <c r="N283" s="7">
        <f t="shared" si="40"/>
        <v>0</v>
      </c>
      <c r="O283" s="7">
        <f t="shared" si="41"/>
        <v>0</v>
      </c>
    </row>
    <row r="284" spans="3:15" x14ac:dyDescent="0.2">
      <c r="C284">
        <v>265</v>
      </c>
      <c r="D284" s="7">
        <v>2853.2752011036464</v>
      </c>
      <c r="E284" s="7">
        <f t="shared" si="34"/>
        <v>85.325215344008569</v>
      </c>
      <c r="F284" s="7">
        <f t="shared" si="35"/>
        <v>230.40910040438027</v>
      </c>
      <c r="G284">
        <v>0</v>
      </c>
      <c r="H284" s="7">
        <f t="shared" si="36"/>
        <v>0</v>
      </c>
      <c r="I284" s="7">
        <f t="shared" si="37"/>
        <v>0</v>
      </c>
      <c r="J284" s="7">
        <v>57.520757227014201</v>
      </c>
      <c r="K284" s="7">
        <f t="shared" si="38"/>
        <v>0.91739644700182144</v>
      </c>
      <c r="L284" s="7">
        <f t="shared" si="39"/>
        <v>3.4530908553114026</v>
      </c>
      <c r="M284" s="7">
        <v>0</v>
      </c>
      <c r="N284" s="7">
        <f t="shared" si="40"/>
        <v>0</v>
      </c>
      <c r="O284" s="7">
        <f t="shared" si="41"/>
        <v>0</v>
      </c>
    </row>
    <row r="285" spans="3:15" x14ac:dyDescent="0.2">
      <c r="C285">
        <v>266</v>
      </c>
      <c r="D285" s="7">
        <v>2739.5726666641513</v>
      </c>
      <c r="E285" s="7">
        <f t="shared" si="34"/>
        <v>81.925019936128933</v>
      </c>
      <c r="F285" s="7">
        <f t="shared" si="35"/>
        <v>221.22733670217281</v>
      </c>
      <c r="G285">
        <v>0</v>
      </c>
      <c r="H285" s="7">
        <f t="shared" si="36"/>
        <v>0</v>
      </c>
      <c r="I285" s="7">
        <f t="shared" si="37"/>
        <v>0</v>
      </c>
      <c r="J285" s="7">
        <v>0</v>
      </c>
      <c r="K285" s="7">
        <f t="shared" si="38"/>
        <v>0</v>
      </c>
      <c r="L285" s="7">
        <f t="shared" si="39"/>
        <v>0</v>
      </c>
      <c r="M285" s="7">
        <v>0</v>
      </c>
      <c r="N285" s="7">
        <f t="shared" si="40"/>
        <v>0</v>
      </c>
      <c r="O285" s="7">
        <f t="shared" si="41"/>
        <v>0</v>
      </c>
    </row>
    <row r="286" spans="3:15" x14ac:dyDescent="0.2">
      <c r="C286">
        <v>267</v>
      </c>
      <c r="D286" s="7">
        <v>2850.6004333336105</v>
      </c>
      <c r="E286" s="7">
        <f t="shared" si="34"/>
        <v>85.245228269545777</v>
      </c>
      <c r="F286" s="7">
        <f t="shared" si="35"/>
        <v>230.19310622497332</v>
      </c>
      <c r="G286">
        <v>0</v>
      </c>
      <c r="H286" s="7">
        <f t="shared" si="36"/>
        <v>0</v>
      </c>
      <c r="I286" s="7">
        <f t="shared" si="37"/>
        <v>0</v>
      </c>
      <c r="J286" s="7">
        <v>60.195524997050143</v>
      </c>
      <c r="K286" s="7">
        <f t="shared" si="38"/>
        <v>0.96005622004864666</v>
      </c>
      <c r="L286" s="7">
        <f t="shared" si="39"/>
        <v>3.6136627353084041</v>
      </c>
      <c r="M286" s="7">
        <v>0</v>
      </c>
      <c r="N286" s="7">
        <f t="shared" si="40"/>
        <v>0</v>
      </c>
      <c r="O286" s="7">
        <f t="shared" si="41"/>
        <v>0</v>
      </c>
    </row>
    <row r="287" spans="3:15" x14ac:dyDescent="0.2">
      <c r="C287">
        <v>268</v>
      </c>
      <c r="D287" s="7">
        <v>2849.2016519582944</v>
      </c>
      <c r="E287" s="7">
        <f t="shared" si="34"/>
        <v>85.203398682963353</v>
      </c>
      <c r="F287" s="7">
        <f t="shared" si="35"/>
        <v>230.080151134548</v>
      </c>
      <c r="G287">
        <v>0</v>
      </c>
      <c r="H287" s="7">
        <f t="shared" si="36"/>
        <v>0</v>
      </c>
      <c r="I287" s="7">
        <f t="shared" si="37"/>
        <v>0</v>
      </c>
      <c r="J287" s="7">
        <v>232.81759803887599</v>
      </c>
      <c r="K287" s="7">
        <f t="shared" si="38"/>
        <v>3.7131993307635724</v>
      </c>
      <c r="L287" s="7">
        <f t="shared" si="39"/>
        <v>13.976525301479235</v>
      </c>
      <c r="M287" s="7">
        <v>0</v>
      </c>
      <c r="N287" s="7">
        <f t="shared" si="40"/>
        <v>0</v>
      </c>
      <c r="O287" s="7">
        <f t="shared" si="41"/>
        <v>0</v>
      </c>
    </row>
    <row r="288" spans="3:15" x14ac:dyDescent="0.2">
      <c r="C288">
        <v>269</v>
      </c>
      <c r="D288" s="7">
        <v>2847.8174309232636</v>
      </c>
      <c r="E288" s="7">
        <f t="shared" si="34"/>
        <v>85.162004513255496</v>
      </c>
      <c r="F288" s="7">
        <f t="shared" si="35"/>
        <v>229.96837182797466</v>
      </c>
      <c r="G288">
        <v>0</v>
      </c>
      <c r="H288" s="7">
        <f t="shared" si="36"/>
        <v>0</v>
      </c>
      <c r="I288" s="7">
        <f t="shared" si="37"/>
        <v>0</v>
      </c>
      <c r="J288" s="7">
        <v>545.51689483119617</v>
      </c>
      <c r="K288" s="7">
        <f t="shared" si="38"/>
        <v>8.700428944676176</v>
      </c>
      <c r="L288" s="7">
        <f t="shared" si="39"/>
        <v>32.748515349425915</v>
      </c>
      <c r="M288" s="7">
        <v>0</v>
      </c>
      <c r="N288" s="7">
        <f t="shared" si="40"/>
        <v>0</v>
      </c>
      <c r="O288" s="7">
        <f t="shared" si="41"/>
        <v>0</v>
      </c>
    </row>
    <row r="289" spans="3:15" x14ac:dyDescent="0.2">
      <c r="C289">
        <v>270</v>
      </c>
      <c r="D289" s="7">
        <v>2846.4477122202479</v>
      </c>
      <c r="E289" s="7">
        <f t="shared" si="34"/>
        <v>85.121044025725126</v>
      </c>
      <c r="F289" s="7">
        <f t="shared" si="35"/>
        <v>229.85776362094057</v>
      </c>
      <c r="G289">
        <v>0</v>
      </c>
      <c r="H289" s="7">
        <f t="shared" si="36"/>
        <v>0</v>
      </c>
      <c r="I289" s="7">
        <f t="shared" si="37"/>
        <v>0</v>
      </c>
      <c r="J289" s="7">
        <v>764.80716656431468</v>
      </c>
      <c r="K289" s="7">
        <f t="shared" si="38"/>
        <v>12.197881444406933</v>
      </c>
      <c r="L289" s="7">
        <f t="shared" si="39"/>
        <v>45.912967079292166</v>
      </c>
      <c r="M289" s="7">
        <v>0</v>
      </c>
      <c r="N289" s="7">
        <f t="shared" si="40"/>
        <v>0</v>
      </c>
      <c r="O289" s="7">
        <f t="shared" si="41"/>
        <v>0</v>
      </c>
    </row>
    <row r="290" spans="3:15" x14ac:dyDescent="0.2">
      <c r="C290">
        <v>271</v>
      </c>
      <c r="D290" s="7">
        <v>2845.0924380152796</v>
      </c>
      <c r="E290" s="7">
        <f t="shared" si="34"/>
        <v>85.080515490887549</v>
      </c>
      <c r="F290" s="7">
        <f t="shared" si="35"/>
        <v>229.74832184320837</v>
      </c>
      <c r="G290">
        <v>0</v>
      </c>
      <c r="H290" s="7">
        <f t="shared" si="36"/>
        <v>0</v>
      </c>
      <c r="I290" s="7">
        <f t="shared" si="37"/>
        <v>0</v>
      </c>
      <c r="J290" s="7">
        <v>984.08299379938626</v>
      </c>
      <c r="K290" s="7">
        <f t="shared" si="38"/>
        <v>15.695103569368204</v>
      </c>
      <c r="L290" s="7">
        <f t="shared" si="39"/>
        <v>59.07655167585699</v>
      </c>
      <c r="M290" s="7">
        <v>680.37424334317575</v>
      </c>
      <c r="N290" s="7">
        <f t="shared" si="40"/>
        <v>54.256319245867289</v>
      </c>
      <c r="O290" s="7">
        <f t="shared" si="41"/>
        <v>20.537914935102574</v>
      </c>
    </row>
    <row r="291" spans="3:15" x14ac:dyDescent="0.2">
      <c r="C291">
        <v>272</v>
      </c>
      <c r="D291" s="7">
        <v>2843.7515506482546</v>
      </c>
      <c r="E291" s="7">
        <f t="shared" si="34"/>
        <v>85.040417184457382</v>
      </c>
      <c r="F291" s="7">
        <f t="shared" si="35"/>
        <v>229.64004183858057</v>
      </c>
      <c r="G291">
        <v>0</v>
      </c>
      <c r="H291" s="7">
        <f t="shared" si="36"/>
        <v>0</v>
      </c>
      <c r="I291" s="7">
        <f t="shared" si="37"/>
        <v>0</v>
      </c>
      <c r="J291" s="7">
        <v>1203.3444341965146</v>
      </c>
      <c r="K291" s="7">
        <f t="shared" si="38"/>
        <v>19.192096239178863</v>
      </c>
      <c r="L291" s="7">
        <f t="shared" si="39"/>
        <v>72.239272600576484</v>
      </c>
      <c r="M291" s="7">
        <v>680.37424334317575</v>
      </c>
      <c r="N291" s="7">
        <f t="shared" si="40"/>
        <v>54.256319245867289</v>
      </c>
      <c r="O291" s="7">
        <f t="shared" si="41"/>
        <v>20.537914935102574</v>
      </c>
    </row>
    <row r="292" spans="3:15" x14ac:dyDescent="0.2">
      <c r="C292">
        <v>273</v>
      </c>
      <c r="D292" s="7">
        <v>2842.4249926324983</v>
      </c>
      <c r="E292" s="7">
        <f t="shared" si="34"/>
        <v>85.00074738733548</v>
      </c>
      <c r="F292" s="7">
        <f t="shared" si="35"/>
        <v>229.53291896486465</v>
      </c>
      <c r="G292">
        <v>0</v>
      </c>
      <c r="H292" s="7">
        <f t="shared" si="36"/>
        <v>0</v>
      </c>
      <c r="I292" s="7">
        <f t="shared" si="37"/>
        <v>0</v>
      </c>
      <c r="J292" s="7">
        <v>1422.5915452423733</v>
      </c>
      <c r="K292" s="7">
        <f t="shared" si="38"/>
        <v>22.68886037069176</v>
      </c>
      <c r="L292" s="7">
        <f t="shared" si="39"/>
        <v>85.401133304495403</v>
      </c>
      <c r="M292" s="7">
        <v>680.37424334317575</v>
      </c>
      <c r="N292" s="7">
        <f t="shared" si="40"/>
        <v>54.256319245867289</v>
      </c>
      <c r="O292" s="7">
        <f t="shared" si="41"/>
        <v>20.537914935102574</v>
      </c>
    </row>
    <row r="293" spans="3:15" x14ac:dyDescent="0.2">
      <c r="C293">
        <v>274</v>
      </c>
      <c r="D293" s="7">
        <v>2841.1127066543427</v>
      </c>
      <c r="E293" s="7">
        <f t="shared" si="34"/>
        <v>84.961504385596371</v>
      </c>
      <c r="F293" s="7">
        <f t="shared" si="35"/>
        <v>229.42694859383866</v>
      </c>
      <c r="G293">
        <v>0</v>
      </c>
      <c r="H293" s="7">
        <f t="shared" si="36"/>
        <v>0</v>
      </c>
      <c r="I293" s="7">
        <f t="shared" si="37"/>
        <v>0</v>
      </c>
      <c r="J293" s="7">
        <v>1641.8243842506322</v>
      </c>
      <c r="K293" s="7">
        <f t="shared" si="38"/>
        <v>26.185396878000514</v>
      </c>
      <c r="L293" s="7">
        <f t="shared" si="39"/>
        <v>98.562137228272704</v>
      </c>
      <c r="M293" s="7">
        <v>680.37424334317575</v>
      </c>
      <c r="N293" s="7">
        <f t="shared" si="40"/>
        <v>54.256319245867289</v>
      </c>
      <c r="O293" s="7">
        <f t="shared" si="41"/>
        <v>20.537914935102574</v>
      </c>
    </row>
    <row r="294" spans="3:15" x14ac:dyDescent="0.2">
      <c r="C294">
        <v>275</v>
      </c>
      <c r="D294" s="7">
        <v>2839.8146355726776</v>
      </c>
      <c r="E294" s="7">
        <f t="shared" si="34"/>
        <v>84.922686470474815</v>
      </c>
      <c r="F294" s="7">
        <f t="shared" si="35"/>
        <v>229.32212611121531</v>
      </c>
      <c r="G294">
        <v>0</v>
      </c>
      <c r="H294" s="7">
        <f t="shared" si="36"/>
        <v>0</v>
      </c>
      <c r="I294" s="7">
        <f t="shared" si="37"/>
        <v>0</v>
      </c>
      <c r="J294" s="7">
        <v>1861.0430083624005</v>
      </c>
      <c r="K294" s="7">
        <f t="shared" si="38"/>
        <v>29.68170667244658</v>
      </c>
      <c r="L294" s="7">
        <f t="shared" si="39"/>
        <v>111.72228780220819</v>
      </c>
      <c r="M294" s="7">
        <v>680.37424334317575</v>
      </c>
      <c r="N294" s="7">
        <f t="shared" si="40"/>
        <v>54.256319245867289</v>
      </c>
      <c r="O294" s="7">
        <f t="shared" si="41"/>
        <v>20.537914935102574</v>
      </c>
    </row>
    <row r="295" spans="3:15" x14ac:dyDescent="0.2">
      <c r="C295">
        <v>276</v>
      </c>
      <c r="D295" s="7">
        <v>2838.530722418544</v>
      </c>
      <c r="E295" s="7">
        <f t="shared" si="34"/>
        <v>84.884291938353599</v>
      </c>
      <c r="F295" s="7">
        <f t="shared" si="35"/>
        <v>229.21844691660877</v>
      </c>
      <c r="G295">
        <v>0</v>
      </c>
      <c r="H295" s="7">
        <f t="shared" si="36"/>
        <v>0</v>
      </c>
      <c r="I295" s="7">
        <f t="shared" si="37"/>
        <v>0</v>
      </c>
      <c r="J295" s="7">
        <v>2080.2474745466375</v>
      </c>
      <c r="K295" s="7">
        <f t="shared" si="38"/>
        <v>33.177790662625796</v>
      </c>
      <c r="L295" s="7">
        <f t="shared" si="39"/>
        <v>124.88158844626713</v>
      </c>
      <c r="M295" s="7">
        <v>680.37424334317575</v>
      </c>
      <c r="N295" s="7">
        <f t="shared" si="40"/>
        <v>54.256319245867289</v>
      </c>
      <c r="O295" s="7">
        <f t="shared" si="41"/>
        <v>20.537914935102574</v>
      </c>
    </row>
    <row r="296" spans="3:15" x14ac:dyDescent="0.2">
      <c r="C296">
        <v>277</v>
      </c>
      <c r="D296" s="7">
        <v>2837.2609103946838</v>
      </c>
      <c r="E296" s="7">
        <f t="shared" si="34"/>
        <v>84.846319090750114</v>
      </c>
      <c r="F296" s="7">
        <f t="shared" si="35"/>
        <v>229.11590642349856</v>
      </c>
      <c r="G296">
        <v>0</v>
      </c>
      <c r="H296" s="7">
        <f t="shared" si="36"/>
        <v>0</v>
      </c>
      <c r="I296" s="7">
        <f t="shared" si="37"/>
        <v>0</v>
      </c>
      <c r="J296" s="7">
        <v>2299.4378396006</v>
      </c>
      <c r="K296" s="7">
        <f t="shared" si="38"/>
        <v>36.673649754395534</v>
      </c>
      <c r="L296" s="7">
        <f t="shared" si="39"/>
        <v>138.04004257010715</v>
      </c>
      <c r="M296" s="7">
        <v>680.37424334317575</v>
      </c>
      <c r="N296" s="7">
        <f t="shared" si="40"/>
        <v>54.256319245867289</v>
      </c>
      <c r="O296" s="7">
        <f t="shared" si="41"/>
        <v>20.537914935102574</v>
      </c>
    </row>
    <row r="297" spans="3:15" x14ac:dyDescent="0.2">
      <c r="C297">
        <v>278</v>
      </c>
      <c r="D297" s="7">
        <v>2836.0051428751244</v>
      </c>
      <c r="E297" s="7">
        <f t="shared" si="34"/>
        <v>84.80876623430396</v>
      </c>
      <c r="F297" s="7">
        <f t="shared" si="35"/>
        <v>229.01450005919594</v>
      </c>
      <c r="G297">
        <v>0</v>
      </c>
      <c r="H297" s="7">
        <f t="shared" si="36"/>
        <v>0</v>
      </c>
      <c r="I297" s="7">
        <f t="shared" si="37"/>
        <v>0</v>
      </c>
      <c r="J297" s="7">
        <v>2202.8517261678685</v>
      </c>
      <c r="K297" s="7">
        <f t="shared" si="38"/>
        <v>35.133201374288177</v>
      </c>
      <c r="L297" s="7">
        <f t="shared" si="39"/>
        <v>132.24177702001461</v>
      </c>
      <c r="M297" s="7">
        <v>680.37424334317575</v>
      </c>
      <c r="N297" s="7">
        <f t="shared" si="40"/>
        <v>54.256319245867289</v>
      </c>
      <c r="O297" s="7">
        <f t="shared" si="41"/>
        <v>20.537914935102574</v>
      </c>
    </row>
    <row r="298" spans="3:15" x14ac:dyDescent="0.2">
      <c r="C298">
        <v>279</v>
      </c>
      <c r="D298" s="7">
        <v>2834.7633634047484</v>
      </c>
      <c r="E298" s="7">
        <f t="shared" si="34"/>
        <v>84.771631680764017</v>
      </c>
      <c r="F298" s="7">
        <f t="shared" si="35"/>
        <v>228.91422326480918</v>
      </c>
      <c r="G298">
        <v>0</v>
      </c>
      <c r="H298" s="7">
        <f t="shared" si="36"/>
        <v>0</v>
      </c>
      <c r="I298" s="7">
        <f t="shared" si="37"/>
        <v>0</v>
      </c>
      <c r="J298" s="7">
        <v>2106.2516246859536</v>
      </c>
      <c r="K298" s="7">
        <f t="shared" si="38"/>
        <v>33.59252989929751</v>
      </c>
      <c r="L298" s="7">
        <f t="shared" si="39"/>
        <v>126.44267173819651</v>
      </c>
      <c r="M298" s="7">
        <v>680.37424334317575</v>
      </c>
      <c r="N298" s="7">
        <f t="shared" si="40"/>
        <v>54.256319245867289</v>
      </c>
      <c r="O298" s="7">
        <f t="shared" si="41"/>
        <v>20.537914935102574</v>
      </c>
    </row>
    <row r="299" spans="3:15" x14ac:dyDescent="0.2">
      <c r="C299">
        <v>280</v>
      </c>
      <c r="D299" s="7">
        <v>2833.535515698868</v>
      </c>
      <c r="E299" s="7">
        <f t="shared" si="34"/>
        <v>84.734913746975721</v>
      </c>
      <c r="F299" s="7">
        <f t="shared" si="35"/>
        <v>228.81507149520908</v>
      </c>
      <c r="G299">
        <v>0</v>
      </c>
      <c r="H299" s="7">
        <f t="shared" si="36"/>
        <v>0</v>
      </c>
      <c r="I299" s="7">
        <f t="shared" si="37"/>
        <v>0</v>
      </c>
      <c r="J299" s="7">
        <v>2009.637591439543</v>
      </c>
      <c r="K299" s="7">
        <f t="shared" si="38"/>
        <v>32.051636227105952</v>
      </c>
      <c r="L299" s="7">
        <f t="shared" si="39"/>
        <v>120.64273010353996</v>
      </c>
      <c r="M299" s="7">
        <v>680.37424334317575</v>
      </c>
      <c r="N299" s="7">
        <f t="shared" si="40"/>
        <v>54.256319245867289</v>
      </c>
      <c r="O299" s="7">
        <f t="shared" si="41"/>
        <v>20.537914935102574</v>
      </c>
    </row>
    <row r="300" spans="3:15" x14ac:dyDescent="0.2">
      <c r="C300">
        <v>281</v>
      </c>
      <c r="D300" s="7">
        <v>2832.3215436427899</v>
      </c>
      <c r="E300" s="7">
        <f t="shared" si="34"/>
        <v>84.698610754868128</v>
      </c>
      <c r="F300" s="7">
        <f t="shared" si="35"/>
        <v>228.71704021899401</v>
      </c>
      <c r="G300">
        <v>0</v>
      </c>
      <c r="H300" s="7">
        <f t="shared" si="36"/>
        <v>0</v>
      </c>
      <c r="I300" s="7">
        <f t="shared" si="37"/>
        <v>0</v>
      </c>
      <c r="J300" s="7">
        <v>1913.0096825433293</v>
      </c>
      <c r="K300" s="7">
        <f t="shared" si="38"/>
        <v>30.510521252684679</v>
      </c>
      <c r="L300" s="7">
        <f t="shared" si="39"/>
        <v>114.84195548472675</v>
      </c>
      <c r="M300" s="7">
        <v>680.37424334317575</v>
      </c>
      <c r="N300" s="7">
        <f t="shared" si="40"/>
        <v>54.256319245867289</v>
      </c>
      <c r="O300" s="7">
        <f t="shared" si="41"/>
        <v>20.537914935102574</v>
      </c>
    </row>
    <row r="301" spans="3:15" x14ac:dyDescent="0.2">
      <c r="C301">
        <v>282</v>
      </c>
      <c r="D301" s="7">
        <v>2831.1213912914054</v>
      </c>
      <c r="E301" s="7">
        <f t="shared" si="34"/>
        <v>84.662721031441549</v>
      </c>
      <c r="F301" s="7">
        <f t="shared" si="35"/>
        <v>228.62012491845667</v>
      </c>
      <c r="G301">
        <v>0</v>
      </c>
      <c r="H301" s="7">
        <f t="shared" si="36"/>
        <v>0</v>
      </c>
      <c r="I301" s="7">
        <f t="shared" si="37"/>
        <v>0</v>
      </c>
      <c r="J301" s="7">
        <v>1816.367953942422</v>
      </c>
      <c r="K301" s="7">
        <f t="shared" si="38"/>
        <v>28.969185868300194</v>
      </c>
      <c r="L301" s="7">
        <f t="shared" si="39"/>
        <v>109.0403512402584</v>
      </c>
      <c r="M301" s="7">
        <v>680.37424334317575</v>
      </c>
      <c r="N301" s="7">
        <f t="shared" si="40"/>
        <v>54.256319245867289</v>
      </c>
      <c r="O301" s="7">
        <f t="shared" si="41"/>
        <v>20.537914935102574</v>
      </c>
    </row>
    <row r="302" spans="3:15" x14ac:dyDescent="0.2">
      <c r="C302">
        <v>283</v>
      </c>
      <c r="D302" s="7">
        <v>2829.9350028687577</v>
      </c>
      <c r="E302" s="7">
        <f t="shared" si="34"/>
        <v>84.627242908754724</v>
      </c>
      <c r="F302" s="7">
        <f t="shared" si="35"/>
        <v>228.5243210895492</v>
      </c>
      <c r="G302">
        <v>0</v>
      </c>
      <c r="H302" s="7">
        <f t="shared" si="36"/>
        <v>0</v>
      </c>
      <c r="I302" s="7">
        <f t="shared" si="37"/>
        <v>0</v>
      </c>
      <c r="J302" s="7">
        <v>1719.7124614127797</v>
      </c>
      <c r="K302" s="7">
        <f t="shared" si="38"/>
        <v>27.42763096352121</v>
      </c>
      <c r="L302" s="7">
        <f t="shared" si="39"/>
        <v>103.23792071848183</v>
      </c>
      <c r="M302" s="7">
        <v>680.37424334317575</v>
      </c>
      <c r="N302" s="7">
        <f t="shared" si="40"/>
        <v>54.256319245867289</v>
      </c>
      <c r="O302" s="7">
        <f t="shared" si="41"/>
        <v>20.537914935102574</v>
      </c>
    </row>
    <row r="303" spans="3:15" x14ac:dyDescent="0.2">
      <c r="C303">
        <v>284</v>
      </c>
      <c r="D303" s="7">
        <v>2828.7623227676199</v>
      </c>
      <c r="E303" s="7">
        <f t="shared" si="34"/>
        <v>84.59217472391208</v>
      </c>
      <c r="F303" s="7">
        <f t="shared" si="35"/>
        <v>228.42962424184915</v>
      </c>
      <c r="G303">
        <v>0</v>
      </c>
      <c r="H303" s="7">
        <f t="shared" si="36"/>
        <v>0</v>
      </c>
      <c r="I303" s="7">
        <f t="shared" si="37"/>
        <v>0</v>
      </c>
      <c r="J303" s="7">
        <v>1623.0432605616256</v>
      </c>
      <c r="K303" s="7">
        <f t="shared" si="38"/>
        <v>25.885857425225289</v>
      </c>
      <c r="L303" s="7">
        <f t="shared" si="39"/>
        <v>97.434667257614478</v>
      </c>
      <c r="M303" s="7">
        <v>680.37424334317575</v>
      </c>
      <c r="N303" s="7">
        <f t="shared" si="40"/>
        <v>54.256319245867289</v>
      </c>
      <c r="O303" s="7">
        <f t="shared" si="41"/>
        <v>20.537914935102574</v>
      </c>
    </row>
    <row r="304" spans="3:15" x14ac:dyDescent="0.2">
      <c r="C304">
        <v>285</v>
      </c>
      <c r="D304" s="7">
        <v>2827.6032955490741</v>
      </c>
      <c r="E304" s="7">
        <f t="shared" si="34"/>
        <v>84.557514819051264</v>
      </c>
      <c r="F304" s="7">
        <f t="shared" si="35"/>
        <v>228.33602989852537</v>
      </c>
      <c r="G304">
        <v>0</v>
      </c>
      <c r="H304" s="7">
        <f t="shared" si="36"/>
        <v>0</v>
      </c>
      <c r="I304" s="7">
        <f t="shared" si="37"/>
        <v>0</v>
      </c>
      <c r="J304" s="7">
        <v>1966.6488711131901</v>
      </c>
      <c r="K304" s="7">
        <f t="shared" si="38"/>
        <v>31.366010703559652</v>
      </c>
      <c r="L304" s="7">
        <f t="shared" si="39"/>
        <v>118.06202768937295</v>
      </c>
      <c r="M304" s="7">
        <v>680.37424334317575</v>
      </c>
      <c r="N304" s="7">
        <f t="shared" si="40"/>
        <v>54.256319245867289</v>
      </c>
      <c r="O304" s="7">
        <f t="shared" si="41"/>
        <v>20.537914935102574</v>
      </c>
    </row>
    <row r="305" spans="3:15" x14ac:dyDescent="0.2">
      <c r="C305">
        <v>286</v>
      </c>
      <c r="D305" s="7">
        <v>2826.4578659420845</v>
      </c>
      <c r="E305" s="7">
        <f t="shared" si="34"/>
        <v>84.523261541330285</v>
      </c>
      <c r="F305" s="7">
        <f t="shared" si="35"/>
        <v>228.24353359630365</v>
      </c>
      <c r="G305">
        <v>0</v>
      </c>
      <c r="H305" s="7">
        <f t="shared" si="36"/>
        <v>0</v>
      </c>
      <c r="I305" s="7">
        <f t="shared" si="37"/>
        <v>0</v>
      </c>
      <c r="J305" s="7">
        <v>1454.1244257206513</v>
      </c>
      <c r="K305" s="7">
        <f t="shared" si="38"/>
        <v>23.191777124731281</v>
      </c>
      <c r="L305" s="7">
        <f t="shared" si="39"/>
        <v>87.29411779340667</v>
      </c>
      <c r="M305" s="7">
        <v>680.37424334317575</v>
      </c>
      <c r="N305" s="7">
        <f t="shared" si="40"/>
        <v>54.256319245867289</v>
      </c>
      <c r="O305" s="7">
        <f t="shared" si="41"/>
        <v>20.537914935102574</v>
      </c>
    </row>
    <row r="306" spans="3:15" x14ac:dyDescent="0.2">
      <c r="C306">
        <v>287</v>
      </c>
      <c r="D306" s="7">
        <v>2825.3259788430919</v>
      </c>
      <c r="E306" s="7">
        <f t="shared" si="34"/>
        <v>84.489413242915433</v>
      </c>
      <c r="F306" s="7">
        <f t="shared" si="35"/>
        <v>228.15213088543393</v>
      </c>
      <c r="G306">
        <v>0</v>
      </c>
      <c r="H306" s="7">
        <f t="shared" si="36"/>
        <v>0</v>
      </c>
      <c r="I306" s="7">
        <f t="shared" si="37"/>
        <v>0</v>
      </c>
      <c r="J306" s="7">
        <v>941.58643782011632</v>
      </c>
      <c r="K306" s="7">
        <f t="shared" si="38"/>
        <v>15.017327556939655</v>
      </c>
      <c r="L306" s="7">
        <f t="shared" si="39"/>
        <v>56.525394912480294</v>
      </c>
      <c r="M306" s="7">
        <v>0</v>
      </c>
      <c r="N306" s="7">
        <f t="shared" si="40"/>
        <v>0</v>
      </c>
      <c r="O306" s="7">
        <f t="shared" si="41"/>
        <v>0</v>
      </c>
    </row>
    <row r="307" spans="3:15" x14ac:dyDescent="0.2">
      <c r="C307">
        <v>288</v>
      </c>
      <c r="D307" s="7">
        <v>2824.2075793155755</v>
      </c>
      <c r="E307" s="7">
        <f t="shared" si="34"/>
        <v>84.455968280968165</v>
      </c>
      <c r="F307" s="7">
        <f t="shared" si="35"/>
        <v>228.0618173296549</v>
      </c>
      <c r="G307">
        <v>0</v>
      </c>
      <c r="H307" s="7">
        <f t="shared" si="36"/>
        <v>0</v>
      </c>
      <c r="I307" s="7">
        <f t="shared" si="37"/>
        <v>0</v>
      </c>
      <c r="J307" s="7">
        <v>429.03496234810427</v>
      </c>
      <c r="K307" s="7">
        <f t="shared" si="38"/>
        <v>6.8426628763653001</v>
      </c>
      <c r="L307" s="7">
        <f t="shared" si="39"/>
        <v>25.755862344547452</v>
      </c>
      <c r="M307" s="7">
        <v>0</v>
      </c>
      <c r="N307" s="7">
        <f t="shared" si="40"/>
        <v>0</v>
      </c>
      <c r="O307" s="7">
        <f t="shared" si="41"/>
        <v>0</v>
      </c>
    </row>
    <row r="308" spans="3:15" x14ac:dyDescent="0.2">
      <c r="C308">
        <v>289</v>
      </c>
      <c r="D308" s="7">
        <v>2739.5726666641513</v>
      </c>
      <c r="E308" s="7">
        <f t="shared" si="34"/>
        <v>81.925019936128933</v>
      </c>
      <c r="F308" s="7">
        <f t="shared" si="35"/>
        <v>221.22733670217281</v>
      </c>
      <c r="G308">
        <v>0</v>
      </c>
      <c r="H308" s="7">
        <f t="shared" si="36"/>
        <v>0</v>
      </c>
      <c r="I308" s="7">
        <f t="shared" si="37"/>
        <v>0</v>
      </c>
      <c r="J308" s="7">
        <v>0</v>
      </c>
      <c r="K308" s="7">
        <f t="shared" si="38"/>
        <v>0</v>
      </c>
      <c r="L308" s="7">
        <f t="shared" si="39"/>
        <v>0</v>
      </c>
      <c r="M308" s="7">
        <v>0</v>
      </c>
      <c r="N308" s="7">
        <f t="shared" si="40"/>
        <v>0</v>
      </c>
      <c r="O308" s="7">
        <f t="shared" si="41"/>
        <v>0</v>
      </c>
    </row>
    <row r="309" spans="3:15" x14ac:dyDescent="0.2">
      <c r="C309">
        <v>290</v>
      </c>
      <c r="D309" s="7">
        <v>2739.5726666641513</v>
      </c>
      <c r="E309" s="7">
        <f t="shared" si="34"/>
        <v>81.925019936128933</v>
      </c>
      <c r="F309" s="7">
        <f t="shared" si="35"/>
        <v>221.22733670217281</v>
      </c>
      <c r="G309">
        <v>0</v>
      </c>
      <c r="H309" s="7">
        <f t="shared" si="36"/>
        <v>0</v>
      </c>
      <c r="I309" s="7">
        <f t="shared" si="37"/>
        <v>0</v>
      </c>
      <c r="J309" s="7">
        <v>0</v>
      </c>
      <c r="K309" s="7">
        <f t="shared" si="38"/>
        <v>0</v>
      </c>
      <c r="L309" s="7">
        <f t="shared" si="39"/>
        <v>0</v>
      </c>
      <c r="M309" s="7">
        <v>0</v>
      </c>
      <c r="N309" s="7">
        <f t="shared" si="40"/>
        <v>0</v>
      </c>
      <c r="O309" s="7">
        <f t="shared" si="41"/>
        <v>0</v>
      </c>
    </row>
    <row r="310" spans="3:15" x14ac:dyDescent="0.2">
      <c r="C310">
        <v>291</v>
      </c>
      <c r="D310" s="7">
        <v>2821.1724723754774</v>
      </c>
      <c r="E310" s="7">
        <f t="shared" si="34"/>
        <v>84.365205513620737</v>
      </c>
      <c r="F310" s="7">
        <f t="shared" si="35"/>
        <v>227.81672486208339</v>
      </c>
      <c r="G310">
        <v>0</v>
      </c>
      <c r="H310" s="7">
        <f t="shared" si="36"/>
        <v>0</v>
      </c>
      <c r="I310" s="7">
        <f t="shared" si="37"/>
        <v>0</v>
      </c>
      <c r="J310" s="7">
        <v>114.0839561932562</v>
      </c>
      <c r="K310" s="7">
        <f t="shared" si="38"/>
        <v>1.8195208324283287</v>
      </c>
      <c r="L310" s="7">
        <f t="shared" si="39"/>
        <v>6.8486974939138596</v>
      </c>
      <c r="M310" s="7">
        <v>0</v>
      </c>
      <c r="N310" s="7">
        <f t="shared" si="40"/>
        <v>0</v>
      </c>
      <c r="O310" s="7">
        <f t="shared" si="41"/>
        <v>0</v>
      </c>
    </row>
    <row r="311" spans="3:15" x14ac:dyDescent="0.2">
      <c r="C311">
        <v>292</v>
      </c>
      <c r="D311" s="7">
        <v>2820.1063751086995</v>
      </c>
      <c r="E311" s="7">
        <f t="shared" si="34"/>
        <v>84.3333246144946</v>
      </c>
      <c r="F311" s="7">
        <f t="shared" si="35"/>
        <v>227.73063484451802</v>
      </c>
      <c r="G311">
        <v>0</v>
      </c>
      <c r="H311" s="7">
        <f t="shared" si="36"/>
        <v>0</v>
      </c>
      <c r="I311" s="7">
        <f t="shared" si="37"/>
        <v>0</v>
      </c>
      <c r="J311" s="7">
        <v>310.83381536461638</v>
      </c>
      <c r="K311" s="7">
        <f t="shared" si="38"/>
        <v>4.9574771190528937</v>
      </c>
      <c r="L311" s="7">
        <f t="shared" si="39"/>
        <v>18.660001312587468</v>
      </c>
      <c r="M311" s="7">
        <v>0</v>
      </c>
      <c r="N311" s="7">
        <f t="shared" si="40"/>
        <v>0</v>
      </c>
      <c r="O311" s="7">
        <f t="shared" si="41"/>
        <v>0</v>
      </c>
    </row>
    <row r="312" spans="3:15" x14ac:dyDescent="0.2">
      <c r="C312">
        <v>293</v>
      </c>
      <c r="D312" s="7">
        <v>2819.0534967662124</v>
      </c>
      <c r="E312" s="7">
        <f t="shared" si="34"/>
        <v>84.301839018128362</v>
      </c>
      <c r="F312" s="7">
        <f t="shared" si="35"/>
        <v>227.64561228811203</v>
      </c>
      <c r="G312">
        <v>0</v>
      </c>
      <c r="H312" s="7">
        <f t="shared" si="36"/>
        <v>0</v>
      </c>
      <c r="I312" s="7">
        <f t="shared" si="37"/>
        <v>0</v>
      </c>
      <c r="J312" s="7">
        <v>507.57045561168616</v>
      </c>
      <c r="K312" s="7">
        <f t="shared" si="38"/>
        <v>8.0952225775388555</v>
      </c>
      <c r="L312" s="7">
        <f t="shared" si="39"/>
        <v>30.470511571704751</v>
      </c>
      <c r="M312" s="7">
        <v>0</v>
      </c>
      <c r="N312" s="7">
        <f t="shared" si="40"/>
        <v>0</v>
      </c>
      <c r="O312" s="7">
        <f t="shared" si="41"/>
        <v>0</v>
      </c>
    </row>
    <row r="313" spans="3:15" x14ac:dyDescent="0.2">
      <c r="C313">
        <v>294</v>
      </c>
      <c r="D313" s="7">
        <v>2818.0137833957151</v>
      </c>
      <c r="E313" s="7">
        <f t="shared" si="34"/>
        <v>84.270747111115895</v>
      </c>
      <c r="F313" s="7">
        <f t="shared" si="35"/>
        <v>227.56165283608232</v>
      </c>
      <c r="G313">
        <v>0</v>
      </c>
      <c r="H313" s="7">
        <f t="shared" si="36"/>
        <v>0</v>
      </c>
      <c r="I313" s="7">
        <f t="shared" si="37"/>
        <v>0</v>
      </c>
      <c r="J313" s="7">
        <v>704.29393088676534</v>
      </c>
      <c r="K313" s="7">
        <f t="shared" si="38"/>
        <v>11.232758068369463</v>
      </c>
      <c r="L313" s="7">
        <f t="shared" si="39"/>
        <v>42.280231510134634</v>
      </c>
      <c r="M313" s="7">
        <v>0</v>
      </c>
      <c r="N313" s="7">
        <f t="shared" si="40"/>
        <v>0</v>
      </c>
      <c r="O313" s="7">
        <f t="shared" si="41"/>
        <v>0</v>
      </c>
    </row>
    <row r="314" spans="3:15" x14ac:dyDescent="0.2">
      <c r="C314">
        <v>295</v>
      </c>
      <c r="D314" s="7">
        <v>2816.9871812090578</v>
      </c>
      <c r="E314" s="7">
        <f t="shared" si="34"/>
        <v>84.240047284959871</v>
      </c>
      <c r="F314" s="7">
        <f t="shared" si="35"/>
        <v>227.47875214490136</v>
      </c>
      <c r="G314">
        <v>0</v>
      </c>
      <c r="H314" s="7">
        <f t="shared" si="36"/>
        <v>0</v>
      </c>
      <c r="I314" s="7">
        <f t="shared" si="37"/>
        <v>0</v>
      </c>
      <c r="J314" s="7">
        <v>901.00429497800496</v>
      </c>
      <c r="K314" s="7">
        <f t="shared" si="38"/>
        <v>14.370084449409969</v>
      </c>
      <c r="L314" s="7">
        <f t="shared" si="39"/>
        <v>54.089164356891864</v>
      </c>
      <c r="M314" s="7">
        <v>680.37424334317575</v>
      </c>
      <c r="N314" s="7">
        <f t="shared" si="40"/>
        <v>54.256319245867289</v>
      </c>
      <c r="O314" s="7">
        <f t="shared" si="41"/>
        <v>20.537914935102574</v>
      </c>
    </row>
    <row r="315" spans="3:15" x14ac:dyDescent="0.2">
      <c r="C315">
        <v>296</v>
      </c>
      <c r="D315" s="7">
        <v>2816.4145994122737</v>
      </c>
      <c r="E315" s="7">
        <f t="shared" si="34"/>
        <v>84.22292462357278</v>
      </c>
      <c r="F315" s="7">
        <f t="shared" si="35"/>
        <v>227.43251473441467</v>
      </c>
      <c r="G315">
        <v>0</v>
      </c>
      <c r="H315" s="7">
        <f t="shared" si="36"/>
        <v>0</v>
      </c>
      <c r="I315" s="7">
        <f t="shared" si="37"/>
        <v>0</v>
      </c>
      <c r="J315" s="7">
        <v>1097.2606386793714</v>
      </c>
      <c r="K315" s="7">
        <f t="shared" si="38"/>
        <v>17.500169675907042</v>
      </c>
      <c r="L315" s="7">
        <f t="shared" si="39"/>
        <v>65.870841414052848</v>
      </c>
      <c r="M315" s="7">
        <v>680.37424334317575</v>
      </c>
      <c r="N315" s="7">
        <f t="shared" si="40"/>
        <v>54.256319245867289</v>
      </c>
      <c r="O315" s="7">
        <f t="shared" si="41"/>
        <v>20.537914935102574</v>
      </c>
    </row>
    <row r="316" spans="3:15" x14ac:dyDescent="0.2">
      <c r="C316">
        <v>297</v>
      </c>
      <c r="D316" s="7">
        <v>2816.2947319728587</v>
      </c>
      <c r="E316" s="7">
        <f t="shared" si="34"/>
        <v>84.219340070958694</v>
      </c>
      <c r="F316" s="7">
        <f t="shared" si="35"/>
        <v>227.42283513923482</v>
      </c>
      <c r="G316">
        <v>0</v>
      </c>
      <c r="H316" s="7">
        <f t="shared" si="36"/>
        <v>0</v>
      </c>
      <c r="I316" s="7">
        <f t="shared" si="37"/>
        <v>0</v>
      </c>
      <c r="J316" s="7">
        <v>1293.0642680233682</v>
      </c>
      <c r="K316" s="7">
        <f t="shared" si="38"/>
        <v>20.623034577725171</v>
      </c>
      <c r="L316" s="7">
        <f t="shared" si="39"/>
        <v>77.625341085468861</v>
      </c>
      <c r="M316" s="7">
        <v>0</v>
      </c>
      <c r="N316" s="7">
        <f t="shared" si="40"/>
        <v>0</v>
      </c>
      <c r="O316" s="7">
        <f t="shared" si="41"/>
        <v>0</v>
      </c>
    </row>
    <row r="317" spans="3:15" x14ac:dyDescent="0.2">
      <c r="C317">
        <v>298</v>
      </c>
      <c r="D317" s="7">
        <v>2816.1861469822279</v>
      </c>
      <c r="E317" s="7">
        <f t="shared" si="34"/>
        <v>84.216092912147971</v>
      </c>
      <c r="F317" s="7">
        <f t="shared" si="35"/>
        <v>227.41406662997957</v>
      </c>
      <c r="G317">
        <v>0</v>
      </c>
      <c r="H317" s="7">
        <f t="shared" si="36"/>
        <v>0</v>
      </c>
      <c r="I317" s="7">
        <f t="shared" si="37"/>
        <v>0</v>
      </c>
      <c r="J317" s="7">
        <v>1488.8566149185817</v>
      </c>
      <c r="K317" s="7">
        <f t="shared" si="38"/>
        <v>23.745719536181529</v>
      </c>
      <c r="L317" s="7">
        <f t="shared" si="39"/>
        <v>89.379163447986357</v>
      </c>
      <c r="M317" s="7">
        <v>0</v>
      </c>
      <c r="N317" s="7">
        <f t="shared" si="40"/>
        <v>0</v>
      </c>
      <c r="O317" s="7">
        <f t="shared" si="41"/>
        <v>0</v>
      </c>
    </row>
    <row r="318" spans="3:15" x14ac:dyDescent="0.2">
      <c r="C318">
        <v>299</v>
      </c>
      <c r="D318" s="7">
        <v>2816.0887933981599</v>
      </c>
      <c r="E318" s="7">
        <f t="shared" si="34"/>
        <v>84.213181620758377</v>
      </c>
      <c r="F318" s="7">
        <f t="shared" si="35"/>
        <v>227.40620508486202</v>
      </c>
      <c r="G318">
        <v>0</v>
      </c>
      <c r="H318" s="7">
        <f t="shared" si="36"/>
        <v>0</v>
      </c>
      <c r="I318" s="7">
        <f t="shared" si="37"/>
        <v>0</v>
      </c>
      <c r="J318" s="7">
        <v>1684.6377304072325</v>
      </c>
      <c r="K318" s="7">
        <f t="shared" si="38"/>
        <v>26.868225365346614</v>
      </c>
      <c r="L318" s="7">
        <f t="shared" si="39"/>
        <v>101.13231156577616</v>
      </c>
      <c r="M318" s="7">
        <v>0</v>
      </c>
      <c r="N318" s="7">
        <f t="shared" si="40"/>
        <v>0</v>
      </c>
      <c r="O318" s="7">
        <f t="shared" si="41"/>
        <v>0</v>
      </c>
    </row>
    <row r="319" spans="3:15" x14ac:dyDescent="0.2">
      <c r="C319">
        <v>300</v>
      </c>
      <c r="D319" s="7">
        <v>2816.0026203414609</v>
      </c>
      <c r="E319" s="7">
        <f t="shared" si="34"/>
        <v>84.210604675282923</v>
      </c>
      <c r="F319" s="7">
        <f t="shared" si="35"/>
        <v>227.39924639526018</v>
      </c>
      <c r="G319">
        <v>0</v>
      </c>
      <c r="H319" s="7">
        <f t="shared" si="36"/>
        <v>0</v>
      </c>
      <c r="I319" s="7">
        <f t="shared" si="37"/>
        <v>0</v>
      </c>
      <c r="J319" s="7">
        <v>1880.4076653685133</v>
      </c>
      <c r="K319" s="7">
        <f t="shared" si="38"/>
        <v>29.990552876690806</v>
      </c>
      <c r="L319" s="7">
        <f t="shared" si="39"/>
        <v>112.88478849322216</v>
      </c>
      <c r="M319" s="7">
        <v>0</v>
      </c>
      <c r="N319" s="7">
        <f t="shared" si="40"/>
        <v>0</v>
      </c>
      <c r="O319" s="7">
        <f t="shared" si="41"/>
        <v>0</v>
      </c>
    </row>
    <row r="320" spans="3:15" x14ac:dyDescent="0.2">
      <c r="C320">
        <v>301</v>
      </c>
      <c r="D320" s="7">
        <v>2815.9275770955501</v>
      </c>
      <c r="E320" s="7">
        <f t="shared" si="34"/>
        <v>84.208360559077462</v>
      </c>
      <c r="F320" s="7">
        <f t="shared" si="35"/>
        <v>227.39318646568344</v>
      </c>
      <c r="G320">
        <v>0</v>
      </c>
      <c r="H320" s="7">
        <f t="shared" si="36"/>
        <v>0</v>
      </c>
      <c r="I320" s="7">
        <f t="shared" si="37"/>
        <v>0</v>
      </c>
      <c r="J320" s="7">
        <v>1978.3245895667142</v>
      </c>
      <c r="K320" s="7">
        <f t="shared" si="38"/>
        <v>31.552226308879018</v>
      </c>
      <c r="L320" s="7">
        <f t="shared" si="39"/>
        <v>118.76294538525684</v>
      </c>
      <c r="M320" s="7">
        <v>0</v>
      </c>
      <c r="N320" s="7">
        <f t="shared" si="40"/>
        <v>0</v>
      </c>
      <c r="O320" s="7">
        <f t="shared" si="41"/>
        <v>0</v>
      </c>
    </row>
    <row r="321" spans="3:15" x14ac:dyDescent="0.2">
      <c r="C321">
        <v>302</v>
      </c>
      <c r="D321" s="7">
        <v>2815.863613106028</v>
      </c>
      <c r="E321" s="7">
        <f t="shared" si="34"/>
        <v>84.206447760347729</v>
      </c>
      <c r="F321" s="7">
        <f t="shared" si="35"/>
        <v>227.38802121373774</v>
      </c>
      <c r="G321">
        <v>0</v>
      </c>
      <c r="H321" s="7">
        <f t="shared" si="36"/>
        <v>0</v>
      </c>
      <c r="I321" s="7">
        <f t="shared" si="37"/>
        <v>0</v>
      </c>
      <c r="J321" s="7">
        <v>1978.3885535562363</v>
      </c>
      <c r="K321" s="7">
        <f t="shared" si="38"/>
        <v>31.553246468201536</v>
      </c>
      <c r="L321" s="7">
        <f t="shared" si="39"/>
        <v>118.7667852767662</v>
      </c>
      <c r="M321" s="7">
        <v>0</v>
      </c>
      <c r="N321" s="7">
        <f t="shared" si="40"/>
        <v>0</v>
      </c>
      <c r="O321" s="7">
        <f t="shared" si="41"/>
        <v>0</v>
      </c>
    </row>
    <row r="322" spans="3:15" x14ac:dyDescent="0.2">
      <c r="C322">
        <v>303</v>
      </c>
      <c r="D322" s="7">
        <v>2815.8106779802524</v>
      </c>
      <c r="E322" s="7">
        <f t="shared" si="34"/>
        <v>84.204864772136744</v>
      </c>
      <c r="F322" s="7">
        <f t="shared" si="35"/>
        <v>227.38374657009138</v>
      </c>
      <c r="G322">
        <v>0</v>
      </c>
      <c r="H322" s="7">
        <f t="shared" si="36"/>
        <v>0</v>
      </c>
      <c r="I322" s="7">
        <f t="shared" si="37"/>
        <v>0</v>
      </c>
      <c r="J322" s="7">
        <v>2467.6508934434692</v>
      </c>
      <c r="K322" s="7">
        <f t="shared" si="38"/>
        <v>39.356473579640657</v>
      </c>
      <c r="L322" s="7">
        <f t="shared" si="39"/>
        <v>148.13822253106258</v>
      </c>
      <c r="M322" s="7">
        <v>0</v>
      </c>
      <c r="N322" s="7">
        <f t="shared" si="40"/>
        <v>0</v>
      </c>
      <c r="O322" s="7">
        <f t="shared" si="41"/>
        <v>0</v>
      </c>
    </row>
    <row r="323" spans="3:15" x14ac:dyDescent="0.2">
      <c r="C323">
        <v>304</v>
      </c>
      <c r="D323" s="7">
        <v>2815.7687214869138</v>
      </c>
      <c r="E323" s="7">
        <f t="shared" si="34"/>
        <v>84.203610092312019</v>
      </c>
      <c r="F323" s="7">
        <f t="shared" si="35"/>
        <v>227.3803584784406</v>
      </c>
      <c r="G323">
        <v>0</v>
      </c>
      <c r="H323" s="7">
        <f t="shared" si="36"/>
        <v>0</v>
      </c>
      <c r="I323" s="7">
        <f t="shared" si="37"/>
        <v>0</v>
      </c>
      <c r="J323" s="7">
        <v>2663.3766118413887</v>
      </c>
      <c r="K323" s="7">
        <f t="shared" si="38"/>
        <v>42.478095882637781</v>
      </c>
      <c r="L323" s="7">
        <f t="shared" si="39"/>
        <v>159.88804504611977</v>
      </c>
      <c r="M323" s="7">
        <v>680.37424334317575</v>
      </c>
      <c r="N323" s="7">
        <f t="shared" si="40"/>
        <v>54.256319245867289</v>
      </c>
      <c r="O323" s="7">
        <f t="shared" si="41"/>
        <v>20.537914935102574</v>
      </c>
    </row>
    <row r="324" spans="3:15" x14ac:dyDescent="0.2">
      <c r="C324">
        <v>305</v>
      </c>
      <c r="D324" s="7">
        <v>2815.7376935556267</v>
      </c>
      <c r="E324" s="7">
        <f t="shared" si="34"/>
        <v>84.202682223553438</v>
      </c>
      <c r="F324" s="7">
        <f t="shared" si="35"/>
        <v>227.37785289547668</v>
      </c>
      <c r="G324">
        <v>0</v>
      </c>
      <c r="H324" s="7">
        <f t="shared" si="36"/>
        <v>0</v>
      </c>
      <c r="I324" s="7">
        <f t="shared" si="37"/>
        <v>0</v>
      </c>
      <c r="J324" s="7">
        <v>2389.4503731062605</v>
      </c>
      <c r="K324" s="7">
        <f t="shared" si="38"/>
        <v>38.10925634938215</v>
      </c>
      <c r="L324" s="7">
        <f t="shared" si="39"/>
        <v>143.44368242632649</v>
      </c>
      <c r="M324" s="7">
        <v>680.37424334317575</v>
      </c>
      <c r="N324" s="7">
        <f t="shared" si="40"/>
        <v>54.256319245867289</v>
      </c>
      <c r="O324" s="7">
        <f t="shared" si="41"/>
        <v>20.537914935102574</v>
      </c>
    </row>
    <row r="325" spans="3:15" x14ac:dyDescent="0.2">
      <c r="C325">
        <v>306</v>
      </c>
      <c r="D325" s="7">
        <v>2815.7175442764837</v>
      </c>
      <c r="E325" s="7">
        <f t="shared" si="34"/>
        <v>84.202079673339824</v>
      </c>
      <c r="F325" s="7">
        <f t="shared" si="35"/>
        <v>227.37622579084993</v>
      </c>
      <c r="G325">
        <v>0</v>
      </c>
      <c r="H325" s="7">
        <f t="shared" si="36"/>
        <v>0</v>
      </c>
      <c r="I325" s="7">
        <f t="shared" si="37"/>
        <v>0</v>
      </c>
      <c r="J325" s="7">
        <v>2115.5132557189891</v>
      </c>
      <c r="K325" s="7">
        <f t="shared" si="38"/>
        <v>33.740243312902543</v>
      </c>
      <c r="L325" s="7">
        <f t="shared" si="39"/>
        <v>126.99866673838793</v>
      </c>
      <c r="M325" s="7">
        <v>680.37424334317575</v>
      </c>
      <c r="N325" s="7">
        <f t="shared" si="40"/>
        <v>54.256319245867289</v>
      </c>
      <c r="O325" s="7">
        <f t="shared" si="41"/>
        <v>20.537914935102574</v>
      </c>
    </row>
    <row r="326" spans="3:15" x14ac:dyDescent="0.2">
      <c r="C326">
        <v>307</v>
      </c>
      <c r="D326" s="7">
        <v>2815.7082238996609</v>
      </c>
      <c r="E326" s="7">
        <f t="shared" si="34"/>
        <v>84.201800953937237</v>
      </c>
      <c r="F326" s="7">
        <f t="shared" si="35"/>
        <v>227.37547314713774</v>
      </c>
      <c r="G326">
        <v>0</v>
      </c>
      <c r="H326" s="7">
        <f t="shared" si="36"/>
        <v>0</v>
      </c>
      <c r="I326" s="7">
        <f t="shared" si="37"/>
        <v>0</v>
      </c>
      <c r="J326" s="7">
        <v>1978.5439427626034</v>
      </c>
      <c r="K326" s="7">
        <f t="shared" si="38"/>
        <v>31.555724764953805</v>
      </c>
      <c r="L326" s="7">
        <f t="shared" si="39"/>
        <v>118.77611361445484</v>
      </c>
      <c r="M326" s="7">
        <v>680.37424334317575</v>
      </c>
      <c r="N326" s="7">
        <f t="shared" si="40"/>
        <v>54.256319245867289</v>
      </c>
      <c r="O326" s="7">
        <f t="shared" si="41"/>
        <v>20.537914935102574</v>
      </c>
    </row>
    <row r="327" spans="3:15" x14ac:dyDescent="0.2">
      <c r="C327">
        <v>308</v>
      </c>
      <c r="D327" s="7">
        <v>2815.7096828349786</v>
      </c>
      <c r="E327" s="7">
        <f t="shared" si="34"/>
        <v>84.201844582385732</v>
      </c>
      <c r="F327" s="7">
        <f t="shared" si="35"/>
        <v>227.3755909598093</v>
      </c>
      <c r="G327">
        <v>0</v>
      </c>
      <c r="H327" s="7">
        <f t="shared" si="36"/>
        <v>0</v>
      </c>
      <c r="I327" s="7">
        <f t="shared" si="37"/>
        <v>0</v>
      </c>
      <c r="J327" s="7">
        <v>1567.6065838276627</v>
      </c>
      <c r="K327" s="7">
        <f t="shared" si="38"/>
        <v>25.001699901557622</v>
      </c>
      <c r="L327" s="7">
        <f t="shared" si="39"/>
        <v>94.106688094833245</v>
      </c>
      <c r="M327" s="7">
        <v>680.37424334317575</v>
      </c>
      <c r="N327" s="7">
        <f t="shared" si="40"/>
        <v>54.256319245867289</v>
      </c>
      <c r="O327" s="7">
        <f t="shared" si="41"/>
        <v>20.537914935102574</v>
      </c>
    </row>
    <row r="328" spans="3:15" x14ac:dyDescent="0.2">
      <c r="C328">
        <v>309</v>
      </c>
      <c r="D328" s="7">
        <v>2815.7218716514981</v>
      </c>
      <c r="E328" s="7">
        <f t="shared" si="34"/>
        <v>84.202209080487393</v>
      </c>
      <c r="F328" s="7">
        <f t="shared" si="35"/>
        <v>227.37657523719275</v>
      </c>
      <c r="G328">
        <v>0</v>
      </c>
      <c r="H328" s="7">
        <f t="shared" si="36"/>
        <v>0</v>
      </c>
      <c r="I328" s="7">
        <f t="shared" si="37"/>
        <v>0</v>
      </c>
      <c r="J328" s="7">
        <v>1293.637128344727</v>
      </c>
      <c r="K328" s="7">
        <f t="shared" si="38"/>
        <v>20.632171105976507</v>
      </c>
      <c r="L328" s="7">
        <f t="shared" si="39"/>
        <v>77.659731083661129</v>
      </c>
      <c r="M328" s="7">
        <v>680.37424334317575</v>
      </c>
      <c r="N328" s="7">
        <f t="shared" si="40"/>
        <v>54.256319245867289</v>
      </c>
      <c r="O328" s="7">
        <f t="shared" si="41"/>
        <v>20.537914935102574</v>
      </c>
    </row>
    <row r="329" spans="3:15" x14ac:dyDescent="0.2">
      <c r="C329">
        <v>310</v>
      </c>
      <c r="D329" s="7">
        <v>2815.7447410770919</v>
      </c>
      <c r="E329" s="7">
        <f t="shared" si="34"/>
        <v>84.202892974793428</v>
      </c>
      <c r="F329" s="7">
        <f t="shared" si="35"/>
        <v>227.37842200044076</v>
      </c>
      <c r="G329">
        <v>0</v>
      </c>
      <c r="H329" s="7">
        <f t="shared" si="36"/>
        <v>0</v>
      </c>
      <c r="I329" s="7">
        <f t="shared" si="37"/>
        <v>0</v>
      </c>
      <c r="J329" s="7">
        <v>1019.6569922527196</v>
      </c>
      <c r="K329" s="7">
        <f t="shared" si="38"/>
        <v>16.262471965753104</v>
      </c>
      <c r="L329" s="7">
        <f t="shared" si="39"/>
        <v>61.212132893281854</v>
      </c>
      <c r="M329" s="7">
        <v>680.37424334317575</v>
      </c>
      <c r="N329" s="7">
        <f t="shared" si="40"/>
        <v>54.256319245867289</v>
      </c>
      <c r="O329" s="7">
        <f t="shared" si="41"/>
        <v>20.537914935102574</v>
      </c>
    </row>
    <row r="330" spans="3:15" x14ac:dyDescent="0.2">
      <c r="C330">
        <v>311</v>
      </c>
      <c r="D330" s="7">
        <v>2815.7782419980317</v>
      </c>
      <c r="E330" s="7">
        <f t="shared" si="34"/>
        <v>84.203894796591868</v>
      </c>
      <c r="F330" s="7">
        <f t="shared" si="35"/>
        <v>227.38112728349705</v>
      </c>
      <c r="G330">
        <v>0</v>
      </c>
      <c r="H330" s="7">
        <f t="shared" si="36"/>
        <v>0</v>
      </c>
      <c r="I330" s="7">
        <f t="shared" si="37"/>
        <v>0</v>
      </c>
      <c r="J330" s="7">
        <v>266.24100799913867</v>
      </c>
      <c r="K330" s="7">
        <f t="shared" si="38"/>
        <v>4.2462680701617019</v>
      </c>
      <c r="L330" s="7">
        <f t="shared" si="39"/>
        <v>15.983002212616002</v>
      </c>
      <c r="M330" s="7">
        <v>0</v>
      </c>
      <c r="N330" s="7">
        <f t="shared" si="40"/>
        <v>0</v>
      </c>
      <c r="O330" s="7">
        <f t="shared" si="41"/>
        <v>0</v>
      </c>
    </row>
    <row r="331" spans="3:15" x14ac:dyDescent="0.2">
      <c r="C331">
        <v>312</v>
      </c>
      <c r="D331" s="7">
        <v>2815.822325458576</v>
      </c>
      <c r="E331" s="7">
        <f t="shared" si="34"/>
        <v>84.205213081895224</v>
      </c>
      <c r="F331" s="7">
        <f t="shared" si="35"/>
        <v>227.38468713306318</v>
      </c>
      <c r="G331">
        <v>0</v>
      </c>
      <c r="H331" s="7">
        <f t="shared" si="36"/>
        <v>0</v>
      </c>
      <c r="I331" s="7">
        <f t="shared" si="37"/>
        <v>0</v>
      </c>
      <c r="J331" s="7">
        <v>94.973632872084636</v>
      </c>
      <c r="K331" s="7">
        <f t="shared" si="38"/>
        <v>1.5147309867956082</v>
      </c>
      <c r="L331" s="7">
        <f t="shared" si="39"/>
        <v>5.7014649837098696</v>
      </c>
      <c r="M331" s="7">
        <v>0</v>
      </c>
      <c r="N331" s="7">
        <f t="shared" si="40"/>
        <v>0</v>
      </c>
      <c r="O331" s="7">
        <f t="shared" si="41"/>
        <v>0</v>
      </c>
    </row>
    <row r="332" spans="3:15" x14ac:dyDescent="0.2">
      <c r="C332">
        <v>313</v>
      </c>
      <c r="D332" s="7">
        <v>2739.5726666641513</v>
      </c>
      <c r="E332" s="7">
        <f t="shared" si="34"/>
        <v>81.925019936128933</v>
      </c>
      <c r="F332" s="7">
        <f t="shared" si="35"/>
        <v>221.22733670217281</v>
      </c>
      <c r="G332">
        <v>0</v>
      </c>
      <c r="H332" s="7">
        <f t="shared" si="36"/>
        <v>0</v>
      </c>
      <c r="I332" s="7">
        <f t="shared" si="37"/>
        <v>0</v>
      </c>
      <c r="J332" s="7">
        <v>0</v>
      </c>
      <c r="K332" s="7">
        <f t="shared" si="38"/>
        <v>0</v>
      </c>
      <c r="L332" s="7">
        <f t="shared" si="39"/>
        <v>0</v>
      </c>
      <c r="M332" s="7">
        <v>0</v>
      </c>
      <c r="N332" s="7">
        <f t="shared" si="40"/>
        <v>0</v>
      </c>
      <c r="O332" s="7">
        <f t="shared" si="41"/>
        <v>0</v>
      </c>
    </row>
    <row r="333" spans="3:15" x14ac:dyDescent="0.2">
      <c r="C333">
        <v>314</v>
      </c>
      <c r="D333" s="7">
        <v>2739.5726666641513</v>
      </c>
      <c r="E333" s="7">
        <f t="shared" si="34"/>
        <v>81.925019936128933</v>
      </c>
      <c r="F333" s="7">
        <f t="shared" si="35"/>
        <v>221.22733670217281</v>
      </c>
      <c r="G333">
        <v>0</v>
      </c>
      <c r="H333" s="7">
        <f t="shared" si="36"/>
        <v>0</v>
      </c>
      <c r="I333" s="7">
        <f t="shared" si="37"/>
        <v>0</v>
      </c>
      <c r="J333" s="7">
        <v>0</v>
      </c>
      <c r="K333" s="7">
        <f t="shared" si="38"/>
        <v>0</v>
      </c>
      <c r="L333" s="7">
        <f t="shared" si="39"/>
        <v>0</v>
      </c>
      <c r="M333" s="7">
        <v>0</v>
      </c>
      <c r="N333" s="7">
        <f t="shared" si="40"/>
        <v>0</v>
      </c>
      <c r="O333" s="7">
        <f t="shared" si="41"/>
        <v>0</v>
      </c>
    </row>
    <row r="334" spans="3:15" x14ac:dyDescent="0.2">
      <c r="C334">
        <v>315</v>
      </c>
      <c r="D334" s="7">
        <v>2816.2648148492913</v>
      </c>
      <c r="E334" s="7">
        <f t="shared" si="34"/>
        <v>84.218445420134316</v>
      </c>
      <c r="F334" s="7">
        <f t="shared" si="35"/>
        <v>227.42041925676921</v>
      </c>
      <c r="G334">
        <v>0</v>
      </c>
      <c r="H334" s="7">
        <f t="shared" si="36"/>
        <v>0</v>
      </c>
      <c r="I334" s="7">
        <f t="shared" si="37"/>
        <v>0</v>
      </c>
      <c r="J334" s="7">
        <v>94.531143481370236</v>
      </c>
      <c r="K334" s="7">
        <f t="shared" si="38"/>
        <v>1.5076737397347726</v>
      </c>
      <c r="L334" s="7">
        <f t="shared" si="39"/>
        <v>5.6749014240088407</v>
      </c>
      <c r="M334" s="7">
        <v>0</v>
      </c>
      <c r="N334" s="7">
        <f t="shared" si="40"/>
        <v>0</v>
      </c>
      <c r="O334" s="7">
        <f t="shared" si="41"/>
        <v>0</v>
      </c>
    </row>
    <row r="335" spans="3:15" x14ac:dyDescent="0.2">
      <c r="C335">
        <v>316</v>
      </c>
      <c r="D335" s="7">
        <v>2816.3496054043453</v>
      </c>
      <c r="E335" s="7">
        <f t="shared" si="34"/>
        <v>84.220981022857217</v>
      </c>
      <c r="F335" s="7">
        <f t="shared" si="35"/>
        <v>227.42726630590954</v>
      </c>
      <c r="G335">
        <v>0</v>
      </c>
      <c r="H335" s="7">
        <f t="shared" si="36"/>
        <v>0</v>
      </c>
      <c r="I335" s="7">
        <f t="shared" si="37"/>
        <v>0</v>
      </c>
      <c r="J335" s="7">
        <v>265.66964459282508</v>
      </c>
      <c r="K335" s="7">
        <f t="shared" si="38"/>
        <v>4.2371554161535103</v>
      </c>
      <c r="L335" s="7">
        <f t="shared" si="39"/>
        <v>15.948702077351538</v>
      </c>
      <c r="M335" s="7">
        <v>0</v>
      </c>
      <c r="N335" s="7">
        <f t="shared" si="40"/>
        <v>0</v>
      </c>
      <c r="O335" s="7">
        <f t="shared" si="41"/>
        <v>0</v>
      </c>
    </row>
    <row r="336" spans="3:15" x14ac:dyDescent="0.2">
      <c r="C336">
        <v>317</v>
      </c>
      <c r="D336" s="7">
        <v>2816.4447397315098</v>
      </c>
      <c r="E336" s="7">
        <f t="shared" si="34"/>
        <v>84.223825948908797</v>
      </c>
      <c r="F336" s="7">
        <f t="shared" si="35"/>
        <v>227.43494864048807</v>
      </c>
      <c r="G336">
        <v>0</v>
      </c>
      <c r="H336" s="7">
        <f t="shared" si="36"/>
        <v>0</v>
      </c>
      <c r="I336" s="7">
        <f t="shared" si="37"/>
        <v>0</v>
      </c>
      <c r="J336" s="7">
        <v>436.79780193216993</v>
      </c>
      <c r="K336" s="7">
        <f t="shared" si="38"/>
        <v>6.9664721201303026</v>
      </c>
      <c r="L336" s="7">
        <f t="shared" si="39"/>
        <v>26.221881772511406</v>
      </c>
      <c r="M336" s="7">
        <v>0</v>
      </c>
      <c r="N336" s="7">
        <f t="shared" si="40"/>
        <v>0</v>
      </c>
      <c r="O336" s="7">
        <f t="shared" si="41"/>
        <v>0</v>
      </c>
    </row>
    <row r="337" spans="3:15" x14ac:dyDescent="0.2">
      <c r="C337">
        <v>318</v>
      </c>
      <c r="D337" s="7">
        <v>2816.5501698046596</v>
      </c>
      <c r="E337" s="7">
        <f t="shared" si="34"/>
        <v>84.226978762101069</v>
      </c>
      <c r="F337" s="7">
        <f t="shared" si="35"/>
        <v>227.44346238227527</v>
      </c>
      <c r="G337">
        <v>0</v>
      </c>
      <c r="H337" s="7">
        <f t="shared" si="36"/>
        <v>0</v>
      </c>
      <c r="I337" s="7">
        <f t="shared" si="37"/>
        <v>0</v>
      </c>
      <c r="J337" s="7">
        <v>607.91566352552945</v>
      </c>
      <c r="K337" s="7">
        <f t="shared" si="38"/>
        <v>9.6956246176320491</v>
      </c>
      <c r="L337" s="7">
        <f t="shared" si="39"/>
        <v>36.494443392596736</v>
      </c>
      <c r="M337" s="7">
        <v>0</v>
      </c>
      <c r="N337" s="7">
        <f t="shared" si="40"/>
        <v>0</v>
      </c>
      <c r="O337" s="7">
        <f t="shared" si="41"/>
        <v>0</v>
      </c>
    </row>
    <row r="338" spans="3:15" x14ac:dyDescent="0.2">
      <c r="C338">
        <v>319</v>
      </c>
      <c r="D338" s="7">
        <v>2816.6658477527949</v>
      </c>
      <c r="E338" s="7">
        <f t="shared" si="34"/>
        <v>84.230438030885026</v>
      </c>
      <c r="F338" s="7">
        <f t="shared" si="35"/>
        <v>227.4528036655683</v>
      </c>
      <c r="G338">
        <v>0</v>
      </c>
      <c r="H338" s="7">
        <f t="shared" si="36"/>
        <v>0</v>
      </c>
      <c r="I338" s="7">
        <f t="shared" si="37"/>
        <v>0</v>
      </c>
      <c r="J338" s="7">
        <v>779.02327724390352</v>
      </c>
      <c r="K338" s="7">
        <f t="shared" si="38"/>
        <v>12.424613672151573</v>
      </c>
      <c r="L338" s="7">
        <f t="shared" si="39"/>
        <v>46.766389811403357</v>
      </c>
      <c r="M338" s="7">
        <v>680.37424334317575</v>
      </c>
      <c r="N338" s="7">
        <f t="shared" si="40"/>
        <v>54.256319245867289</v>
      </c>
      <c r="O338" s="7">
        <f t="shared" si="41"/>
        <v>20.537914935102574</v>
      </c>
    </row>
    <row r="339" spans="3:15" x14ac:dyDescent="0.2">
      <c r="C339">
        <v>320</v>
      </c>
      <c r="D339" s="7">
        <v>2816.7917258596144</v>
      </c>
      <c r="E339" s="7">
        <f t="shared" si="34"/>
        <v>84.234202328337759</v>
      </c>
      <c r="F339" s="7">
        <f t="shared" si="35"/>
        <v>227.46296863715662</v>
      </c>
      <c r="G339">
        <v>0</v>
      </c>
      <c r="H339" s="7">
        <f t="shared" si="36"/>
        <v>0</v>
      </c>
      <c r="I339" s="7">
        <f t="shared" si="37"/>
        <v>0</v>
      </c>
      <c r="J339" s="7">
        <v>950.12069080359379</v>
      </c>
      <c r="K339" s="7">
        <f t="shared" si="38"/>
        <v>15.153440044714415</v>
      </c>
      <c r="L339" s="7">
        <f t="shared" si="39"/>
        <v>57.037723893440223</v>
      </c>
      <c r="M339" s="7">
        <v>680.37424334317575</v>
      </c>
      <c r="N339" s="7">
        <f t="shared" si="40"/>
        <v>54.256319245867289</v>
      </c>
      <c r="O339" s="7">
        <f t="shared" si="41"/>
        <v>20.537914935102574</v>
      </c>
    </row>
    <row r="340" spans="3:15" x14ac:dyDescent="0.2">
      <c r="C340">
        <v>321</v>
      </c>
      <c r="D340" s="7">
        <v>2816.9277565631305</v>
      </c>
      <c r="E340" s="7">
        <f t="shared" si="34"/>
        <v>84.238270232151038</v>
      </c>
      <c r="F340" s="7">
        <f t="shared" si="35"/>
        <v>227.47395345629093</v>
      </c>
      <c r="G340">
        <v>0</v>
      </c>
      <c r="H340" s="7">
        <f t="shared" si="36"/>
        <v>0</v>
      </c>
      <c r="I340" s="7">
        <f t="shared" si="37"/>
        <v>0</v>
      </c>
      <c r="J340" s="7">
        <v>1121.207951766587</v>
      </c>
      <c r="K340" s="7">
        <f t="shared" si="38"/>
        <v>17.882104493884963</v>
      </c>
      <c r="L340" s="7">
        <f t="shared" si="39"/>
        <v>67.308448493952483</v>
      </c>
      <c r="M340" s="7">
        <v>0</v>
      </c>
      <c r="N340" s="7">
        <f t="shared" si="40"/>
        <v>0</v>
      </c>
      <c r="O340" s="7">
        <f t="shared" si="41"/>
        <v>0</v>
      </c>
    </row>
    <row r="341" spans="3:15" x14ac:dyDescent="0.2">
      <c r="C341">
        <v>322</v>
      </c>
      <c r="D341" s="7">
        <v>2817.0738924552479</v>
      </c>
      <c r="E341" s="7">
        <f t="shared" ref="E341:E404" si="42">D341/($C$3*($D$8-$D$6))</f>
        <v>84.242640324618662</v>
      </c>
      <c r="F341" s="7">
        <f t="shared" ref="F341:F404" si="43">E341*$C$3*((($D$8)-($D$6))-$C$2*LN(($D$8)/($D$6)))</f>
        <v>227.4857542946491</v>
      </c>
      <c r="G341">
        <v>0</v>
      </c>
      <c r="H341" s="7">
        <f t="shared" ref="H341:H404" si="44">G341/($C$3*($D$6-$D$9))</f>
        <v>0</v>
      </c>
      <c r="I341" s="7">
        <f t="shared" ref="I341:I404" si="45">ABS(H341*$C$3*(($D$9-$D$6)-$C$2*(LN($D$9/$D$6))))</f>
        <v>0</v>
      </c>
      <c r="J341" s="7">
        <v>1292.285107540979</v>
      </c>
      <c r="K341" s="7">
        <f t="shared" ref="K341:K404" si="46">J341/($C$3*($D$10-$D$7))</f>
        <v>20.61060777577319</v>
      </c>
      <c r="L341" s="7">
        <f t="shared" ref="L341:L404" si="47">K341*$C$3*(($D$10-$D$7)-$C$2*LN($D$10/$D$7))</f>
        <v>77.578566458946824</v>
      </c>
      <c r="M341" s="7">
        <v>0</v>
      </c>
      <c r="N341" s="7">
        <f t="shared" ref="N341:N404" si="48">M341/($C$3*($D$7-$D$11))</f>
        <v>0</v>
      </c>
      <c r="O341" s="7">
        <f t="shared" ref="O341:O404" si="49">ABS(N341*$C$3*(($D$11-$D$7)-$C$2*LN($D$11/$D$7)))</f>
        <v>0</v>
      </c>
    </row>
    <row r="342" spans="3:15" x14ac:dyDescent="0.2">
      <c r="C342">
        <v>323</v>
      </c>
      <c r="D342" s="7">
        <v>2817.2300862813568</v>
      </c>
      <c r="E342" s="7">
        <f t="shared" si="42"/>
        <v>84.247311192624309</v>
      </c>
      <c r="F342" s="7">
        <f t="shared" si="43"/>
        <v>227.49836733630332</v>
      </c>
      <c r="G342">
        <v>0</v>
      </c>
      <c r="H342" s="7">
        <f t="shared" si="44"/>
        <v>0</v>
      </c>
      <c r="I342" s="7">
        <f t="shared" si="45"/>
        <v>0</v>
      </c>
      <c r="J342" s="7">
        <v>1463.3522053813799</v>
      </c>
      <c r="K342" s="7">
        <f t="shared" si="46"/>
        <v>23.338950644041148</v>
      </c>
      <c r="L342" s="7">
        <f t="shared" si="47"/>
        <v>87.848080625215957</v>
      </c>
      <c r="M342" s="7">
        <v>0</v>
      </c>
      <c r="N342" s="7">
        <f t="shared" si="48"/>
        <v>0</v>
      </c>
      <c r="O342" s="7">
        <f t="shared" si="49"/>
        <v>0</v>
      </c>
    </row>
    <row r="343" spans="3:15" x14ac:dyDescent="0.2">
      <c r="C343">
        <v>324</v>
      </c>
      <c r="D343" s="7">
        <v>2817.3962909399415</v>
      </c>
      <c r="E343" s="7">
        <f t="shared" si="42"/>
        <v>84.252281427629839</v>
      </c>
      <c r="F343" s="7">
        <f t="shared" si="43"/>
        <v>227.51178877768854</v>
      </c>
      <c r="G343">
        <v>0</v>
      </c>
      <c r="H343" s="7">
        <f t="shared" si="44"/>
        <v>0</v>
      </c>
      <c r="I343" s="7">
        <f t="shared" si="45"/>
        <v>0</v>
      </c>
      <c r="J343" s="7">
        <v>1634.4092923893058</v>
      </c>
      <c r="K343" s="7">
        <f t="shared" si="46"/>
        <v>26.067133849909187</v>
      </c>
      <c r="L343" s="7">
        <f t="shared" si="47"/>
        <v>98.116993820361969</v>
      </c>
      <c r="M343" s="7">
        <v>0</v>
      </c>
      <c r="N343" s="7">
        <f t="shared" si="48"/>
        <v>0</v>
      </c>
      <c r="O343" s="7">
        <f t="shared" si="49"/>
        <v>0</v>
      </c>
    </row>
    <row r="344" spans="3:15" x14ac:dyDescent="0.2">
      <c r="C344">
        <v>325</v>
      </c>
      <c r="D344" s="7">
        <v>2817.5724594821577</v>
      </c>
      <c r="E344" s="7">
        <f t="shared" si="42"/>
        <v>84.25754962566262</v>
      </c>
      <c r="F344" s="7">
        <f t="shared" si="43"/>
        <v>227.52601482756828</v>
      </c>
      <c r="G344">
        <v>0</v>
      </c>
      <c r="H344" s="7">
        <f t="shared" si="44"/>
        <v>0</v>
      </c>
      <c r="I344" s="7">
        <f t="shared" si="45"/>
        <v>0</v>
      </c>
      <c r="J344" s="7">
        <v>1805.4564155135986</v>
      </c>
      <c r="K344" s="7">
        <f t="shared" si="46"/>
        <v>28.795158142162659</v>
      </c>
      <c r="L344" s="7">
        <f t="shared" si="47"/>
        <v>108.3853088628216</v>
      </c>
      <c r="M344" s="7">
        <v>0</v>
      </c>
      <c r="N344" s="7">
        <f t="shared" si="48"/>
        <v>0</v>
      </c>
      <c r="O344" s="7">
        <f t="shared" si="49"/>
        <v>0</v>
      </c>
    </row>
    <row r="345" spans="3:15" x14ac:dyDescent="0.2">
      <c r="C345">
        <v>326</v>
      </c>
      <c r="D345" s="7">
        <v>2817.7585451114446</v>
      </c>
      <c r="E345" s="7">
        <f t="shared" si="42"/>
        <v>84.263114387303972</v>
      </c>
      <c r="F345" s="7">
        <f t="shared" si="43"/>
        <v>227.54104170700342</v>
      </c>
      <c r="G345">
        <v>0</v>
      </c>
      <c r="H345" s="7">
        <f t="shared" si="44"/>
        <v>0</v>
      </c>
      <c r="I345" s="7">
        <f t="shared" si="45"/>
        <v>0</v>
      </c>
      <c r="J345" s="7">
        <v>1976.4936215508214</v>
      </c>
      <c r="K345" s="7">
        <f t="shared" si="46"/>
        <v>31.523024267158238</v>
      </c>
      <c r="L345" s="7">
        <f t="shared" si="47"/>
        <v>118.65302856189003</v>
      </c>
      <c r="M345" s="7">
        <v>0</v>
      </c>
      <c r="N345" s="7">
        <f t="shared" si="48"/>
        <v>0</v>
      </c>
      <c r="O345" s="7">
        <f t="shared" si="49"/>
        <v>0</v>
      </c>
    </row>
    <row r="346" spans="3:15" x14ac:dyDescent="0.2">
      <c r="C346">
        <v>327</v>
      </c>
      <c r="D346" s="7">
        <v>2817.9545011831187</v>
      </c>
      <c r="E346" s="7">
        <f t="shared" si="42"/>
        <v>84.268974317677007</v>
      </c>
      <c r="F346" s="7">
        <f t="shared" si="43"/>
        <v>227.55686564931915</v>
      </c>
      <c r="G346">
        <v>0</v>
      </c>
      <c r="H346" s="7">
        <f t="shared" si="44"/>
        <v>0</v>
      </c>
      <c r="I346" s="7">
        <f t="shared" si="45"/>
        <v>0</v>
      </c>
      <c r="J346" s="7">
        <v>1805.0743738126366</v>
      </c>
      <c r="K346" s="7">
        <f t="shared" si="46"/>
        <v>28.789064973088305</v>
      </c>
      <c r="L346" s="7">
        <f t="shared" si="47"/>
        <v>108.36237410383133</v>
      </c>
      <c r="M346" s="7">
        <v>0</v>
      </c>
      <c r="N346" s="7">
        <f t="shared" si="48"/>
        <v>0</v>
      </c>
      <c r="O346" s="7">
        <f t="shared" si="49"/>
        <v>0</v>
      </c>
    </row>
    <row r="347" spans="3:15" x14ac:dyDescent="0.2">
      <c r="C347">
        <v>328</v>
      </c>
      <c r="D347" s="7">
        <v>2818.160281203965</v>
      </c>
      <c r="E347" s="7">
        <f t="shared" si="42"/>
        <v>84.275128026434373</v>
      </c>
      <c r="F347" s="7">
        <f t="shared" si="43"/>
        <v>227.57348290007226</v>
      </c>
      <c r="G347">
        <v>0</v>
      </c>
      <c r="H347" s="7">
        <f t="shared" si="44"/>
        <v>0</v>
      </c>
      <c r="I347" s="7">
        <f t="shared" si="45"/>
        <v>0</v>
      </c>
      <c r="J347" s="7">
        <v>1976.0918854582992</v>
      </c>
      <c r="K347" s="7">
        <f t="shared" si="46"/>
        <v>31.516616992955331</v>
      </c>
      <c r="L347" s="7">
        <f t="shared" si="47"/>
        <v>118.62891150755669</v>
      </c>
      <c r="M347" s="7">
        <v>680.37424334317575</v>
      </c>
      <c r="N347" s="7">
        <f t="shared" si="48"/>
        <v>54.256319245867289</v>
      </c>
      <c r="O347" s="7">
        <f t="shared" si="49"/>
        <v>20.537914935102574</v>
      </c>
    </row>
    <row r="348" spans="3:15" x14ac:dyDescent="0.2">
      <c r="C348">
        <v>329</v>
      </c>
      <c r="D348" s="7">
        <v>2818.3758388318411</v>
      </c>
      <c r="E348" s="7">
        <f t="shared" si="42"/>
        <v>84.281574127746453</v>
      </c>
      <c r="F348" s="7">
        <f t="shared" si="43"/>
        <v>227.590889717019</v>
      </c>
      <c r="G348">
        <v>0</v>
      </c>
      <c r="H348" s="7">
        <f t="shared" si="44"/>
        <v>0</v>
      </c>
      <c r="I348" s="7">
        <f t="shared" si="45"/>
        <v>0</v>
      </c>
      <c r="J348" s="7">
        <v>2660.7694944964614</v>
      </c>
      <c r="K348" s="7">
        <f t="shared" si="46"/>
        <v>42.436515063739421</v>
      </c>
      <c r="L348" s="7">
        <f t="shared" si="47"/>
        <v>159.73153436203819</v>
      </c>
      <c r="M348" s="7">
        <v>680.37424334317575</v>
      </c>
      <c r="N348" s="7">
        <f t="shared" si="48"/>
        <v>54.256319245867289</v>
      </c>
      <c r="O348" s="7">
        <f t="shared" si="49"/>
        <v>20.537914935102574</v>
      </c>
    </row>
    <row r="349" spans="3:15" x14ac:dyDescent="0.2">
      <c r="C349">
        <v>330</v>
      </c>
      <c r="D349" s="7">
        <v>2818.6011278752803</v>
      </c>
      <c r="E349" s="7">
        <f t="shared" si="42"/>
        <v>84.288311240289488</v>
      </c>
      <c r="F349" s="7">
        <f t="shared" si="43"/>
        <v>227.60908237008297</v>
      </c>
      <c r="G349">
        <v>0</v>
      </c>
      <c r="H349" s="7">
        <f t="shared" si="44"/>
        <v>0</v>
      </c>
      <c r="I349" s="7">
        <f t="shared" si="45"/>
        <v>0</v>
      </c>
      <c r="J349" s="7">
        <v>2489.3209137865115</v>
      </c>
      <c r="K349" s="7">
        <f t="shared" si="46"/>
        <v>39.702087939178817</v>
      </c>
      <c r="L349" s="7">
        <f t="shared" si="47"/>
        <v>149.4391189845924</v>
      </c>
      <c r="M349" s="7">
        <v>680.37424334317575</v>
      </c>
      <c r="N349" s="7">
        <f t="shared" si="48"/>
        <v>54.256319245867289</v>
      </c>
      <c r="O349" s="7">
        <f t="shared" si="49"/>
        <v>20.537914935102574</v>
      </c>
    </row>
    <row r="350" spans="3:15" x14ac:dyDescent="0.2">
      <c r="C350">
        <v>331</v>
      </c>
      <c r="D350" s="7">
        <v>2818.8361022930912</v>
      </c>
      <c r="E350" s="7">
        <f t="shared" si="42"/>
        <v>84.295337987233594</v>
      </c>
      <c r="F350" s="7">
        <f t="shared" si="43"/>
        <v>227.62805714132304</v>
      </c>
      <c r="G350">
        <v>0</v>
      </c>
      <c r="H350" s="7">
        <f t="shared" si="44"/>
        <v>0</v>
      </c>
      <c r="I350" s="7">
        <f t="shared" si="45"/>
        <v>0</v>
      </c>
      <c r="J350" s="7">
        <v>2831.5325227017202</v>
      </c>
      <c r="K350" s="7">
        <f t="shared" si="46"/>
        <v>45.160008336550561</v>
      </c>
      <c r="L350" s="7">
        <f t="shared" si="47"/>
        <v>169.98279459482129</v>
      </c>
      <c r="M350" s="7">
        <v>680.37424334317575</v>
      </c>
      <c r="N350" s="7">
        <f t="shared" si="48"/>
        <v>54.256319245867289</v>
      </c>
      <c r="O350" s="7">
        <f t="shared" si="49"/>
        <v>20.537914935102574</v>
      </c>
    </row>
    <row r="351" spans="3:15" x14ac:dyDescent="0.2">
      <c r="C351">
        <v>332</v>
      </c>
      <c r="D351" s="7">
        <v>2819.0807161939529</v>
      </c>
      <c r="E351" s="7">
        <f t="shared" si="42"/>
        <v>84.302652996230648</v>
      </c>
      <c r="F351" s="7">
        <f t="shared" si="43"/>
        <v>227.64781032490032</v>
      </c>
      <c r="G351">
        <v>0</v>
      </c>
      <c r="H351" s="7">
        <f t="shared" si="44"/>
        <v>0</v>
      </c>
      <c r="I351" s="7">
        <f t="shared" si="45"/>
        <v>0</v>
      </c>
      <c r="J351" s="7">
        <v>2454.5966671345386</v>
      </c>
      <c r="K351" s="7">
        <f t="shared" si="46"/>
        <v>39.148272203102692</v>
      </c>
      <c r="L351" s="7">
        <f t="shared" si="47"/>
        <v>147.35455013758855</v>
      </c>
      <c r="M351" s="7">
        <v>680.37424334317575</v>
      </c>
      <c r="N351" s="7">
        <f t="shared" si="48"/>
        <v>54.256319245867289</v>
      </c>
      <c r="O351" s="7">
        <f t="shared" si="49"/>
        <v>20.537914935102574</v>
      </c>
    </row>
    <row r="352" spans="3:15" x14ac:dyDescent="0.2">
      <c r="C352">
        <v>333</v>
      </c>
      <c r="D352" s="7">
        <v>2819.334923836032</v>
      </c>
      <c r="E352" s="7">
        <f t="shared" si="42"/>
        <v>84.310254899402878</v>
      </c>
      <c r="F352" s="7">
        <f t="shared" si="43"/>
        <v>227.66833822704757</v>
      </c>
      <c r="G352">
        <v>0</v>
      </c>
      <c r="H352" s="7">
        <f t="shared" si="44"/>
        <v>0</v>
      </c>
      <c r="I352" s="7">
        <f t="shared" si="45"/>
        <v>0</v>
      </c>
      <c r="J352" s="7">
        <v>2077.6512178261387</v>
      </c>
      <c r="K352" s="7">
        <f t="shared" si="46"/>
        <v>33.136383059428049</v>
      </c>
      <c r="L352" s="7">
        <f t="shared" si="47"/>
        <v>124.72572974808948</v>
      </c>
      <c r="M352" s="7">
        <v>680.37424334317575</v>
      </c>
      <c r="N352" s="7">
        <f t="shared" si="48"/>
        <v>54.256319245867289</v>
      </c>
      <c r="O352" s="7">
        <f t="shared" si="49"/>
        <v>20.537914935102574</v>
      </c>
    </row>
    <row r="353" spans="3:15" x14ac:dyDescent="0.2">
      <c r="C353">
        <v>334</v>
      </c>
      <c r="D353" s="7">
        <v>2819.598679626572</v>
      </c>
      <c r="E353" s="7">
        <f t="shared" si="42"/>
        <v>84.318142333330513</v>
      </c>
      <c r="F353" s="7">
        <f t="shared" si="43"/>
        <v>227.68963716603574</v>
      </c>
      <c r="G353">
        <v>0</v>
      </c>
      <c r="H353" s="7">
        <f t="shared" si="44"/>
        <v>0</v>
      </c>
      <c r="I353" s="7">
        <f t="shared" si="45"/>
        <v>0</v>
      </c>
      <c r="J353" s="7">
        <v>1700.6962203692769</v>
      </c>
      <c r="K353" s="7">
        <f t="shared" si="46"/>
        <v>27.124341632683844</v>
      </c>
      <c r="L353" s="7">
        <f t="shared" si="47"/>
        <v>102.09633616335228</v>
      </c>
      <c r="M353" s="7">
        <v>680.37424334317575</v>
      </c>
      <c r="N353" s="7">
        <f t="shared" si="48"/>
        <v>54.256319245867289</v>
      </c>
      <c r="O353" s="7">
        <f t="shared" si="49"/>
        <v>20.537914935102574</v>
      </c>
    </row>
    <row r="354" spans="3:15" x14ac:dyDescent="0.2">
      <c r="C354">
        <v>335</v>
      </c>
      <c r="D354" s="7">
        <v>2819.8719381215069</v>
      </c>
      <c r="E354" s="7">
        <f t="shared" si="42"/>
        <v>84.32631393904029</v>
      </c>
      <c r="F354" s="7">
        <f t="shared" si="43"/>
        <v>227.711703472143</v>
      </c>
      <c r="G354">
        <v>0</v>
      </c>
      <c r="H354" s="7">
        <f t="shared" si="44"/>
        <v>0</v>
      </c>
      <c r="I354" s="7">
        <f t="shared" si="45"/>
        <v>0</v>
      </c>
      <c r="J354" s="7">
        <v>1323.7317202080221</v>
      </c>
      <c r="K354" s="7">
        <f t="shared" si="46"/>
        <v>21.112148647655857</v>
      </c>
      <c r="L354" s="7">
        <f t="shared" si="47"/>
        <v>79.466372111478961</v>
      </c>
      <c r="M354" s="7">
        <v>0</v>
      </c>
      <c r="N354" s="7">
        <f t="shared" si="48"/>
        <v>0</v>
      </c>
      <c r="O354" s="7">
        <f t="shared" si="49"/>
        <v>0</v>
      </c>
    </row>
    <row r="355" spans="3:15" x14ac:dyDescent="0.2">
      <c r="C355">
        <v>336</v>
      </c>
      <c r="D355" s="7">
        <v>2820.154654025062</v>
      </c>
      <c r="E355" s="7">
        <f t="shared" si="42"/>
        <v>84.334768361993483</v>
      </c>
      <c r="F355" s="7">
        <f t="shared" si="43"/>
        <v>227.73453348762237</v>
      </c>
      <c r="G355">
        <v>0</v>
      </c>
      <c r="H355" s="7">
        <f t="shared" si="44"/>
        <v>0</v>
      </c>
      <c r="I355" s="7">
        <f t="shared" si="45"/>
        <v>0</v>
      </c>
      <c r="J355" s="7">
        <v>946.75776263814623</v>
      </c>
      <c r="K355" s="7">
        <f t="shared" si="46"/>
        <v>15.099804826764693</v>
      </c>
      <c r="L355" s="7">
        <f t="shared" si="47"/>
        <v>56.835840311669116</v>
      </c>
      <c r="M355" s="7">
        <v>0</v>
      </c>
      <c r="N355" s="7">
        <f t="shared" si="48"/>
        <v>0</v>
      </c>
      <c r="O355" s="7">
        <f t="shared" si="49"/>
        <v>0</v>
      </c>
    </row>
    <row r="356" spans="3:15" x14ac:dyDescent="0.2">
      <c r="C356">
        <v>337</v>
      </c>
      <c r="D356" s="7">
        <v>2820.4467821893654</v>
      </c>
      <c r="E356" s="7">
        <f t="shared" si="42"/>
        <v>84.343504252074325</v>
      </c>
      <c r="F356" s="7">
        <f t="shared" si="43"/>
        <v>227.75812356667043</v>
      </c>
      <c r="G356">
        <v>0</v>
      </c>
      <c r="H356" s="7">
        <f t="shared" si="44"/>
        <v>0</v>
      </c>
      <c r="I356" s="7">
        <f t="shared" si="45"/>
        <v>0</v>
      </c>
      <c r="J356" s="7">
        <v>90.349176141295175</v>
      </c>
      <c r="K356" s="7">
        <f t="shared" si="46"/>
        <v>1.4409756960334159</v>
      </c>
      <c r="L356" s="7">
        <f t="shared" si="47"/>
        <v>5.4238492147649371</v>
      </c>
      <c r="M356" s="7">
        <v>0</v>
      </c>
      <c r="N356" s="7">
        <f t="shared" si="48"/>
        <v>0</v>
      </c>
      <c r="O356" s="7">
        <f t="shared" si="49"/>
        <v>0</v>
      </c>
    </row>
    <row r="357" spans="3:15" x14ac:dyDescent="0.2">
      <c r="C357">
        <v>338</v>
      </c>
      <c r="D357" s="7">
        <v>2739.5726666641513</v>
      </c>
      <c r="E357" s="7">
        <f t="shared" si="42"/>
        <v>81.925019936128933</v>
      </c>
      <c r="F357" s="7">
        <f t="shared" si="43"/>
        <v>221.22733670217281</v>
      </c>
      <c r="G357">
        <v>0</v>
      </c>
      <c r="H357" s="7">
        <f t="shared" si="44"/>
        <v>0</v>
      </c>
      <c r="I357" s="7">
        <f t="shared" si="45"/>
        <v>0</v>
      </c>
      <c r="J357" s="7">
        <v>0</v>
      </c>
      <c r="K357" s="7">
        <f t="shared" si="46"/>
        <v>0</v>
      </c>
      <c r="L357" s="7">
        <f t="shared" si="47"/>
        <v>0</v>
      </c>
      <c r="M357" s="7">
        <v>0</v>
      </c>
      <c r="N357" s="7">
        <f t="shared" si="48"/>
        <v>0</v>
      </c>
      <c r="O357" s="7">
        <f t="shared" si="49"/>
        <v>0</v>
      </c>
    </row>
    <row r="358" spans="3:15" x14ac:dyDescent="0.2">
      <c r="C358">
        <v>339</v>
      </c>
      <c r="D358" s="7">
        <v>2821.1452934828731</v>
      </c>
      <c r="E358" s="7">
        <f t="shared" si="42"/>
        <v>84.364392747693572</v>
      </c>
      <c r="F358" s="7">
        <f t="shared" si="43"/>
        <v>227.8145300986086</v>
      </c>
      <c r="G358">
        <v>0</v>
      </c>
      <c r="H358" s="7">
        <f t="shared" si="44"/>
        <v>0</v>
      </c>
      <c r="I358" s="7">
        <f t="shared" si="45"/>
        <v>0</v>
      </c>
      <c r="J358" s="7">
        <v>89.650664847787539</v>
      </c>
      <c r="K358" s="7">
        <f t="shared" si="46"/>
        <v>1.429835165036484</v>
      </c>
      <c r="L358" s="7">
        <f t="shared" si="47"/>
        <v>5.3819161270202196</v>
      </c>
      <c r="M358" s="7">
        <v>0</v>
      </c>
      <c r="N358" s="7">
        <f t="shared" si="48"/>
        <v>0</v>
      </c>
      <c r="O358" s="7">
        <f t="shared" si="49"/>
        <v>0</v>
      </c>
    </row>
    <row r="359" spans="3:15" x14ac:dyDescent="0.2">
      <c r="C359">
        <v>340</v>
      </c>
      <c r="D359" s="7">
        <v>2821.4649929908819</v>
      </c>
      <c r="E359" s="7">
        <f t="shared" si="42"/>
        <v>84.373953139679486</v>
      </c>
      <c r="F359" s="7">
        <f t="shared" si="43"/>
        <v>227.84034663253829</v>
      </c>
      <c r="G359">
        <v>0</v>
      </c>
      <c r="H359" s="7">
        <f t="shared" si="44"/>
        <v>0</v>
      </c>
      <c r="I359" s="7">
        <f t="shared" si="45"/>
        <v>0</v>
      </c>
      <c r="J359" s="7">
        <v>260.55425700628848</v>
      </c>
      <c r="K359" s="7">
        <f t="shared" si="46"/>
        <v>4.1555702871816349</v>
      </c>
      <c r="L359" s="7">
        <f t="shared" si="47"/>
        <v>15.641614706670206</v>
      </c>
      <c r="M359" s="7">
        <v>0</v>
      </c>
      <c r="N359" s="7">
        <f t="shared" si="48"/>
        <v>0</v>
      </c>
      <c r="O359" s="7">
        <f t="shared" si="49"/>
        <v>0</v>
      </c>
    </row>
    <row r="360" spans="3:15" x14ac:dyDescent="0.2">
      <c r="C360">
        <v>341</v>
      </c>
      <c r="D360" s="7">
        <v>2821.7939269127055</v>
      </c>
      <c r="E360" s="7">
        <f t="shared" si="42"/>
        <v>84.383789680403879</v>
      </c>
      <c r="F360" s="7">
        <f t="shared" si="43"/>
        <v>227.8669088684525</v>
      </c>
      <c r="G360">
        <v>0</v>
      </c>
      <c r="H360" s="7">
        <f t="shared" si="44"/>
        <v>0</v>
      </c>
      <c r="I360" s="7">
        <f t="shared" si="45"/>
        <v>0</v>
      </c>
      <c r="J360" s="7">
        <v>688.28355225073801</v>
      </c>
      <c r="K360" s="7">
        <f t="shared" si="46"/>
        <v>10.97740912680603</v>
      </c>
      <c r="L360" s="7">
        <f t="shared" si="47"/>
        <v>41.319095135661208</v>
      </c>
      <c r="M360" s="7">
        <v>0</v>
      </c>
      <c r="N360" s="7">
        <f t="shared" si="48"/>
        <v>0</v>
      </c>
      <c r="O360" s="7">
        <f t="shared" si="49"/>
        <v>0</v>
      </c>
    </row>
    <row r="361" spans="3:15" x14ac:dyDescent="0.2">
      <c r="C361">
        <v>342</v>
      </c>
      <c r="D361" s="7">
        <v>2822.1320508307526</v>
      </c>
      <c r="E361" s="7">
        <f t="shared" si="42"/>
        <v>84.393901041589501</v>
      </c>
      <c r="F361" s="7">
        <f t="shared" si="43"/>
        <v>227.89421321951974</v>
      </c>
      <c r="G361">
        <v>0</v>
      </c>
      <c r="H361" s="7">
        <f t="shared" si="44"/>
        <v>0</v>
      </c>
      <c r="I361" s="7">
        <f t="shared" si="45"/>
        <v>0</v>
      </c>
      <c r="J361" s="7">
        <v>944.78036583245466</v>
      </c>
      <c r="K361" s="7">
        <f t="shared" si="46"/>
        <v>15.068267397646807</v>
      </c>
      <c r="L361" s="7">
        <f t="shared" si="47"/>
        <v>56.717133063082194</v>
      </c>
      <c r="M361" s="7">
        <v>0</v>
      </c>
      <c r="N361" s="7">
        <f t="shared" si="48"/>
        <v>0</v>
      </c>
      <c r="O361" s="7">
        <f t="shared" si="49"/>
        <v>0</v>
      </c>
    </row>
    <row r="362" spans="3:15" x14ac:dyDescent="0.2">
      <c r="C362">
        <v>343</v>
      </c>
      <c r="D362" s="7">
        <v>2822.4793204729895</v>
      </c>
      <c r="E362" s="7">
        <f t="shared" si="42"/>
        <v>84.404285899311887</v>
      </c>
      <c r="F362" s="7">
        <f t="shared" si="43"/>
        <v>227.92225611066274</v>
      </c>
      <c r="G362">
        <v>0</v>
      </c>
      <c r="H362" s="7">
        <f t="shared" si="44"/>
        <v>0</v>
      </c>
      <c r="I362" s="7">
        <f t="shared" si="45"/>
        <v>0</v>
      </c>
      <c r="J362" s="7">
        <v>1201.2680336899816</v>
      </c>
      <c r="K362" s="7">
        <f t="shared" si="46"/>
        <v>19.158979803667968</v>
      </c>
      <c r="L362" s="7">
        <f t="shared" si="47"/>
        <v>72.114621953632181</v>
      </c>
      <c r="M362" s="7">
        <v>680.37424334317575</v>
      </c>
      <c r="N362" s="7">
        <f t="shared" si="48"/>
        <v>54.256319245867289</v>
      </c>
      <c r="O362" s="7">
        <f t="shared" si="49"/>
        <v>20.537914935102574</v>
      </c>
    </row>
    <row r="363" spans="3:15" x14ac:dyDescent="0.2">
      <c r="C363">
        <v>344</v>
      </c>
      <c r="D363" s="7">
        <v>2822.8356917125675</v>
      </c>
      <c r="E363" s="7">
        <f t="shared" si="42"/>
        <v>84.414942933988272</v>
      </c>
      <c r="F363" s="7">
        <f t="shared" si="43"/>
        <v>227.95103397852822</v>
      </c>
      <c r="G363">
        <v>0</v>
      </c>
      <c r="H363" s="7">
        <f t="shared" si="44"/>
        <v>0</v>
      </c>
      <c r="I363" s="7">
        <f t="shared" si="45"/>
        <v>0</v>
      </c>
      <c r="J363" s="7">
        <v>1457.7465999501674</v>
      </c>
      <c r="K363" s="7">
        <f t="shared" si="46"/>
        <v>23.24954704864701</v>
      </c>
      <c r="L363" s="7">
        <f t="shared" si="47"/>
        <v>87.511564456337823</v>
      </c>
      <c r="M363" s="7">
        <v>680.37424334317575</v>
      </c>
      <c r="N363" s="7">
        <f t="shared" si="48"/>
        <v>54.256319245867289</v>
      </c>
      <c r="O363" s="7">
        <f t="shared" si="49"/>
        <v>20.537914935102574</v>
      </c>
    </row>
    <row r="364" spans="3:15" x14ac:dyDescent="0.2">
      <c r="C364">
        <v>345</v>
      </c>
      <c r="D364" s="7">
        <v>2823.2011205674157</v>
      </c>
      <c r="E364" s="7">
        <f t="shared" si="42"/>
        <v>84.425870830365312</v>
      </c>
      <c r="F364" s="7">
        <f t="shared" si="43"/>
        <v>227.98054327145405</v>
      </c>
      <c r="G364">
        <v>0</v>
      </c>
      <c r="H364" s="7">
        <f t="shared" si="44"/>
        <v>0</v>
      </c>
      <c r="I364" s="7">
        <f t="shared" si="45"/>
        <v>0</v>
      </c>
      <c r="J364" s="7">
        <v>1714.2161085950834</v>
      </c>
      <c r="K364" s="7">
        <f t="shared" si="46"/>
        <v>27.339969834052368</v>
      </c>
      <c r="L364" s="7">
        <f t="shared" si="47"/>
        <v>102.90796321153444</v>
      </c>
      <c r="M364" s="7">
        <v>0</v>
      </c>
      <c r="N364" s="7">
        <f t="shared" si="48"/>
        <v>0</v>
      </c>
      <c r="O364" s="7">
        <f t="shared" si="49"/>
        <v>0</v>
      </c>
    </row>
    <row r="365" spans="3:15" x14ac:dyDescent="0.2">
      <c r="C365">
        <v>346</v>
      </c>
      <c r="D365" s="7">
        <v>2823.5755631998773</v>
      </c>
      <c r="E365" s="7">
        <f t="shared" si="42"/>
        <v>84.437068277508303</v>
      </c>
      <c r="F365" s="7">
        <f t="shared" si="43"/>
        <v>228.01078044943995</v>
      </c>
      <c r="G365">
        <v>0</v>
      </c>
      <c r="H365" s="7">
        <f t="shared" si="44"/>
        <v>0</v>
      </c>
      <c r="I365" s="7">
        <f t="shared" si="45"/>
        <v>0</v>
      </c>
      <c r="J365" s="7">
        <v>1970.6766034623861</v>
      </c>
      <c r="K365" s="7">
        <f t="shared" si="46"/>
        <v>31.430248859049222</v>
      </c>
      <c r="L365" s="7">
        <f t="shared" si="47"/>
        <v>118.30382085088785</v>
      </c>
      <c r="M365" s="7">
        <v>0</v>
      </c>
      <c r="N365" s="7">
        <f t="shared" si="48"/>
        <v>0</v>
      </c>
      <c r="O365" s="7">
        <f t="shared" si="49"/>
        <v>0</v>
      </c>
    </row>
    <row r="366" spans="3:15" x14ac:dyDescent="0.2">
      <c r="C366">
        <v>347</v>
      </c>
      <c r="D366" s="7">
        <v>2823.95897591631</v>
      </c>
      <c r="E366" s="7">
        <f t="shared" si="42"/>
        <v>84.448533968789178</v>
      </c>
      <c r="F366" s="7">
        <f t="shared" si="43"/>
        <v>228.04174198411513</v>
      </c>
      <c r="G366">
        <v>0</v>
      </c>
      <c r="H366" s="7">
        <f t="shared" si="44"/>
        <v>0</v>
      </c>
      <c r="I366" s="7">
        <f t="shared" si="45"/>
        <v>0</v>
      </c>
      <c r="J366" s="7">
        <v>2227.1281282457176</v>
      </c>
      <c r="K366" s="7">
        <f t="shared" si="46"/>
        <v>35.520384820505868</v>
      </c>
      <c r="L366" s="7">
        <f t="shared" si="47"/>
        <v>133.69913999741843</v>
      </c>
      <c r="M366" s="7">
        <v>0</v>
      </c>
      <c r="N366" s="7">
        <f t="shared" si="48"/>
        <v>0</v>
      </c>
      <c r="O366" s="7">
        <f t="shared" si="49"/>
        <v>0</v>
      </c>
    </row>
    <row r="367" spans="3:15" x14ac:dyDescent="0.2">
      <c r="C367">
        <v>348</v>
      </c>
      <c r="D367" s="7">
        <v>2824.351315166703</v>
      </c>
      <c r="E367" s="7">
        <f t="shared" si="42"/>
        <v>84.460266601875091</v>
      </c>
      <c r="F367" s="7">
        <f t="shared" si="43"/>
        <v>228.07342435870748</v>
      </c>
      <c r="G367">
        <v>0</v>
      </c>
      <c r="H367" s="7">
        <f t="shared" si="44"/>
        <v>0</v>
      </c>
      <c r="I367" s="7">
        <f t="shared" si="45"/>
        <v>0</v>
      </c>
      <c r="J367" s="7">
        <v>2483.5707264950879</v>
      </c>
      <c r="K367" s="7">
        <f t="shared" si="46"/>
        <v>39.610378412999808</v>
      </c>
      <c r="L367" s="7">
        <f t="shared" si="47"/>
        <v>149.0939232655239</v>
      </c>
      <c r="M367" s="7">
        <v>0</v>
      </c>
      <c r="N367" s="7">
        <f t="shared" si="48"/>
        <v>0</v>
      </c>
      <c r="O367" s="7">
        <f t="shared" si="49"/>
        <v>0</v>
      </c>
    </row>
    <row r="368" spans="3:15" x14ac:dyDescent="0.2">
      <c r="C368">
        <v>349</v>
      </c>
      <c r="D368" s="7">
        <v>2824.7525375442974</v>
      </c>
      <c r="E368" s="7">
        <f t="shared" si="42"/>
        <v>84.472264878717027</v>
      </c>
      <c r="F368" s="7">
        <f t="shared" si="43"/>
        <v>228.10582406801271</v>
      </c>
      <c r="G368">
        <v>0</v>
      </c>
      <c r="H368" s="7">
        <f t="shared" si="44"/>
        <v>0</v>
      </c>
      <c r="I368" s="7">
        <f t="shared" si="45"/>
        <v>0</v>
      </c>
      <c r="J368" s="7">
        <v>2740.0044416172595</v>
      </c>
      <c r="K368" s="7">
        <f t="shared" si="46"/>
        <v>43.70023032882392</v>
      </c>
      <c r="L368" s="7">
        <f t="shared" si="47"/>
        <v>164.48817326100271</v>
      </c>
      <c r="M368" s="7">
        <v>0</v>
      </c>
      <c r="N368" s="7">
        <f t="shared" si="48"/>
        <v>0</v>
      </c>
      <c r="O368" s="7">
        <f t="shared" si="49"/>
        <v>0</v>
      </c>
    </row>
    <row r="369" spans="3:15" x14ac:dyDescent="0.2">
      <c r="C369">
        <v>350</v>
      </c>
      <c r="D369" s="7">
        <v>2825.162599785207</v>
      </c>
      <c r="E369" s="7">
        <f t="shared" si="42"/>
        <v>84.484527505538495</v>
      </c>
      <c r="F369" s="7">
        <f t="shared" si="43"/>
        <v>228.138937618364</v>
      </c>
      <c r="G369">
        <v>0</v>
      </c>
      <c r="H369" s="7">
        <f t="shared" si="44"/>
        <v>0</v>
      </c>
      <c r="I369" s="7">
        <f t="shared" si="45"/>
        <v>0</v>
      </c>
      <c r="J369" s="7">
        <v>2996.4293168761142</v>
      </c>
      <c r="K369" s="7">
        <f t="shared" si="46"/>
        <v>47.789941257992254</v>
      </c>
      <c r="L369" s="7">
        <f t="shared" si="47"/>
        <v>179.88189258107573</v>
      </c>
      <c r="M369" s="7">
        <v>0</v>
      </c>
      <c r="N369" s="7">
        <f t="shared" si="48"/>
        <v>0</v>
      </c>
      <c r="O369" s="7">
        <f t="shared" si="49"/>
        <v>0</v>
      </c>
    </row>
    <row r="370" spans="3:15" x14ac:dyDescent="0.2">
      <c r="C370">
        <v>351</v>
      </c>
      <c r="D370" s="7">
        <v>2825.5814587680275</v>
      </c>
      <c r="E370" s="7">
        <f t="shared" si="42"/>
        <v>84.497053192823799</v>
      </c>
      <c r="F370" s="7">
        <f t="shared" si="43"/>
        <v>228.17276152760016</v>
      </c>
      <c r="G370">
        <v>0</v>
      </c>
      <c r="H370" s="7">
        <f t="shared" si="44"/>
        <v>0</v>
      </c>
      <c r="I370" s="7">
        <f t="shared" si="45"/>
        <v>0</v>
      </c>
      <c r="J370" s="7">
        <v>2824.7871662267839</v>
      </c>
      <c r="K370" s="7">
        <f t="shared" si="46"/>
        <v>45.052426893569127</v>
      </c>
      <c r="L370" s="7">
        <f t="shared" si="47"/>
        <v>169.57785679701917</v>
      </c>
      <c r="M370" s="7">
        <v>0</v>
      </c>
      <c r="N370" s="7">
        <f t="shared" si="48"/>
        <v>0</v>
      </c>
      <c r="O370" s="7">
        <f t="shared" si="49"/>
        <v>0</v>
      </c>
    </row>
    <row r="371" spans="3:15" x14ac:dyDescent="0.2">
      <c r="C371">
        <v>352</v>
      </c>
      <c r="D371" s="7">
        <v>2826.009071513462</v>
      </c>
      <c r="E371" s="7">
        <f t="shared" si="42"/>
        <v>84.509840655306888</v>
      </c>
      <c r="F371" s="7">
        <f t="shared" si="43"/>
        <v>228.20729232503567</v>
      </c>
      <c r="G371">
        <v>0</v>
      </c>
      <c r="H371" s="7">
        <f t="shared" si="44"/>
        <v>0</v>
      </c>
      <c r="I371" s="7">
        <f t="shared" si="45"/>
        <v>0</v>
      </c>
      <c r="J371" s="7">
        <v>3052.6572757033618</v>
      </c>
      <c r="K371" s="7">
        <f t="shared" si="46"/>
        <v>48.68671891073943</v>
      </c>
      <c r="L371" s="7">
        <f t="shared" si="47"/>
        <v>183.25737405592685</v>
      </c>
      <c r="M371" s="7">
        <v>680.37424334317575</v>
      </c>
      <c r="N371" s="7">
        <f t="shared" si="48"/>
        <v>54.256319245867289</v>
      </c>
      <c r="O371" s="7">
        <f t="shared" si="49"/>
        <v>20.537914935102574</v>
      </c>
    </row>
    <row r="372" spans="3:15" x14ac:dyDescent="0.2">
      <c r="C372">
        <v>353</v>
      </c>
      <c r="D372" s="7">
        <v>2826.4453951839391</v>
      </c>
      <c r="E372" s="7">
        <f t="shared" si="42"/>
        <v>84.522888611959914</v>
      </c>
      <c r="F372" s="7">
        <f t="shared" si="43"/>
        <v>228.24252655142956</v>
      </c>
      <c r="G372">
        <v>0</v>
      </c>
      <c r="H372" s="7">
        <f t="shared" si="44"/>
        <v>0</v>
      </c>
      <c r="I372" s="7">
        <f t="shared" si="45"/>
        <v>0</v>
      </c>
      <c r="J372" s="7">
        <v>3851.2629798099292</v>
      </c>
      <c r="K372" s="7">
        <f t="shared" si="46"/>
        <v>61.423651990588986</v>
      </c>
      <c r="L372" s="7">
        <f t="shared" si="47"/>
        <v>231.19933773638405</v>
      </c>
      <c r="M372" s="7">
        <v>680.37424334317575</v>
      </c>
      <c r="N372" s="7">
        <f t="shared" si="48"/>
        <v>54.256319245867289</v>
      </c>
      <c r="O372" s="7">
        <f t="shared" si="49"/>
        <v>20.537914935102574</v>
      </c>
    </row>
    <row r="373" spans="3:15" x14ac:dyDescent="0.2">
      <c r="C373">
        <v>354</v>
      </c>
      <c r="D373" s="7">
        <v>2826.8903870832396</v>
      </c>
      <c r="E373" s="7">
        <f t="shared" si="42"/>
        <v>84.536195785982045</v>
      </c>
      <c r="F373" s="7">
        <f t="shared" si="43"/>
        <v>228.27846075895548</v>
      </c>
      <c r="G373">
        <v>0</v>
      </c>
      <c r="H373" s="7">
        <f t="shared" si="44"/>
        <v>0</v>
      </c>
      <c r="I373" s="7">
        <f t="shared" si="45"/>
        <v>0</v>
      </c>
      <c r="J373" s="7">
        <v>3679.5946962441189</v>
      </c>
      <c r="K373" s="7">
        <f t="shared" si="46"/>
        <v>58.685720833239543</v>
      </c>
      <c r="L373" s="7">
        <f t="shared" si="47"/>
        <v>220.89373313892395</v>
      </c>
      <c r="M373" s="7">
        <v>680.37424334317575</v>
      </c>
      <c r="N373" s="7">
        <f t="shared" si="48"/>
        <v>54.256319245867289</v>
      </c>
      <c r="O373" s="7">
        <f t="shared" si="49"/>
        <v>20.537914935102574</v>
      </c>
    </row>
    <row r="374" spans="3:15" x14ac:dyDescent="0.2">
      <c r="C374">
        <v>355</v>
      </c>
      <c r="D374" s="7">
        <v>2827.3440046561077</v>
      </c>
      <c r="E374" s="7">
        <f t="shared" si="42"/>
        <v>84.549760904787917</v>
      </c>
      <c r="F374" s="7">
        <f t="shared" si="43"/>
        <v>228.31509151117024</v>
      </c>
      <c r="G374">
        <v>0</v>
      </c>
      <c r="H374" s="7">
        <f t="shared" si="44"/>
        <v>0</v>
      </c>
      <c r="I374" s="7">
        <f t="shared" si="45"/>
        <v>0</v>
      </c>
      <c r="J374" s="7">
        <v>4021.5876620042704</v>
      </c>
      <c r="K374" s="7">
        <f t="shared" si="46"/>
        <v>64.140154098951683</v>
      </c>
      <c r="L374" s="7">
        <f t="shared" si="47"/>
        <v>241.42428314518477</v>
      </c>
      <c r="M374" s="7">
        <v>680.37424334317575</v>
      </c>
      <c r="N374" s="7">
        <f t="shared" si="48"/>
        <v>54.256319245867289</v>
      </c>
      <c r="O374" s="7">
        <f t="shared" si="49"/>
        <v>20.537914935102574</v>
      </c>
    </row>
    <row r="375" spans="3:15" x14ac:dyDescent="0.2">
      <c r="C375">
        <v>356</v>
      </c>
      <c r="D375" s="7">
        <v>2827.8062054878797</v>
      </c>
      <c r="E375" s="7">
        <f t="shared" si="42"/>
        <v>84.563582699996402</v>
      </c>
      <c r="F375" s="7">
        <f t="shared" si="43"/>
        <v>228.35241538298379</v>
      </c>
      <c r="G375">
        <v>0</v>
      </c>
      <c r="H375" s="7">
        <f t="shared" si="44"/>
        <v>0</v>
      </c>
      <c r="I375" s="7">
        <f t="shared" si="45"/>
        <v>0</v>
      </c>
      <c r="J375" s="7">
        <v>3678.6788778394789</v>
      </c>
      <c r="K375" s="7">
        <f t="shared" si="46"/>
        <v>58.671114479098549</v>
      </c>
      <c r="L375" s="7">
        <f t="shared" si="47"/>
        <v>220.83875465271058</v>
      </c>
      <c r="M375" s="7">
        <v>680.37424334317575</v>
      </c>
      <c r="N375" s="7">
        <f t="shared" si="48"/>
        <v>54.256319245867289</v>
      </c>
      <c r="O375" s="7">
        <f t="shared" si="49"/>
        <v>20.537914935102574</v>
      </c>
    </row>
    <row r="376" spans="3:15" x14ac:dyDescent="0.2">
      <c r="C376">
        <v>357</v>
      </c>
      <c r="D376" s="7">
        <v>2828.2769473041085</v>
      </c>
      <c r="E376" s="7">
        <f t="shared" si="42"/>
        <v>84.577659907419516</v>
      </c>
      <c r="F376" s="7">
        <f t="shared" si="43"/>
        <v>228.3904289606289</v>
      </c>
      <c r="G376">
        <v>0</v>
      </c>
      <c r="H376" s="7">
        <f t="shared" si="44"/>
        <v>0</v>
      </c>
      <c r="I376" s="7">
        <f t="shared" si="45"/>
        <v>0</v>
      </c>
      <c r="J376" s="7">
        <v>4191.8780110227781</v>
      </c>
      <c r="K376" s="7">
        <f t="shared" si="46"/>
        <v>66.856108628752452</v>
      </c>
      <c r="L376" s="7">
        <f t="shared" si="47"/>
        <v>251.64716746193423</v>
      </c>
      <c r="M376" s="7">
        <v>680.37424334317575</v>
      </c>
      <c r="N376" s="7">
        <f t="shared" si="48"/>
        <v>54.256319245867289</v>
      </c>
      <c r="O376" s="7">
        <f t="shared" si="49"/>
        <v>20.537914935102574</v>
      </c>
    </row>
    <row r="377" spans="3:15" x14ac:dyDescent="0.2">
      <c r="C377">
        <v>358</v>
      </c>
      <c r="D377" s="7">
        <v>2828.7561879701889</v>
      </c>
      <c r="E377" s="7">
        <f t="shared" si="42"/>
        <v>84.591991267051114</v>
      </c>
      <c r="F377" s="7">
        <f t="shared" si="43"/>
        <v>228.42912884163093</v>
      </c>
      <c r="G377">
        <v>0</v>
      </c>
      <c r="H377" s="7">
        <f t="shared" si="44"/>
        <v>0</v>
      </c>
      <c r="I377" s="7">
        <f t="shared" si="45"/>
        <v>0</v>
      </c>
      <c r="J377" s="7">
        <v>3335.282312024151</v>
      </c>
      <c r="K377" s="7">
        <f t="shared" si="46"/>
        <v>53.19429524759412</v>
      </c>
      <c r="L377" s="7">
        <f t="shared" si="47"/>
        <v>200.22394361184766</v>
      </c>
      <c r="M377" s="7">
        <v>680.37424334317575</v>
      </c>
      <c r="N377" s="7">
        <f t="shared" si="48"/>
        <v>54.256319245867289</v>
      </c>
      <c r="O377" s="7">
        <f t="shared" si="49"/>
        <v>20.537914935102574</v>
      </c>
    </row>
    <row r="378" spans="3:15" x14ac:dyDescent="0.2">
      <c r="C378">
        <v>359</v>
      </c>
      <c r="D378" s="7">
        <v>2829.2438854909742</v>
      </c>
      <c r="E378" s="7">
        <f t="shared" si="42"/>
        <v>84.606575523055454</v>
      </c>
      <c r="F378" s="7">
        <f t="shared" si="43"/>
        <v>228.46851163477689</v>
      </c>
      <c r="G378">
        <v>0</v>
      </c>
      <c r="H378" s="7">
        <f t="shared" si="44"/>
        <v>0</v>
      </c>
      <c r="I378" s="7">
        <f t="shared" si="45"/>
        <v>0</v>
      </c>
      <c r="J378" s="7">
        <v>2478.6781561708167</v>
      </c>
      <c r="K378" s="7">
        <f t="shared" si="46"/>
        <v>39.532346988370286</v>
      </c>
      <c r="L378" s="7">
        <f t="shared" si="47"/>
        <v>148.80021207915979</v>
      </c>
      <c r="M378" s="7">
        <v>0</v>
      </c>
      <c r="N378" s="7">
        <f t="shared" si="48"/>
        <v>0</v>
      </c>
      <c r="O378" s="7">
        <f t="shared" si="49"/>
        <v>0</v>
      </c>
    </row>
    <row r="379" spans="3:15" x14ac:dyDescent="0.2">
      <c r="C379">
        <v>360</v>
      </c>
      <c r="D379" s="7">
        <v>2829.7399980104165</v>
      </c>
      <c r="E379" s="7">
        <f t="shared" si="42"/>
        <v>84.621411423756484</v>
      </c>
      <c r="F379" s="7">
        <f t="shared" si="43"/>
        <v>228.50857396008635</v>
      </c>
      <c r="G379">
        <v>0</v>
      </c>
      <c r="H379" s="7">
        <f t="shared" si="44"/>
        <v>0</v>
      </c>
      <c r="I379" s="7">
        <f t="shared" si="45"/>
        <v>0</v>
      </c>
      <c r="J379" s="7">
        <v>1622.0655853188282</v>
      </c>
      <c r="K379" s="7">
        <f t="shared" si="46"/>
        <v>25.870264518641601</v>
      </c>
      <c r="L379" s="7">
        <f t="shared" si="47"/>
        <v>97.375975376576747</v>
      </c>
      <c r="M379" s="7">
        <v>0</v>
      </c>
      <c r="N379" s="7">
        <f t="shared" si="48"/>
        <v>0</v>
      </c>
      <c r="O379" s="7">
        <f t="shared" si="49"/>
        <v>0</v>
      </c>
    </row>
    <row r="380" spans="3:15" x14ac:dyDescent="0.2">
      <c r="C380">
        <v>361</v>
      </c>
      <c r="D380" s="7">
        <v>2830.2444838111769</v>
      </c>
      <c r="E380" s="7">
        <f t="shared" si="42"/>
        <v>84.636497721626114</v>
      </c>
      <c r="F380" s="7">
        <f t="shared" si="43"/>
        <v>228.54931244878</v>
      </c>
      <c r="G380">
        <v>0</v>
      </c>
      <c r="H380" s="7">
        <f t="shared" si="44"/>
        <v>0</v>
      </c>
      <c r="I380" s="7">
        <f t="shared" si="45"/>
        <v>0</v>
      </c>
      <c r="J380" s="7">
        <v>80.551474519483691</v>
      </c>
      <c r="K380" s="7">
        <f t="shared" si="46"/>
        <v>1.2847125122724672</v>
      </c>
      <c r="L380" s="7">
        <f t="shared" si="47"/>
        <v>4.8356727806505084</v>
      </c>
      <c r="M380" s="7">
        <v>0</v>
      </c>
      <c r="N380" s="7">
        <f t="shared" si="48"/>
        <v>0</v>
      </c>
      <c r="O380" s="7">
        <f t="shared" si="49"/>
        <v>0</v>
      </c>
    </row>
    <row r="381" spans="3:15" x14ac:dyDescent="0.2">
      <c r="C381">
        <v>362</v>
      </c>
      <c r="D381" s="7">
        <v>2739.5726666641513</v>
      </c>
      <c r="E381" s="7">
        <f t="shared" si="42"/>
        <v>81.925019936128933</v>
      </c>
      <c r="F381" s="7">
        <f t="shared" si="43"/>
        <v>221.22733670217281</v>
      </c>
      <c r="G381">
        <v>0</v>
      </c>
      <c r="H381" s="7">
        <f t="shared" si="44"/>
        <v>0</v>
      </c>
      <c r="I381" s="7">
        <f t="shared" si="45"/>
        <v>0</v>
      </c>
      <c r="J381" s="7">
        <v>0</v>
      </c>
      <c r="K381" s="7">
        <f t="shared" si="46"/>
        <v>0</v>
      </c>
      <c r="L381" s="7">
        <f t="shared" si="47"/>
        <v>0</v>
      </c>
      <c r="M381" s="7">
        <v>0</v>
      </c>
      <c r="N381" s="7">
        <f t="shared" si="48"/>
        <v>0</v>
      </c>
      <c r="O381" s="7">
        <f t="shared" si="49"/>
        <v>0</v>
      </c>
    </row>
    <row r="382" spans="3:15" x14ac:dyDescent="0.2">
      <c r="C382">
        <v>363</v>
      </c>
      <c r="D382" s="7">
        <v>2831.3781838697428</v>
      </c>
      <c r="E382" s="7">
        <f t="shared" si="42"/>
        <v>84.670400235339201</v>
      </c>
      <c r="F382" s="7">
        <f t="shared" si="43"/>
        <v>228.64086156066432</v>
      </c>
      <c r="G382">
        <v>0</v>
      </c>
      <c r="H382" s="7">
        <f t="shared" si="44"/>
        <v>0</v>
      </c>
      <c r="I382" s="7">
        <f t="shared" si="45"/>
        <v>0</v>
      </c>
      <c r="J382" s="7">
        <v>113.66243279421951</v>
      </c>
      <c r="K382" s="7">
        <f t="shared" si="46"/>
        <v>1.8127979711996733</v>
      </c>
      <c r="L382" s="7">
        <f t="shared" si="47"/>
        <v>6.8233925663592929</v>
      </c>
      <c r="M382" s="7">
        <v>0</v>
      </c>
      <c r="N382" s="7">
        <f t="shared" si="48"/>
        <v>0</v>
      </c>
      <c r="O382" s="7">
        <f t="shared" si="49"/>
        <v>0</v>
      </c>
    </row>
    <row r="383" spans="3:15" x14ac:dyDescent="0.2">
      <c r="C383">
        <v>364</v>
      </c>
      <c r="D383" s="7">
        <v>2831.9070821727937</v>
      </c>
      <c r="E383" s="7">
        <f t="shared" si="42"/>
        <v>84.686216572152929</v>
      </c>
      <c r="F383" s="7">
        <f t="shared" si="43"/>
        <v>228.68357141990404</v>
      </c>
      <c r="G383">
        <v>0</v>
      </c>
      <c r="H383" s="7">
        <f t="shared" si="44"/>
        <v>0</v>
      </c>
      <c r="I383" s="7">
        <f t="shared" si="45"/>
        <v>0</v>
      </c>
      <c r="J383" s="7">
        <v>250.11216782437668</v>
      </c>
      <c r="K383" s="7">
        <f t="shared" si="46"/>
        <v>3.9890297898624674</v>
      </c>
      <c r="L383" s="7">
        <f t="shared" si="47"/>
        <v>15.014754345251465</v>
      </c>
      <c r="M383" s="7">
        <v>0</v>
      </c>
      <c r="N383" s="7">
        <f t="shared" si="48"/>
        <v>0</v>
      </c>
      <c r="O383" s="7">
        <f t="shared" si="49"/>
        <v>0</v>
      </c>
    </row>
    <row r="384" spans="3:15" x14ac:dyDescent="0.2">
      <c r="C384">
        <v>365</v>
      </c>
      <c r="D384" s="7">
        <v>2832.4441897416264</v>
      </c>
      <c r="E384" s="7">
        <f t="shared" si="42"/>
        <v>84.702278401364424</v>
      </c>
      <c r="F384" s="7">
        <f t="shared" si="43"/>
        <v>228.72694419786365</v>
      </c>
      <c r="G384">
        <v>0</v>
      </c>
      <c r="H384" s="7">
        <f t="shared" si="44"/>
        <v>0</v>
      </c>
      <c r="I384" s="7">
        <f t="shared" si="45"/>
        <v>0</v>
      </c>
      <c r="J384" s="7">
        <v>567.56117335048975</v>
      </c>
      <c r="K384" s="7">
        <f t="shared" si="46"/>
        <v>9.0520123341385936</v>
      </c>
      <c r="L384" s="7">
        <f t="shared" si="47"/>
        <v>34.07187930074678</v>
      </c>
      <c r="M384" s="7">
        <v>0</v>
      </c>
      <c r="N384" s="7">
        <f t="shared" si="48"/>
        <v>0</v>
      </c>
      <c r="O384" s="7">
        <f t="shared" si="49"/>
        <v>0</v>
      </c>
    </row>
    <row r="385" spans="3:15" x14ac:dyDescent="0.2">
      <c r="C385">
        <v>366</v>
      </c>
      <c r="D385" s="7">
        <v>2832.9894655430567</v>
      </c>
      <c r="E385" s="7">
        <f t="shared" si="42"/>
        <v>84.718584495904807</v>
      </c>
      <c r="F385" s="7">
        <f t="shared" si="43"/>
        <v>228.77097658101101</v>
      </c>
      <c r="G385">
        <v>0</v>
      </c>
      <c r="H385" s="7">
        <f t="shared" si="44"/>
        <v>0</v>
      </c>
      <c r="I385" s="7">
        <f t="shared" si="45"/>
        <v>0</v>
      </c>
      <c r="J385" s="7">
        <v>787.16012969171425</v>
      </c>
      <c r="K385" s="7">
        <f t="shared" si="46"/>
        <v>12.554388033360675</v>
      </c>
      <c r="L385" s="7">
        <f t="shared" si="47"/>
        <v>47.254862010537721</v>
      </c>
      <c r="M385" s="7">
        <v>0</v>
      </c>
      <c r="N385" s="7">
        <f t="shared" si="48"/>
        <v>0</v>
      </c>
      <c r="O385" s="7">
        <f t="shared" si="49"/>
        <v>0</v>
      </c>
    </row>
    <row r="386" spans="3:15" x14ac:dyDescent="0.2">
      <c r="C386">
        <v>367</v>
      </c>
      <c r="D386" s="7">
        <v>2833.5428686804039</v>
      </c>
      <c r="E386" s="7">
        <f t="shared" si="42"/>
        <v>84.73513363278721</v>
      </c>
      <c r="F386" s="7">
        <f t="shared" si="43"/>
        <v>228.81566526683696</v>
      </c>
      <c r="G386">
        <v>0</v>
      </c>
      <c r="H386" s="7">
        <f t="shared" si="44"/>
        <v>0</v>
      </c>
      <c r="I386" s="7">
        <f t="shared" si="45"/>
        <v>0</v>
      </c>
      <c r="J386" s="7">
        <v>1006.7509586970218</v>
      </c>
      <c r="K386" s="7">
        <f t="shared" si="46"/>
        <v>16.056634110000349</v>
      </c>
      <c r="L386" s="7">
        <f t="shared" si="47"/>
        <v>60.437356819426689</v>
      </c>
      <c r="M386" s="7">
        <v>680.37424334317575</v>
      </c>
      <c r="N386" s="7">
        <f t="shared" si="48"/>
        <v>54.256319245867289</v>
      </c>
      <c r="O386" s="7">
        <f t="shared" si="49"/>
        <v>20.537914935102574</v>
      </c>
    </row>
    <row r="387" spans="3:15" x14ac:dyDescent="0.2">
      <c r="C387">
        <v>368</v>
      </c>
      <c r="D387" s="7">
        <v>2834.1043583931205</v>
      </c>
      <c r="E387" s="7">
        <f t="shared" si="42"/>
        <v>84.751924593095708</v>
      </c>
      <c r="F387" s="7">
        <f t="shared" si="43"/>
        <v>228.8610069638255</v>
      </c>
      <c r="G387">
        <v>0</v>
      </c>
      <c r="H387" s="7">
        <f t="shared" si="44"/>
        <v>0</v>
      </c>
      <c r="I387" s="7">
        <f t="shared" si="45"/>
        <v>0</v>
      </c>
      <c r="J387" s="7">
        <v>1226.3337011269605</v>
      </c>
      <c r="K387" s="7">
        <f t="shared" si="46"/>
        <v>19.558751214146103</v>
      </c>
      <c r="L387" s="7">
        <f t="shared" si="47"/>
        <v>73.619366174354298</v>
      </c>
      <c r="M387" s="7">
        <v>680.37424334317575</v>
      </c>
      <c r="N387" s="7">
        <f t="shared" si="48"/>
        <v>54.256319245867289</v>
      </c>
      <c r="O387" s="7">
        <f t="shared" si="49"/>
        <v>20.537914935102574</v>
      </c>
    </row>
    <row r="388" spans="3:15" x14ac:dyDescent="0.2">
      <c r="C388">
        <v>369</v>
      </c>
      <c r="D388" s="7">
        <v>2834.6738940564337</v>
      </c>
      <c r="E388" s="7">
        <f t="shared" si="42"/>
        <v>84.7689561619747</v>
      </c>
      <c r="F388" s="7">
        <f t="shared" si="43"/>
        <v>228.90699839142474</v>
      </c>
      <c r="G388">
        <v>0</v>
      </c>
      <c r="H388" s="7">
        <f t="shared" si="44"/>
        <v>0</v>
      </c>
      <c r="I388" s="7">
        <f t="shared" si="45"/>
        <v>0</v>
      </c>
      <c r="J388" s="7">
        <v>1445.9083976063021</v>
      </c>
      <c r="K388" s="7">
        <f t="shared" si="46"/>
        <v>23.060739993720926</v>
      </c>
      <c r="L388" s="7">
        <f t="shared" si="47"/>
        <v>86.800892514110174</v>
      </c>
      <c r="M388" s="7">
        <v>0</v>
      </c>
      <c r="N388" s="7">
        <f t="shared" si="48"/>
        <v>0</v>
      </c>
      <c r="O388" s="7">
        <f t="shared" si="49"/>
        <v>0</v>
      </c>
    </row>
    <row r="389" spans="3:15" x14ac:dyDescent="0.2">
      <c r="C389">
        <v>370</v>
      </c>
      <c r="D389" s="7">
        <v>2835.2514351809741</v>
      </c>
      <c r="E389" s="7">
        <f t="shared" si="42"/>
        <v>84.786227128617654</v>
      </c>
      <c r="F389" s="7">
        <f t="shared" si="43"/>
        <v>228.95363628001689</v>
      </c>
      <c r="G389">
        <v>0</v>
      </c>
      <c r="H389" s="7">
        <f t="shared" si="44"/>
        <v>0</v>
      </c>
      <c r="I389" s="7">
        <f t="shared" si="45"/>
        <v>0</v>
      </c>
      <c r="J389" s="7">
        <v>1665.4750886244174</v>
      </c>
      <c r="K389" s="7">
        <f t="shared" si="46"/>
        <v>26.562601094488318</v>
      </c>
      <c r="L389" s="7">
        <f t="shared" si="47"/>
        <v>99.981938269355609</v>
      </c>
      <c r="M389" s="7">
        <v>0</v>
      </c>
      <c r="N389" s="7">
        <f t="shared" si="48"/>
        <v>0</v>
      </c>
      <c r="O389" s="7">
        <f t="shared" si="49"/>
        <v>0</v>
      </c>
    </row>
    <row r="390" spans="3:15" x14ac:dyDescent="0.2">
      <c r="C390">
        <v>371</v>
      </c>
      <c r="D390" s="7">
        <v>2835.8369414124104</v>
      </c>
      <c r="E390" s="7">
        <f t="shared" si="42"/>
        <v>84.803736286256296</v>
      </c>
      <c r="F390" s="7">
        <f t="shared" si="43"/>
        <v>229.00091737088897</v>
      </c>
      <c r="G390">
        <v>0</v>
      </c>
      <c r="H390" s="7">
        <f t="shared" si="44"/>
        <v>0</v>
      </c>
      <c r="I390" s="7">
        <f t="shared" si="45"/>
        <v>0</v>
      </c>
      <c r="J390" s="7">
        <v>1885.0338145356359</v>
      </c>
      <c r="K390" s="7">
        <f t="shared" si="46"/>
        <v>30.06433516005799</v>
      </c>
      <c r="L390" s="7">
        <f t="shared" si="47"/>
        <v>113.16250586264502</v>
      </c>
      <c r="M390" s="7">
        <v>0</v>
      </c>
      <c r="N390" s="7">
        <f t="shared" si="48"/>
        <v>0</v>
      </c>
      <c r="O390" s="7">
        <f t="shared" si="49"/>
        <v>0</v>
      </c>
    </row>
    <row r="391" spans="3:15" x14ac:dyDescent="0.2">
      <c r="C391">
        <v>372</v>
      </c>
      <c r="D391" s="7">
        <v>2836.4303725310901</v>
      </c>
      <c r="E391" s="7">
        <f t="shared" si="42"/>
        <v>84.821482432149836</v>
      </c>
      <c r="F391" s="7">
        <f t="shared" si="43"/>
        <v>229.04883841620352</v>
      </c>
      <c r="G391">
        <v>0</v>
      </c>
      <c r="H391" s="7">
        <f t="shared" si="44"/>
        <v>0</v>
      </c>
      <c r="I391" s="7">
        <f t="shared" si="45"/>
        <v>0</v>
      </c>
      <c r="J391" s="7">
        <v>2104.5846155596109</v>
      </c>
      <c r="K391" s="7">
        <f t="shared" si="46"/>
        <v>33.565942831891725</v>
      </c>
      <c r="L391" s="7">
        <f t="shared" si="47"/>
        <v>126.34259770844798</v>
      </c>
      <c r="M391" s="7">
        <v>0</v>
      </c>
      <c r="N391" s="7">
        <f t="shared" si="48"/>
        <v>0</v>
      </c>
      <c r="O391" s="7">
        <f t="shared" si="49"/>
        <v>0</v>
      </c>
    </row>
    <row r="392" spans="3:15" x14ac:dyDescent="0.2">
      <c r="C392">
        <v>373</v>
      </c>
      <c r="D392" s="7">
        <v>2837.0316884516742</v>
      </c>
      <c r="E392" s="7">
        <f t="shared" si="42"/>
        <v>84.839464367573996</v>
      </c>
      <c r="F392" s="7">
        <f t="shared" si="43"/>
        <v>229.09739617896926</v>
      </c>
      <c r="G392">
        <v>0</v>
      </c>
      <c r="H392" s="7">
        <f t="shared" si="44"/>
        <v>0</v>
      </c>
      <c r="I392" s="7">
        <f t="shared" si="45"/>
        <v>0</v>
      </c>
      <c r="J392" s="7">
        <v>2324.1275317816817</v>
      </c>
      <c r="K392" s="7">
        <f t="shared" si="46"/>
        <v>37.067424749309119</v>
      </c>
      <c r="L392" s="7">
        <f t="shared" si="47"/>
        <v>139.52221621317088</v>
      </c>
      <c r="M392" s="7">
        <v>0</v>
      </c>
      <c r="N392" s="7">
        <f t="shared" si="48"/>
        <v>0</v>
      </c>
      <c r="O392" s="7">
        <f t="shared" si="49"/>
        <v>0</v>
      </c>
    </row>
    <row r="393" spans="3:15" x14ac:dyDescent="0.2">
      <c r="C393">
        <v>374</v>
      </c>
      <c r="D393" s="7">
        <v>2837.6408492227697</v>
      </c>
      <c r="E393" s="7">
        <f t="shared" si="42"/>
        <v>84.857680897810098</v>
      </c>
      <c r="F393" s="7">
        <f t="shared" si="43"/>
        <v>229.14658743301146</v>
      </c>
      <c r="G393">
        <v>0</v>
      </c>
      <c r="H393" s="7">
        <f t="shared" si="44"/>
        <v>0</v>
      </c>
      <c r="I393" s="7">
        <f t="shared" si="45"/>
        <v>0</v>
      </c>
      <c r="J393" s="7">
        <v>2543.662603153241</v>
      </c>
      <c r="K393" s="7">
        <f t="shared" si="46"/>
        <v>40.56878154949348</v>
      </c>
      <c r="L393" s="7">
        <f t="shared" si="47"/>
        <v>152.70136377517903</v>
      </c>
      <c r="M393" s="7">
        <v>0</v>
      </c>
      <c r="N393" s="7">
        <f t="shared" si="48"/>
        <v>0</v>
      </c>
      <c r="O393" s="7">
        <f t="shared" si="49"/>
        <v>0</v>
      </c>
    </row>
    <row r="394" spans="3:15" x14ac:dyDescent="0.2">
      <c r="C394">
        <v>375</v>
      </c>
      <c r="D394" s="7">
        <v>2838.2578150265758</v>
      </c>
      <c r="E394" s="7">
        <f t="shared" si="42"/>
        <v>84.87613083213445</v>
      </c>
      <c r="F394" s="7">
        <f t="shared" si="43"/>
        <v>229.19640896294317</v>
      </c>
      <c r="G394">
        <v>0</v>
      </c>
      <c r="H394" s="7">
        <f t="shared" si="44"/>
        <v>0</v>
      </c>
      <c r="I394" s="7">
        <f t="shared" si="45"/>
        <v>0</v>
      </c>
      <c r="J394" s="7">
        <v>2763.1898694920906</v>
      </c>
      <c r="K394" s="7">
        <f t="shared" si="46"/>
        <v>44.070013867497458</v>
      </c>
      <c r="L394" s="7">
        <f t="shared" si="47"/>
        <v>165.88004278481804</v>
      </c>
      <c r="M394" s="7">
        <v>0</v>
      </c>
      <c r="N394" s="7">
        <f t="shared" si="48"/>
        <v>0</v>
      </c>
      <c r="O394" s="7">
        <f t="shared" si="49"/>
        <v>0</v>
      </c>
    </row>
    <row r="395" spans="3:15" x14ac:dyDescent="0.2">
      <c r="C395">
        <v>376</v>
      </c>
      <c r="D395" s="7">
        <v>2838.8825461785182</v>
      </c>
      <c r="E395" s="7">
        <f t="shared" si="42"/>
        <v>84.89481298380737</v>
      </c>
      <c r="F395" s="7">
        <f t="shared" si="43"/>
        <v>229.24685756413592</v>
      </c>
      <c r="G395">
        <v>0</v>
      </c>
      <c r="H395" s="7">
        <f t="shared" si="44"/>
        <v>0</v>
      </c>
      <c r="I395" s="7">
        <f t="shared" si="45"/>
        <v>0</v>
      </c>
      <c r="J395" s="7">
        <v>2982.709370482803</v>
      </c>
      <c r="K395" s="7">
        <f t="shared" si="46"/>
        <v>47.571122336248855</v>
      </c>
      <c r="L395" s="7">
        <f t="shared" si="47"/>
        <v>179.05825562443539</v>
      </c>
      <c r="M395" s="7">
        <v>680.37424334317575</v>
      </c>
      <c r="N395" s="7">
        <f t="shared" si="48"/>
        <v>54.256319245867289</v>
      </c>
      <c r="O395" s="7">
        <f t="shared" si="49"/>
        <v>20.537914935102574</v>
      </c>
    </row>
    <row r="396" spans="3:15" x14ac:dyDescent="0.2">
      <c r="C396">
        <v>377</v>
      </c>
      <c r="D396" s="7">
        <v>2839.5150031268854</v>
      </c>
      <c r="E396" s="7">
        <f t="shared" si="42"/>
        <v>84.913726170062375</v>
      </c>
      <c r="F396" s="7">
        <f t="shared" si="43"/>
        <v>229.29793004269024</v>
      </c>
      <c r="G396">
        <v>0</v>
      </c>
      <c r="H396" s="7">
        <f t="shared" si="44"/>
        <v>0</v>
      </c>
      <c r="I396" s="7">
        <f t="shared" si="45"/>
        <v>0</v>
      </c>
      <c r="J396" s="7">
        <v>2810.853621867926</v>
      </c>
      <c r="K396" s="7">
        <f t="shared" si="46"/>
        <v>44.830201305708549</v>
      </c>
      <c r="L396" s="7">
        <f t="shared" si="47"/>
        <v>168.74139710964474</v>
      </c>
      <c r="M396" s="7">
        <v>680.37424334317575</v>
      </c>
      <c r="N396" s="7">
        <f t="shared" si="48"/>
        <v>54.256319245867289</v>
      </c>
      <c r="O396" s="7">
        <f t="shared" si="49"/>
        <v>20.537914935102574</v>
      </c>
    </row>
    <row r="397" spans="3:15" x14ac:dyDescent="0.2">
      <c r="C397">
        <v>378</v>
      </c>
      <c r="D397" s="7">
        <v>2840.1551464524832</v>
      </c>
      <c r="E397" s="7">
        <f t="shared" si="42"/>
        <v>84.932869212095795</v>
      </c>
      <c r="F397" s="7">
        <f t="shared" si="43"/>
        <v>229.34962321540758</v>
      </c>
      <c r="G397">
        <v>0</v>
      </c>
      <c r="H397" s="7">
        <f t="shared" si="44"/>
        <v>0</v>
      </c>
      <c r="I397" s="7">
        <f t="shared" si="45"/>
        <v>0</v>
      </c>
      <c r="J397" s="7">
        <v>3152.6600618753478</v>
      </c>
      <c r="K397" s="7">
        <f t="shared" si="46"/>
        <v>50.281659679032664</v>
      </c>
      <c r="L397" s="7">
        <f t="shared" si="47"/>
        <v>189.26074958649045</v>
      </c>
      <c r="M397" s="7">
        <v>680.37424334317575</v>
      </c>
      <c r="N397" s="7">
        <f t="shared" si="48"/>
        <v>54.256319245867289</v>
      </c>
      <c r="O397" s="7">
        <f t="shared" si="49"/>
        <v>20.537914935102574</v>
      </c>
    </row>
    <row r="398" spans="3:15" x14ac:dyDescent="0.2">
      <c r="C398">
        <v>379</v>
      </c>
      <c r="D398" s="7">
        <v>2840.8029368682596</v>
      </c>
      <c r="E398" s="7">
        <f t="shared" si="42"/>
        <v>84.952240935055613</v>
      </c>
      <c r="F398" s="7">
        <f t="shared" si="43"/>
        <v>229.40193390976046</v>
      </c>
      <c r="G398">
        <v>0</v>
      </c>
      <c r="H398" s="7">
        <f t="shared" si="44"/>
        <v>0</v>
      </c>
      <c r="I398" s="7">
        <f t="shared" si="45"/>
        <v>0</v>
      </c>
      <c r="J398" s="7">
        <v>3494.45885479259</v>
      </c>
      <c r="K398" s="7">
        <f t="shared" si="46"/>
        <v>55.732996089196014</v>
      </c>
      <c r="L398" s="7">
        <f t="shared" si="47"/>
        <v>209.77964299258599</v>
      </c>
      <c r="M398" s="7">
        <v>680.37424334317575</v>
      </c>
      <c r="N398" s="7">
        <f t="shared" si="48"/>
        <v>54.256319245867289</v>
      </c>
      <c r="O398" s="7">
        <f t="shared" si="49"/>
        <v>20.537914935102574</v>
      </c>
    </row>
    <row r="399" spans="3:15" x14ac:dyDescent="0.2">
      <c r="C399">
        <v>380</v>
      </c>
      <c r="D399" s="7">
        <v>2841.4583352189611</v>
      </c>
      <c r="E399" s="7">
        <f t="shared" si="42"/>
        <v>84.971840168031136</v>
      </c>
      <c r="F399" s="7">
        <f t="shared" si="43"/>
        <v>229.45485896386433</v>
      </c>
      <c r="G399">
        <v>0</v>
      </c>
      <c r="H399" s="7">
        <f t="shared" si="44"/>
        <v>0</v>
      </c>
      <c r="I399" s="7">
        <f t="shared" si="45"/>
        <v>0</v>
      </c>
      <c r="J399" s="7">
        <v>3665.0267481083974</v>
      </c>
      <c r="K399" s="7">
        <f t="shared" si="46"/>
        <v>58.453377162813361</v>
      </c>
      <c r="L399" s="7">
        <f t="shared" si="47"/>
        <v>220.01918887154622</v>
      </c>
      <c r="M399" s="7">
        <v>680.37424334317575</v>
      </c>
      <c r="N399" s="7">
        <f t="shared" si="48"/>
        <v>54.256319245867289</v>
      </c>
      <c r="O399" s="7">
        <f t="shared" si="49"/>
        <v>20.537914935102574</v>
      </c>
    </row>
    <row r="400" spans="3:15" x14ac:dyDescent="0.2">
      <c r="C400">
        <v>381</v>
      </c>
      <c r="D400" s="7">
        <v>2842.1213024807676</v>
      </c>
      <c r="E400" s="7">
        <f t="shared" si="42"/>
        <v>84.991665744042095</v>
      </c>
      <c r="F400" s="7">
        <f t="shared" si="43"/>
        <v>229.50839522644821</v>
      </c>
      <c r="G400">
        <v>0</v>
      </c>
      <c r="H400" s="7">
        <f t="shared" si="44"/>
        <v>0</v>
      </c>
      <c r="I400" s="7">
        <f t="shared" si="45"/>
        <v>0</v>
      </c>
      <c r="J400" s="7">
        <v>4178.0336558461195</v>
      </c>
      <c r="K400" s="7">
        <f t="shared" si="46"/>
        <v>66.635305515887083</v>
      </c>
      <c r="L400" s="7">
        <f t="shared" si="47"/>
        <v>250.81606198692234</v>
      </c>
      <c r="M400" s="7">
        <v>680.37424334317575</v>
      </c>
      <c r="N400" s="7">
        <f t="shared" si="48"/>
        <v>54.256319245867289</v>
      </c>
      <c r="O400" s="7">
        <f t="shared" si="49"/>
        <v>20.537914935102574</v>
      </c>
    </row>
    <row r="401" spans="3:15" x14ac:dyDescent="0.2">
      <c r="C401">
        <v>382</v>
      </c>
      <c r="D401" s="7">
        <v>2842.7917997609347</v>
      </c>
      <c r="E401" s="7">
        <f t="shared" si="42"/>
        <v>85.011716500027958</v>
      </c>
      <c r="F401" s="7">
        <f t="shared" si="43"/>
        <v>229.56253955682587</v>
      </c>
      <c r="G401">
        <v>0</v>
      </c>
      <c r="H401" s="7">
        <f t="shared" si="44"/>
        <v>0</v>
      </c>
      <c r="I401" s="7">
        <f t="shared" si="45"/>
        <v>0</v>
      </c>
      <c r="J401" s="7">
        <v>3321.2467002334051</v>
      </c>
      <c r="K401" s="7">
        <f t="shared" si="46"/>
        <v>52.970441790006468</v>
      </c>
      <c r="L401" s="7">
        <f t="shared" si="47"/>
        <v>199.38135660396028</v>
      </c>
      <c r="M401" s="7">
        <v>680.37424334317575</v>
      </c>
      <c r="N401" s="7">
        <f t="shared" si="48"/>
        <v>54.256319245867289</v>
      </c>
      <c r="O401" s="7">
        <f t="shared" si="49"/>
        <v>20.537914935102574</v>
      </c>
    </row>
    <row r="402" spans="3:15" x14ac:dyDescent="0.2">
      <c r="C402">
        <v>383</v>
      </c>
      <c r="D402" s="7">
        <v>2843.4697882974478</v>
      </c>
      <c r="E402" s="7">
        <f t="shared" si="42"/>
        <v>85.031991276837559</v>
      </c>
      <c r="F402" s="7">
        <f t="shared" si="43"/>
        <v>229.61728882486776</v>
      </c>
      <c r="G402">
        <v>0</v>
      </c>
      <c r="H402" s="7">
        <f t="shared" si="44"/>
        <v>0</v>
      </c>
      <c r="I402" s="7">
        <f t="shared" si="45"/>
        <v>0</v>
      </c>
      <c r="J402" s="7">
        <v>2464.4522533643431</v>
      </c>
      <c r="K402" s="7">
        <f t="shared" si="46"/>
        <v>39.305458586353161</v>
      </c>
      <c r="L402" s="7">
        <f t="shared" si="47"/>
        <v>147.94620150527754</v>
      </c>
      <c r="M402" s="7">
        <v>0</v>
      </c>
      <c r="N402" s="7">
        <f t="shared" si="48"/>
        <v>0</v>
      </c>
      <c r="O402" s="7">
        <f t="shared" si="49"/>
        <v>0</v>
      </c>
    </row>
    <row r="403" spans="3:15" x14ac:dyDescent="0.2">
      <c r="C403">
        <v>384</v>
      </c>
      <c r="D403" s="7">
        <v>2844.1552294586641</v>
      </c>
      <c r="E403" s="7">
        <f t="shared" si="42"/>
        <v>85.052488919218433</v>
      </c>
      <c r="F403" s="7">
        <f t="shared" si="43"/>
        <v>229.67263991097218</v>
      </c>
      <c r="G403">
        <v>0</v>
      </c>
      <c r="H403" s="7">
        <f t="shared" si="44"/>
        <v>0</v>
      </c>
      <c r="I403" s="7">
        <f t="shared" si="45"/>
        <v>0</v>
      </c>
      <c r="J403" s="7">
        <v>1607.6503538705806</v>
      </c>
      <c r="K403" s="7">
        <f t="shared" si="46"/>
        <v>25.640356521061893</v>
      </c>
      <c r="L403" s="7">
        <f t="shared" si="47"/>
        <v>96.510599010012442</v>
      </c>
      <c r="M403" s="7">
        <v>0</v>
      </c>
      <c r="N403" s="7">
        <f t="shared" si="48"/>
        <v>0</v>
      </c>
      <c r="O403" s="7">
        <f t="shared" si="49"/>
        <v>0</v>
      </c>
    </row>
    <row r="404" spans="3:15" x14ac:dyDescent="0.2">
      <c r="C404">
        <v>385</v>
      </c>
      <c r="D404" s="7">
        <v>2844.8480847429532</v>
      </c>
      <c r="E404" s="7">
        <f t="shared" si="42"/>
        <v>85.073208275806024</v>
      </c>
      <c r="F404" s="7">
        <f t="shared" si="43"/>
        <v>229.72858970603639</v>
      </c>
      <c r="G404">
        <v>0</v>
      </c>
      <c r="H404" s="7">
        <f t="shared" si="44"/>
        <v>0</v>
      </c>
      <c r="I404" s="7">
        <f t="shared" si="45"/>
        <v>0</v>
      </c>
      <c r="J404" s="7">
        <v>65.947873587707363</v>
      </c>
      <c r="K404" s="7">
        <f t="shared" si="46"/>
        <v>1.0518002167098464</v>
      </c>
      <c r="L404" s="7">
        <f t="shared" si="47"/>
        <v>3.9589882016712359</v>
      </c>
      <c r="M404" s="7">
        <v>0</v>
      </c>
      <c r="N404" s="7">
        <f t="shared" si="48"/>
        <v>0</v>
      </c>
      <c r="O404" s="7">
        <f t="shared" si="49"/>
        <v>0</v>
      </c>
    </row>
    <row r="405" spans="3:15" x14ac:dyDescent="0.2">
      <c r="C405">
        <v>386</v>
      </c>
      <c r="D405" s="7">
        <v>2739.5726666641513</v>
      </c>
      <c r="E405" s="7">
        <f t="shared" ref="E405:E468" si="50">D405/($C$3*($D$8-$D$6))</f>
        <v>81.925019936128933</v>
      </c>
      <c r="F405" s="7">
        <f t="shared" ref="F405:F468" si="51">E405*$C$3*((($D$8)-($D$6))-$C$2*LN(($D$8)/($D$6)))</f>
        <v>221.22733670217281</v>
      </c>
      <c r="G405">
        <v>0</v>
      </c>
      <c r="H405" s="7">
        <f t="shared" ref="H405:H468" si="52">G405/($C$3*($D$6-$D$9))</f>
        <v>0</v>
      </c>
      <c r="I405" s="7">
        <f t="shared" ref="I405:I468" si="53">ABS(H405*$C$3*(($D$9-$D$6)-$C$2*(LN($D$9/$D$6))))</f>
        <v>0</v>
      </c>
      <c r="J405" s="7">
        <v>0</v>
      </c>
      <c r="K405" s="7">
        <f t="shared" ref="K405:K468" si="54">J405/($C$3*($D$10-$D$7))</f>
        <v>0</v>
      </c>
      <c r="L405" s="7">
        <f t="shared" ref="L405:L468" si="55">K405*$C$3*(($D$10-$D$7)-$C$2*LN($D$10/$D$7))</f>
        <v>0</v>
      </c>
      <c r="M405" s="7">
        <v>0</v>
      </c>
      <c r="N405" s="7">
        <f t="shared" ref="N405:N468" si="56">M405/($C$3*($D$7-$D$11))</f>
        <v>0</v>
      </c>
      <c r="O405" s="7">
        <f t="shared" ref="O405:O468" si="57">ABS(N405*$C$3*(($D$11-$D$7)-$C$2*LN($D$11/$D$7)))</f>
        <v>0</v>
      </c>
    </row>
    <row r="406" spans="3:15" x14ac:dyDescent="0.2">
      <c r="C406">
        <v>387</v>
      </c>
      <c r="D406" s="7">
        <v>2846.4029462591038</v>
      </c>
      <c r="E406" s="7">
        <f t="shared" si="50"/>
        <v>85.119705330714837</v>
      </c>
      <c r="F406" s="7">
        <f t="shared" si="51"/>
        <v>229.85414865774601</v>
      </c>
      <c r="G406">
        <v>0</v>
      </c>
      <c r="H406" s="7">
        <f t="shared" si="52"/>
        <v>0</v>
      </c>
      <c r="I406" s="7">
        <f t="shared" si="53"/>
        <v>0</v>
      </c>
      <c r="J406" s="7">
        <v>64.393012071556768</v>
      </c>
      <c r="K406" s="7">
        <f t="shared" si="54"/>
        <v>1.0270017874251478</v>
      </c>
      <c r="L406" s="7">
        <f t="shared" si="55"/>
        <v>3.865646626533318</v>
      </c>
      <c r="M406" s="7">
        <v>0</v>
      </c>
      <c r="N406" s="7">
        <f t="shared" si="56"/>
        <v>0</v>
      </c>
      <c r="O406" s="7">
        <f t="shared" si="57"/>
        <v>0</v>
      </c>
    </row>
    <row r="407" spans="3:15" x14ac:dyDescent="0.2">
      <c r="C407">
        <v>388</v>
      </c>
      <c r="D407" s="7">
        <v>2847.1171385442572</v>
      </c>
      <c r="E407" s="7">
        <f t="shared" si="50"/>
        <v>85.141062755510092</v>
      </c>
      <c r="F407" s="7">
        <f t="shared" si="51"/>
        <v>229.91182146893306</v>
      </c>
      <c r="G407">
        <v>0</v>
      </c>
      <c r="H407" s="7">
        <f t="shared" si="52"/>
        <v>0</v>
      </c>
      <c r="I407" s="7">
        <f t="shared" si="53"/>
        <v>0</v>
      </c>
      <c r="J407" s="7">
        <v>234.90211145291323</v>
      </c>
      <c r="K407" s="7">
        <f t="shared" si="54"/>
        <v>3.7464451587386485</v>
      </c>
      <c r="L407" s="7">
        <f t="shared" si="55"/>
        <v>14.101662983157834</v>
      </c>
      <c r="M407" s="7">
        <v>0</v>
      </c>
      <c r="N407" s="7">
        <f t="shared" si="56"/>
        <v>0</v>
      </c>
      <c r="O407" s="7">
        <f t="shared" si="57"/>
        <v>0</v>
      </c>
    </row>
    <row r="408" spans="3:15" x14ac:dyDescent="0.2">
      <c r="C408">
        <v>389</v>
      </c>
      <c r="D408" s="7">
        <v>2847.8385944116399</v>
      </c>
      <c r="E408" s="7">
        <f t="shared" si="50"/>
        <v>85.162637392692588</v>
      </c>
      <c r="F408" s="7">
        <f t="shared" si="51"/>
        <v>229.97008083253064</v>
      </c>
      <c r="G408">
        <v>0</v>
      </c>
      <c r="H408" s="7">
        <f t="shared" si="52"/>
        <v>0</v>
      </c>
      <c r="I408" s="7">
        <f t="shared" si="53"/>
        <v>0</v>
      </c>
      <c r="J408" s="7">
        <v>602.96928379031988</v>
      </c>
      <c r="K408" s="7">
        <f t="shared" si="54"/>
        <v>9.6167349886813387</v>
      </c>
      <c r="L408" s="7">
        <f t="shared" si="55"/>
        <v>36.197501915224663</v>
      </c>
      <c r="M408" s="7">
        <v>0</v>
      </c>
      <c r="N408" s="7">
        <f t="shared" si="56"/>
        <v>0</v>
      </c>
      <c r="O408" s="7">
        <f t="shared" si="57"/>
        <v>0</v>
      </c>
    </row>
    <row r="409" spans="3:15" x14ac:dyDescent="0.2">
      <c r="C409">
        <v>390</v>
      </c>
      <c r="D409" s="7">
        <v>2848.5672759987247</v>
      </c>
      <c r="E409" s="7">
        <f t="shared" si="50"/>
        <v>85.184428110009719</v>
      </c>
      <c r="F409" s="7">
        <f t="shared" si="51"/>
        <v>230.02892369104515</v>
      </c>
      <c r="G409">
        <v>0</v>
      </c>
      <c r="H409" s="7">
        <f t="shared" si="52"/>
        <v>0</v>
      </c>
      <c r="I409" s="7">
        <f t="shared" si="53"/>
        <v>0</v>
      </c>
      <c r="J409" s="7">
        <v>839.31900604917109</v>
      </c>
      <c r="K409" s="7">
        <f t="shared" si="54"/>
        <v>13.386268039061742</v>
      </c>
      <c r="L409" s="7">
        <f t="shared" si="55"/>
        <v>50.386067990014389</v>
      </c>
      <c r="M409" s="7">
        <v>0</v>
      </c>
      <c r="N409" s="7">
        <f t="shared" si="56"/>
        <v>0</v>
      </c>
      <c r="O409" s="7">
        <f t="shared" si="57"/>
        <v>0</v>
      </c>
    </row>
    <row r="410" spans="3:15" x14ac:dyDescent="0.2">
      <c r="C410">
        <v>391</v>
      </c>
      <c r="D410" s="7">
        <v>2849.3031455709111</v>
      </c>
      <c r="E410" s="7">
        <f t="shared" si="50"/>
        <v>85.206433779034427</v>
      </c>
      <c r="F410" s="7">
        <f t="shared" si="51"/>
        <v>230.08834699731327</v>
      </c>
      <c r="G410">
        <v>0</v>
      </c>
      <c r="H410" s="7">
        <f t="shared" si="52"/>
        <v>0</v>
      </c>
      <c r="I410" s="7">
        <f t="shared" si="53"/>
        <v>0</v>
      </c>
      <c r="J410" s="7">
        <v>1075.6615403229202</v>
      </c>
      <c r="K410" s="7">
        <f t="shared" si="54"/>
        <v>17.155686448531423</v>
      </c>
      <c r="L410" s="7">
        <f t="shared" si="55"/>
        <v>64.574202555087936</v>
      </c>
      <c r="M410" s="7">
        <v>680.37424334317575</v>
      </c>
      <c r="N410" s="7">
        <f t="shared" si="56"/>
        <v>54.256319245867289</v>
      </c>
      <c r="O410" s="7">
        <f t="shared" si="57"/>
        <v>20.537914935102574</v>
      </c>
    </row>
    <row r="411" spans="3:15" x14ac:dyDescent="0.2">
      <c r="C411">
        <v>392</v>
      </c>
      <c r="D411" s="7">
        <v>2850.0461655211725</v>
      </c>
      <c r="E411" s="7">
        <f t="shared" si="50"/>
        <v>85.228653275154684</v>
      </c>
      <c r="F411" s="7">
        <f t="shared" si="51"/>
        <v>230.14834771447369</v>
      </c>
      <c r="G411">
        <v>0</v>
      </c>
      <c r="H411" s="7">
        <f t="shared" si="52"/>
        <v>0</v>
      </c>
      <c r="I411" s="7">
        <f t="shared" si="53"/>
        <v>0</v>
      </c>
      <c r="J411" s="7">
        <v>1311.9969242185948</v>
      </c>
      <c r="K411" s="7">
        <f t="shared" si="54"/>
        <v>20.92499081688349</v>
      </c>
      <c r="L411" s="7">
        <f t="shared" si="55"/>
        <v>78.761907868073521</v>
      </c>
      <c r="M411" s="7">
        <v>680.37424334317575</v>
      </c>
      <c r="N411" s="7">
        <f t="shared" si="56"/>
        <v>54.256319245867289</v>
      </c>
      <c r="O411" s="7">
        <f t="shared" si="57"/>
        <v>20.537914935102574</v>
      </c>
    </row>
    <row r="412" spans="3:15" x14ac:dyDescent="0.2">
      <c r="C412">
        <v>393</v>
      </c>
      <c r="D412" s="7">
        <v>2850.7962983697175</v>
      </c>
      <c r="E412" s="7">
        <f t="shared" si="50"/>
        <v>85.251085477563336</v>
      </c>
      <c r="F412" s="7">
        <f t="shared" si="51"/>
        <v>230.20892281593964</v>
      </c>
      <c r="G412">
        <v>0</v>
      </c>
      <c r="H412" s="7">
        <f t="shared" si="52"/>
        <v>0</v>
      </c>
      <c r="I412" s="7">
        <f t="shared" si="53"/>
        <v>0</v>
      </c>
      <c r="J412" s="7">
        <v>1548.3251952159858</v>
      </c>
      <c r="K412" s="7">
        <f t="shared" si="54"/>
        <v>24.694181741881753</v>
      </c>
      <c r="L412" s="7">
        <f t="shared" si="55"/>
        <v>92.949186178961071</v>
      </c>
      <c r="M412" s="7">
        <v>0</v>
      </c>
      <c r="N412" s="7">
        <f t="shared" si="56"/>
        <v>0</v>
      </c>
      <c r="O412" s="7">
        <f t="shared" si="57"/>
        <v>0</v>
      </c>
    </row>
    <row r="413" spans="3:15" x14ac:dyDescent="0.2">
      <c r="C413">
        <v>394</v>
      </c>
      <c r="D413" s="7">
        <v>2851.5535067636288</v>
      </c>
      <c r="E413" s="7">
        <f t="shared" si="50"/>
        <v>85.273729269247283</v>
      </c>
      <c r="F413" s="7">
        <f t="shared" si="51"/>
        <v>230.27006928536963</v>
      </c>
      <c r="G413">
        <v>0</v>
      </c>
      <c r="H413" s="7">
        <f t="shared" si="52"/>
        <v>0</v>
      </c>
      <c r="I413" s="7">
        <f t="shared" si="53"/>
        <v>0</v>
      </c>
      <c r="J413" s="7">
        <v>1784.6463906680106</v>
      </c>
      <c r="K413" s="7">
        <f t="shared" si="54"/>
        <v>28.463259819266518</v>
      </c>
      <c r="L413" s="7">
        <f t="shared" si="55"/>
        <v>107.13603973012397</v>
      </c>
      <c r="M413" s="7">
        <v>0</v>
      </c>
      <c r="N413" s="7">
        <f t="shared" si="56"/>
        <v>0</v>
      </c>
      <c r="O413" s="7">
        <f t="shared" si="57"/>
        <v>0</v>
      </c>
    </row>
    <row r="414" spans="3:15" x14ac:dyDescent="0.2">
      <c r="C414">
        <v>395</v>
      </c>
      <c r="D414" s="7">
        <v>2852.3177534765396</v>
      </c>
      <c r="E414" s="7">
        <f t="shared" si="50"/>
        <v>85.296583536977863</v>
      </c>
      <c r="F414" s="7">
        <f t="shared" si="51"/>
        <v>230.33178411664164</v>
      </c>
      <c r="G414">
        <v>0</v>
      </c>
      <c r="H414" s="7">
        <f t="shared" si="52"/>
        <v>0</v>
      </c>
      <c r="I414" s="7">
        <f t="shared" si="53"/>
        <v>0</v>
      </c>
      <c r="J414" s="7">
        <v>2020.9605478010367</v>
      </c>
      <c r="K414" s="7">
        <f t="shared" si="54"/>
        <v>32.232225642759758</v>
      </c>
      <c r="L414" s="7">
        <f t="shared" si="55"/>
        <v>121.3224707563386</v>
      </c>
      <c r="M414" s="7">
        <v>0</v>
      </c>
      <c r="N414" s="7">
        <f t="shared" si="56"/>
        <v>0</v>
      </c>
      <c r="O414" s="7">
        <f t="shared" si="57"/>
        <v>0</v>
      </c>
    </row>
    <row r="415" spans="3:15" x14ac:dyDescent="0.2">
      <c r="C415">
        <v>396</v>
      </c>
      <c r="D415" s="7">
        <v>2853.0890014082606</v>
      </c>
      <c r="E415" s="7">
        <f t="shared" si="50"/>
        <v>85.319647171299664</v>
      </c>
      <c r="F415" s="7">
        <f t="shared" si="51"/>
        <v>230.39406431382272</v>
      </c>
      <c r="G415">
        <v>0</v>
      </c>
      <c r="H415" s="7">
        <f t="shared" si="52"/>
        <v>0</v>
      </c>
      <c r="I415" s="7">
        <f t="shared" si="53"/>
        <v>0</v>
      </c>
      <c r="J415" s="7">
        <v>2257.2677037152516</v>
      </c>
      <c r="K415" s="7">
        <f t="shared" si="54"/>
        <v>36.001079804071004</v>
      </c>
      <c r="L415" s="7">
        <f t="shared" si="55"/>
        <v>135.50848148480654</v>
      </c>
      <c r="M415" s="7">
        <v>0</v>
      </c>
      <c r="N415" s="7">
        <f t="shared" si="56"/>
        <v>0</v>
      </c>
      <c r="O415" s="7">
        <f t="shared" si="57"/>
        <v>0</v>
      </c>
    </row>
    <row r="416" spans="3:15" x14ac:dyDescent="0.2">
      <c r="C416">
        <v>397</v>
      </c>
      <c r="D416" s="7">
        <v>2853.867213584459</v>
      </c>
      <c r="E416" s="7">
        <f t="shared" si="50"/>
        <v>85.342919066520906</v>
      </c>
      <c r="F416" s="7">
        <f t="shared" si="51"/>
        <v>230.45690689114309</v>
      </c>
      <c r="G416">
        <v>0</v>
      </c>
      <c r="H416" s="7">
        <f t="shared" si="52"/>
        <v>0</v>
      </c>
      <c r="I416" s="7">
        <f t="shared" si="53"/>
        <v>0</v>
      </c>
      <c r="J416" s="7">
        <v>2493.5678953849883</v>
      </c>
      <c r="K416" s="7">
        <f t="shared" si="54"/>
        <v>39.769822892902525</v>
      </c>
      <c r="L416" s="7">
        <f t="shared" si="55"/>
        <v>149.69407413517388</v>
      </c>
      <c r="M416" s="7">
        <v>0</v>
      </c>
      <c r="N416" s="7">
        <f t="shared" si="56"/>
        <v>0</v>
      </c>
      <c r="O416" s="7">
        <f t="shared" si="57"/>
        <v>0</v>
      </c>
    </row>
    <row r="417" spans="3:15" x14ac:dyDescent="0.2">
      <c r="C417">
        <v>398</v>
      </c>
      <c r="D417" s="7">
        <v>2854.0351221394103</v>
      </c>
      <c r="E417" s="7">
        <f t="shared" si="50"/>
        <v>85.347940255365145</v>
      </c>
      <c r="F417" s="7">
        <f t="shared" si="51"/>
        <v>230.47046592641649</v>
      </c>
      <c r="G417">
        <v>0</v>
      </c>
      <c r="H417" s="7">
        <f t="shared" si="52"/>
        <v>0</v>
      </c>
      <c r="I417" s="7">
        <f t="shared" si="53"/>
        <v>0</v>
      </c>
      <c r="J417" s="7">
        <v>2730.478390675974</v>
      </c>
      <c r="K417" s="7">
        <f t="shared" si="54"/>
        <v>43.548299691801823</v>
      </c>
      <c r="L417" s="7">
        <f t="shared" si="55"/>
        <v>163.91630458300946</v>
      </c>
      <c r="M417" s="7">
        <v>0</v>
      </c>
      <c r="N417" s="7">
        <f t="shared" si="56"/>
        <v>0</v>
      </c>
      <c r="O417" s="7">
        <f t="shared" si="57"/>
        <v>0</v>
      </c>
    </row>
    <row r="418" spans="3:15" x14ac:dyDescent="0.2">
      <c r="C418">
        <v>399</v>
      </c>
      <c r="D418" s="7">
        <v>2853.9468131314998</v>
      </c>
      <c r="E418" s="7">
        <f t="shared" si="50"/>
        <v>85.34529943575059</v>
      </c>
      <c r="F418" s="7">
        <f t="shared" si="51"/>
        <v>230.46333475341837</v>
      </c>
      <c r="G418">
        <v>0</v>
      </c>
      <c r="H418" s="7">
        <f t="shared" si="52"/>
        <v>0</v>
      </c>
      <c r="I418" s="7">
        <f t="shared" si="53"/>
        <v>0</v>
      </c>
      <c r="J418" s="7">
        <v>2967.6451035298214</v>
      </c>
      <c r="K418" s="7">
        <f t="shared" si="54"/>
        <v>47.330862895212469</v>
      </c>
      <c r="L418" s="7">
        <f t="shared" si="55"/>
        <v>178.15391630477009</v>
      </c>
      <c r="M418" s="7">
        <v>0</v>
      </c>
      <c r="N418" s="7">
        <f t="shared" si="56"/>
        <v>0</v>
      </c>
      <c r="O418" s="7">
        <f t="shared" si="57"/>
        <v>0</v>
      </c>
    </row>
    <row r="419" spans="3:15" x14ac:dyDescent="0.2">
      <c r="C419">
        <v>400</v>
      </c>
      <c r="D419" s="7">
        <v>2853.8670261295269</v>
      </c>
      <c r="E419" s="7">
        <f t="shared" si="50"/>
        <v>85.342913460811218</v>
      </c>
      <c r="F419" s="7">
        <f t="shared" si="51"/>
        <v>230.45689175368904</v>
      </c>
      <c r="G419">
        <v>0</v>
      </c>
      <c r="H419" s="7">
        <f t="shared" si="52"/>
        <v>0</v>
      </c>
      <c r="I419" s="7">
        <f t="shared" si="53"/>
        <v>0</v>
      </c>
      <c r="J419" s="7">
        <v>2796.5015988652844</v>
      </c>
      <c r="K419" s="7">
        <f t="shared" si="54"/>
        <v>44.601301417309166</v>
      </c>
      <c r="L419" s="7">
        <f t="shared" si="55"/>
        <v>167.87981527771495</v>
      </c>
      <c r="M419" s="7">
        <v>680.37424334317575</v>
      </c>
      <c r="N419" s="7">
        <f t="shared" si="56"/>
        <v>54.256319245867289</v>
      </c>
      <c r="O419" s="7">
        <f t="shared" si="57"/>
        <v>20.537914935102574</v>
      </c>
    </row>
    <row r="420" spans="3:15" x14ac:dyDescent="0.2">
      <c r="C420">
        <v>401</v>
      </c>
      <c r="D420" s="7">
        <v>2853.7957225655191</v>
      </c>
      <c r="E420" s="7">
        <f t="shared" si="50"/>
        <v>85.340781177198537</v>
      </c>
      <c r="F420" s="7">
        <f t="shared" si="51"/>
        <v>230.45113381276821</v>
      </c>
      <c r="G420">
        <v>0</v>
      </c>
      <c r="H420" s="7">
        <f t="shared" si="52"/>
        <v>0</v>
      </c>
      <c r="I420" s="7">
        <f t="shared" si="53"/>
        <v>0</v>
      </c>
      <c r="J420" s="7">
        <v>3104.7748274290097</v>
      </c>
      <c r="K420" s="7">
        <f t="shared" si="54"/>
        <v>49.517939831403666</v>
      </c>
      <c r="L420" s="7">
        <f t="shared" si="55"/>
        <v>186.38609923168886</v>
      </c>
      <c r="M420" s="7">
        <v>680.37424334317575</v>
      </c>
      <c r="N420" s="7">
        <f t="shared" si="56"/>
        <v>54.256319245867289</v>
      </c>
      <c r="O420" s="7">
        <f t="shared" si="57"/>
        <v>20.537914935102574</v>
      </c>
    </row>
    <row r="421" spans="3:15" x14ac:dyDescent="0.2">
      <c r="C421">
        <v>402</v>
      </c>
      <c r="D421" s="7">
        <v>2853.7328639947063</v>
      </c>
      <c r="E421" s="7">
        <f t="shared" si="50"/>
        <v>85.338901435248403</v>
      </c>
      <c r="F421" s="7">
        <f t="shared" si="51"/>
        <v>230.44605782614485</v>
      </c>
      <c r="G421">
        <v>0</v>
      </c>
      <c r="H421" s="7">
        <f t="shared" si="52"/>
        <v>0</v>
      </c>
      <c r="I421" s="7">
        <f t="shared" si="53"/>
        <v>0</v>
      </c>
      <c r="J421" s="7">
        <v>3413.0396109995399</v>
      </c>
      <c r="K421" s="7">
        <f t="shared" si="54"/>
        <v>54.434443556611484</v>
      </c>
      <c r="L421" s="7">
        <f t="shared" si="55"/>
        <v>204.89187621513278</v>
      </c>
      <c r="M421" s="7">
        <v>680.37424334317575</v>
      </c>
      <c r="N421" s="7">
        <f t="shared" si="56"/>
        <v>54.256319245867289</v>
      </c>
      <c r="O421" s="7">
        <f t="shared" si="57"/>
        <v>20.537914935102574</v>
      </c>
    </row>
    <row r="422" spans="3:15" x14ac:dyDescent="0.2">
      <c r="C422">
        <v>403</v>
      </c>
      <c r="D422" s="7">
        <v>2853.6784120952084</v>
      </c>
      <c r="E422" s="7">
        <f t="shared" si="50"/>
        <v>85.337273088971543</v>
      </c>
      <c r="F422" s="7">
        <f t="shared" si="51"/>
        <v>230.44166069923128</v>
      </c>
      <c r="G422">
        <v>0</v>
      </c>
      <c r="H422" s="7">
        <f t="shared" si="52"/>
        <v>0</v>
      </c>
      <c r="I422" s="7">
        <f t="shared" si="53"/>
        <v>0</v>
      </c>
      <c r="J422" s="7">
        <v>3995.2532545651698</v>
      </c>
      <c r="K422" s="7">
        <f t="shared" si="54"/>
        <v>63.720147600720416</v>
      </c>
      <c r="L422" s="7">
        <f t="shared" si="55"/>
        <v>239.84337381971966</v>
      </c>
      <c r="M422" s="7">
        <v>680.37424334317575</v>
      </c>
      <c r="N422" s="7">
        <f t="shared" si="56"/>
        <v>54.256319245867289</v>
      </c>
      <c r="O422" s="7">
        <f t="shared" si="57"/>
        <v>20.537914935102574</v>
      </c>
    </row>
    <row r="423" spans="3:15" x14ac:dyDescent="0.2">
      <c r="C423">
        <v>404</v>
      </c>
      <c r="D423" s="7">
        <v>2853.6323286677143</v>
      </c>
      <c r="E423" s="7">
        <f t="shared" si="50"/>
        <v>85.33589499604409</v>
      </c>
      <c r="F423" s="7">
        <f t="shared" si="51"/>
        <v>230.4379393473377</v>
      </c>
      <c r="G423">
        <v>0</v>
      </c>
      <c r="H423" s="7">
        <f t="shared" si="52"/>
        <v>0</v>
      </c>
      <c r="I423" s="7">
        <f t="shared" si="53"/>
        <v>0</v>
      </c>
      <c r="J423" s="7">
        <v>3995.2993379926638</v>
      </c>
      <c r="K423" s="7">
        <f t="shared" si="54"/>
        <v>63.720882583615058</v>
      </c>
      <c r="L423" s="7">
        <f t="shared" si="55"/>
        <v>239.84614030385046</v>
      </c>
      <c r="M423" s="7">
        <v>680.37424334317575</v>
      </c>
      <c r="N423" s="7">
        <f t="shared" si="56"/>
        <v>54.256319245867289</v>
      </c>
      <c r="O423" s="7">
        <f t="shared" si="57"/>
        <v>20.537914935102574</v>
      </c>
    </row>
    <row r="424" spans="3:15" x14ac:dyDescent="0.2">
      <c r="C424">
        <v>405</v>
      </c>
      <c r="D424" s="7">
        <v>2853.5945756351543</v>
      </c>
      <c r="E424" s="7">
        <f t="shared" si="50"/>
        <v>85.334766017797691</v>
      </c>
      <c r="F424" s="7">
        <f t="shared" si="51"/>
        <v>230.43489069564572</v>
      </c>
      <c r="G424">
        <v>0</v>
      </c>
      <c r="H424" s="7">
        <f t="shared" si="52"/>
        <v>0</v>
      </c>
      <c r="I424" s="7">
        <f t="shared" si="53"/>
        <v>0</v>
      </c>
      <c r="J424" s="7">
        <v>4337.7836743582429</v>
      </c>
      <c r="K424" s="7">
        <f t="shared" si="54"/>
        <v>69.183152701088403</v>
      </c>
      <c r="L424" s="7">
        <f t="shared" si="55"/>
        <v>260.4061883109369</v>
      </c>
      <c r="M424" s="7">
        <v>680.37424334317575</v>
      </c>
      <c r="N424" s="7">
        <f t="shared" si="56"/>
        <v>54.256319245867289</v>
      </c>
      <c r="O424" s="7">
        <f t="shared" si="57"/>
        <v>20.537914935102574</v>
      </c>
    </row>
    <row r="425" spans="3:15" x14ac:dyDescent="0.2">
      <c r="C425">
        <v>406</v>
      </c>
      <c r="D425" s="7">
        <v>2853.5651150423892</v>
      </c>
      <c r="E425" s="7">
        <f t="shared" si="50"/>
        <v>85.333885019210214</v>
      </c>
      <c r="F425" s="7">
        <f t="shared" si="51"/>
        <v>230.43251167918285</v>
      </c>
      <c r="G425">
        <v>0</v>
      </c>
      <c r="H425" s="7">
        <f t="shared" si="52"/>
        <v>0</v>
      </c>
      <c r="I425" s="7">
        <f t="shared" si="53"/>
        <v>0</v>
      </c>
      <c r="J425" s="7">
        <v>3447.4520182851593</v>
      </c>
      <c r="K425" s="7">
        <f t="shared" si="54"/>
        <v>54.98328577807272</v>
      </c>
      <c r="L425" s="7">
        <f t="shared" si="55"/>
        <v>206.95772469550394</v>
      </c>
      <c r="M425" s="7">
        <v>680.37424334317575</v>
      </c>
      <c r="N425" s="7">
        <f t="shared" si="56"/>
        <v>54.256319245867289</v>
      </c>
      <c r="O425" s="7">
        <f t="shared" si="57"/>
        <v>20.537914935102574</v>
      </c>
    </row>
    <row r="426" spans="3:15" x14ac:dyDescent="0.2">
      <c r="C426">
        <v>407</v>
      </c>
      <c r="D426" s="7">
        <v>2853.5439090558802</v>
      </c>
      <c r="E426" s="7">
        <f t="shared" si="50"/>
        <v>85.333250868895945</v>
      </c>
      <c r="F426" s="7">
        <f t="shared" si="51"/>
        <v>230.43079924279647</v>
      </c>
      <c r="G426">
        <v>0</v>
      </c>
      <c r="H426" s="7">
        <f t="shared" si="52"/>
        <v>0</v>
      </c>
      <c r="I426" s="7">
        <f t="shared" si="53"/>
        <v>0</v>
      </c>
      <c r="J426" s="7">
        <v>2557.1121076058189</v>
      </c>
      <c r="K426" s="7">
        <f t="shared" si="54"/>
        <v>40.783287202644644</v>
      </c>
      <c r="L426" s="7">
        <f t="shared" si="55"/>
        <v>153.50876553886542</v>
      </c>
      <c r="M426" s="7">
        <v>0</v>
      </c>
      <c r="N426" s="7">
        <f t="shared" si="56"/>
        <v>0</v>
      </c>
      <c r="O426" s="7">
        <f t="shared" si="57"/>
        <v>0</v>
      </c>
    </row>
    <row r="427" spans="3:15" x14ac:dyDescent="0.2">
      <c r="C427">
        <v>408</v>
      </c>
      <c r="D427" s="7">
        <v>2853.5309199633839</v>
      </c>
      <c r="E427" s="7">
        <f t="shared" si="50"/>
        <v>85.332862439096417</v>
      </c>
      <c r="F427" s="7">
        <f t="shared" si="51"/>
        <v>230.42975034112868</v>
      </c>
      <c r="G427">
        <v>0</v>
      </c>
      <c r="H427" s="7">
        <f t="shared" si="52"/>
        <v>0</v>
      </c>
      <c r="I427" s="7">
        <f t="shared" si="53"/>
        <v>0</v>
      </c>
      <c r="J427" s="7">
        <v>1666.763980032465</v>
      </c>
      <c r="K427" s="7">
        <f t="shared" si="54"/>
        <v>26.583157576275362</v>
      </c>
      <c r="L427" s="7">
        <f t="shared" si="55"/>
        <v>100.05931310496588</v>
      </c>
      <c r="M427" s="7">
        <v>0</v>
      </c>
      <c r="N427" s="7">
        <f t="shared" si="56"/>
        <v>0</v>
      </c>
      <c r="O427" s="7">
        <f t="shared" si="57"/>
        <v>0</v>
      </c>
    </row>
    <row r="428" spans="3:15" x14ac:dyDescent="0.2">
      <c r="C428">
        <v>409</v>
      </c>
      <c r="D428" s="7">
        <v>2853.5261101736251</v>
      </c>
      <c r="E428" s="7">
        <f t="shared" si="50"/>
        <v>85.332718605670607</v>
      </c>
      <c r="F428" s="7">
        <f t="shared" si="51"/>
        <v>230.42936193859006</v>
      </c>
      <c r="G428">
        <v>0</v>
      </c>
      <c r="H428" s="7">
        <f t="shared" si="52"/>
        <v>0</v>
      </c>
      <c r="I428" s="7">
        <f t="shared" si="53"/>
        <v>0</v>
      </c>
      <c r="J428" s="7">
        <v>57.26984815703554</v>
      </c>
      <c r="K428" s="7">
        <f t="shared" si="54"/>
        <v>0.91339470744873275</v>
      </c>
      <c r="L428" s="7">
        <f t="shared" si="55"/>
        <v>3.4380282612701145</v>
      </c>
      <c r="M428" s="7">
        <v>0</v>
      </c>
      <c r="N428" s="7">
        <f t="shared" si="56"/>
        <v>0</v>
      </c>
      <c r="O428" s="7">
        <f t="shared" si="57"/>
        <v>0</v>
      </c>
    </row>
    <row r="429" spans="3:15" x14ac:dyDescent="0.2">
      <c r="C429">
        <v>410</v>
      </c>
      <c r="D429" s="7">
        <v>2739.5726666641513</v>
      </c>
      <c r="E429" s="7">
        <f t="shared" si="50"/>
        <v>81.925019936128933</v>
      </c>
      <c r="F429" s="7">
        <f t="shared" si="51"/>
        <v>221.22733670217281</v>
      </c>
      <c r="G429">
        <v>0</v>
      </c>
      <c r="H429" s="7">
        <f t="shared" si="52"/>
        <v>0</v>
      </c>
      <c r="I429" s="7">
        <f t="shared" si="53"/>
        <v>0</v>
      </c>
      <c r="J429" s="7">
        <v>0</v>
      </c>
      <c r="K429" s="7">
        <f t="shared" si="54"/>
        <v>0</v>
      </c>
      <c r="L429" s="7">
        <f t="shared" si="55"/>
        <v>0</v>
      </c>
      <c r="M429" s="7">
        <v>0</v>
      </c>
      <c r="N429" s="7">
        <f t="shared" si="56"/>
        <v>0</v>
      </c>
      <c r="O429" s="7">
        <f t="shared" si="57"/>
        <v>0</v>
      </c>
    </row>
    <row r="430" spans="3:15" x14ac:dyDescent="0.2">
      <c r="C430">
        <v>411</v>
      </c>
      <c r="D430" s="7">
        <v>2853.7109825380753</v>
      </c>
      <c r="E430" s="7">
        <f t="shared" si="50"/>
        <v>85.338247085468765</v>
      </c>
      <c r="F430" s="7">
        <f t="shared" si="51"/>
        <v>230.44429084385868</v>
      </c>
      <c r="G430">
        <v>0</v>
      </c>
      <c r="H430" s="7">
        <f t="shared" si="52"/>
        <v>0</v>
      </c>
      <c r="I430" s="7">
        <f t="shared" si="53"/>
        <v>0</v>
      </c>
      <c r="J430" s="7">
        <v>57.084975792585283</v>
      </c>
      <c r="K430" s="7">
        <f t="shared" si="54"/>
        <v>0.91044618488971751</v>
      </c>
      <c r="L430" s="7">
        <f t="shared" si="55"/>
        <v>3.4269299881969086</v>
      </c>
      <c r="M430" s="7">
        <v>0</v>
      </c>
      <c r="N430" s="7">
        <f t="shared" si="56"/>
        <v>0</v>
      </c>
      <c r="O430" s="7">
        <f t="shared" si="57"/>
        <v>0</v>
      </c>
    </row>
    <row r="431" spans="3:15" x14ac:dyDescent="0.2">
      <c r="C431">
        <v>412</v>
      </c>
      <c r="D431" s="7">
        <v>2853.7297047964698</v>
      </c>
      <c r="E431" s="7">
        <f t="shared" si="50"/>
        <v>85.338806961616925</v>
      </c>
      <c r="F431" s="7">
        <f t="shared" si="51"/>
        <v>230.44580271299509</v>
      </c>
      <c r="G431">
        <v>0</v>
      </c>
      <c r="H431" s="7">
        <f t="shared" si="52"/>
        <v>0</v>
      </c>
      <c r="I431" s="7">
        <f t="shared" si="53"/>
        <v>0</v>
      </c>
      <c r="J431" s="7">
        <v>228.28954520070056</v>
      </c>
      <c r="K431" s="7">
        <f t="shared" si="54"/>
        <v>3.6409815821483345</v>
      </c>
      <c r="L431" s="7">
        <f t="shared" si="55"/>
        <v>13.704696858989136</v>
      </c>
      <c r="M431" s="7">
        <v>0</v>
      </c>
      <c r="N431" s="7">
        <f t="shared" si="56"/>
        <v>0</v>
      </c>
      <c r="O431" s="7">
        <f t="shared" si="57"/>
        <v>0</v>
      </c>
    </row>
    <row r="432" spans="3:15" x14ac:dyDescent="0.2">
      <c r="C432">
        <v>413</v>
      </c>
      <c r="D432" s="7">
        <v>2853.7564597088294</v>
      </c>
      <c r="E432" s="7">
        <f t="shared" si="50"/>
        <v>85.339607048709013</v>
      </c>
      <c r="F432" s="7">
        <f t="shared" si="51"/>
        <v>230.44796323900593</v>
      </c>
      <c r="G432">
        <v>0</v>
      </c>
      <c r="H432" s="7">
        <f t="shared" si="52"/>
        <v>0</v>
      </c>
      <c r="I432" s="7">
        <f t="shared" si="53"/>
        <v>0</v>
      </c>
      <c r="J432" s="7">
        <v>570.70937362135965</v>
      </c>
      <c r="K432" s="7">
        <f t="shared" si="54"/>
        <v>9.1022228647744772</v>
      </c>
      <c r="L432" s="7">
        <f t="shared" si="55"/>
        <v>34.260872319790771</v>
      </c>
      <c r="M432" s="7">
        <v>0</v>
      </c>
      <c r="N432" s="7">
        <f t="shared" si="56"/>
        <v>0</v>
      </c>
      <c r="O432" s="7">
        <f t="shared" si="57"/>
        <v>0</v>
      </c>
    </row>
    <row r="433" spans="3:15" x14ac:dyDescent="0.2">
      <c r="C433">
        <v>414</v>
      </c>
      <c r="D433" s="7">
        <v>2853.7912102773948</v>
      </c>
      <c r="E433" s="7">
        <f t="shared" si="50"/>
        <v>85.340646240352726</v>
      </c>
      <c r="F433" s="7">
        <f t="shared" si="51"/>
        <v>230.45076943422984</v>
      </c>
      <c r="G433">
        <v>0</v>
      </c>
      <c r="H433" s="7">
        <f t="shared" si="52"/>
        <v>0</v>
      </c>
      <c r="I433" s="7">
        <f t="shared" si="53"/>
        <v>0</v>
      </c>
      <c r="J433" s="7">
        <v>798.97234527480623</v>
      </c>
      <c r="K433" s="7">
        <f t="shared" si="54"/>
        <v>12.742780626392445</v>
      </c>
      <c r="L433" s="7">
        <f t="shared" si="55"/>
        <v>47.963973913393303</v>
      </c>
      <c r="M433" s="7">
        <v>0</v>
      </c>
      <c r="N433" s="7">
        <f t="shared" si="56"/>
        <v>0</v>
      </c>
      <c r="O433" s="7">
        <f t="shared" si="57"/>
        <v>0</v>
      </c>
    </row>
    <row r="434" spans="3:15" x14ac:dyDescent="0.2">
      <c r="C434">
        <v>415</v>
      </c>
      <c r="D434" s="7">
        <v>2853.8339196234974</v>
      </c>
      <c r="E434" s="7">
        <f t="shared" si="50"/>
        <v>85.341923433717028</v>
      </c>
      <c r="F434" s="7">
        <f t="shared" si="51"/>
        <v>230.45421832062206</v>
      </c>
      <c r="G434">
        <v>0</v>
      </c>
      <c r="H434" s="7">
        <f t="shared" si="52"/>
        <v>0</v>
      </c>
      <c r="I434" s="7">
        <f t="shared" si="53"/>
        <v>0</v>
      </c>
      <c r="J434" s="7">
        <v>1027.2273581507166</v>
      </c>
      <c r="K434" s="7">
        <f t="shared" si="54"/>
        <v>16.383211453759436</v>
      </c>
      <c r="L434" s="7">
        <f t="shared" si="55"/>
        <v>61.666597725004515</v>
      </c>
      <c r="M434" s="7">
        <v>680.37424334317575</v>
      </c>
      <c r="N434" s="7">
        <f t="shared" si="56"/>
        <v>54.256319245867289</v>
      </c>
      <c r="O434" s="7">
        <f t="shared" si="57"/>
        <v>20.537914935102574</v>
      </c>
    </row>
    <row r="435" spans="3:15" x14ac:dyDescent="0.2">
      <c r="C435">
        <v>416</v>
      </c>
      <c r="D435" s="7">
        <v>2853.8845509872517</v>
      </c>
      <c r="E435" s="7">
        <f t="shared" si="50"/>
        <v>85.343437529523086</v>
      </c>
      <c r="F435" s="7">
        <f t="shared" si="51"/>
        <v>230.45830692973007</v>
      </c>
      <c r="G435">
        <v>0</v>
      </c>
      <c r="H435" s="7">
        <f t="shared" si="52"/>
        <v>0</v>
      </c>
      <c r="I435" s="7">
        <f t="shared" si="53"/>
        <v>0</v>
      </c>
      <c r="J435" s="7">
        <v>1255.4744490089743</v>
      </c>
      <c r="K435" s="7">
        <f t="shared" si="54"/>
        <v>20.023515933157487</v>
      </c>
      <c r="L435" s="7">
        <f t="shared" si="55"/>
        <v>75.368745961396783</v>
      </c>
      <c r="M435" s="7">
        <v>680.37424334317575</v>
      </c>
      <c r="N435" s="7">
        <f t="shared" si="56"/>
        <v>54.256319245867289</v>
      </c>
      <c r="O435" s="7">
        <f t="shared" si="57"/>
        <v>20.537914935102574</v>
      </c>
    </row>
    <row r="436" spans="3:15" x14ac:dyDescent="0.2">
      <c r="C436">
        <v>417</v>
      </c>
      <c r="D436" s="7">
        <v>2853.9430677272376</v>
      </c>
      <c r="E436" s="7">
        <f t="shared" si="50"/>
        <v>85.345187432034621</v>
      </c>
      <c r="F436" s="7">
        <f t="shared" si="51"/>
        <v>230.46303230266764</v>
      </c>
      <c r="G436">
        <v>0</v>
      </c>
      <c r="H436" s="7">
        <f t="shared" si="52"/>
        <v>0</v>
      </c>
      <c r="I436" s="7">
        <f t="shared" si="53"/>
        <v>0</v>
      </c>
      <c r="J436" s="7">
        <v>1483.7136544910018</v>
      </c>
      <c r="K436" s="7">
        <f t="shared" si="54"/>
        <v>23.663694648979295</v>
      </c>
      <c r="L436" s="7">
        <f t="shared" si="55"/>
        <v>89.070420822231</v>
      </c>
      <c r="M436" s="7">
        <v>680.37424334317575</v>
      </c>
      <c r="N436" s="7">
        <f t="shared" si="56"/>
        <v>54.256319245867289</v>
      </c>
      <c r="O436" s="7">
        <f t="shared" si="57"/>
        <v>20.537914935102574</v>
      </c>
    </row>
    <row r="437" spans="3:15" x14ac:dyDescent="0.2">
      <c r="C437">
        <v>418</v>
      </c>
      <c r="D437" s="7">
        <v>2854.0094333201896</v>
      </c>
      <c r="E437" s="7">
        <f t="shared" si="50"/>
        <v>85.347172049048737</v>
      </c>
      <c r="F437" s="7">
        <f t="shared" si="51"/>
        <v>230.46839149008986</v>
      </c>
      <c r="G437">
        <v>0</v>
      </c>
      <c r="H437" s="7">
        <f t="shared" si="52"/>
        <v>0</v>
      </c>
      <c r="I437" s="7">
        <f t="shared" si="53"/>
        <v>0</v>
      </c>
      <c r="J437" s="7">
        <v>1711.9450111200622</v>
      </c>
      <c r="K437" s="7">
        <f t="shared" si="54"/>
        <v>27.303748183733052</v>
      </c>
      <c r="L437" s="7">
        <f t="shared" si="55"/>
        <v>102.77162450007476</v>
      </c>
      <c r="M437" s="7">
        <v>680.37424334317575</v>
      </c>
      <c r="N437" s="7">
        <f t="shared" si="56"/>
        <v>54.256319245867289</v>
      </c>
      <c r="O437" s="7">
        <f t="shared" si="57"/>
        <v>20.537914935102574</v>
      </c>
    </row>
    <row r="438" spans="3:15" x14ac:dyDescent="0.2">
      <c r="C438">
        <v>419</v>
      </c>
      <c r="D438" s="7">
        <v>2854.083611360697</v>
      </c>
      <c r="E438" s="7">
        <f t="shared" si="50"/>
        <v>85.349390291886877</v>
      </c>
      <c r="F438" s="7">
        <f t="shared" si="51"/>
        <v>230.47438155216884</v>
      </c>
      <c r="G438">
        <v>0</v>
      </c>
      <c r="H438" s="7">
        <f t="shared" si="52"/>
        <v>0</v>
      </c>
      <c r="I438" s="7">
        <f t="shared" si="53"/>
        <v>0</v>
      </c>
      <c r="J438" s="7">
        <v>1940.1685553015673</v>
      </c>
      <c r="K438" s="7">
        <f t="shared" si="54"/>
        <v>30.943677118047326</v>
      </c>
      <c r="L438" s="7">
        <f t="shared" si="55"/>
        <v>116.47235918042068</v>
      </c>
      <c r="M438" s="7">
        <v>680.37424334317575</v>
      </c>
      <c r="N438" s="7">
        <f t="shared" si="56"/>
        <v>54.256319245867289</v>
      </c>
      <c r="O438" s="7">
        <f t="shared" si="57"/>
        <v>20.537914935102574</v>
      </c>
    </row>
    <row r="439" spans="3:15" x14ac:dyDescent="0.2">
      <c r="C439">
        <v>420</v>
      </c>
      <c r="D439" s="7">
        <v>2854.1655655608747</v>
      </c>
      <c r="E439" s="7">
        <f t="shared" si="50"/>
        <v>85.351841075385011</v>
      </c>
      <c r="F439" s="7">
        <f t="shared" si="51"/>
        <v>230.48099955856725</v>
      </c>
      <c r="G439">
        <v>0</v>
      </c>
      <c r="H439" s="7">
        <f t="shared" si="52"/>
        <v>0</v>
      </c>
      <c r="I439" s="7">
        <f t="shared" si="53"/>
        <v>0</v>
      </c>
      <c r="J439" s="7">
        <v>2168.384323323402</v>
      </c>
      <c r="K439" s="7">
        <f t="shared" si="54"/>
        <v>34.583482030676272</v>
      </c>
      <c r="L439" s="7">
        <f t="shared" si="55"/>
        <v>130.17262704170616</v>
      </c>
      <c r="M439" s="7">
        <v>680.37424334317575</v>
      </c>
      <c r="N439" s="7">
        <f t="shared" si="56"/>
        <v>54.256319245867289</v>
      </c>
      <c r="O439" s="7">
        <f t="shared" si="57"/>
        <v>20.537914935102574</v>
      </c>
    </row>
    <row r="440" spans="3:15" x14ac:dyDescent="0.2">
      <c r="C440">
        <v>421</v>
      </c>
      <c r="D440" s="7">
        <v>2854.2552597500689</v>
      </c>
      <c r="E440" s="7">
        <f t="shared" si="50"/>
        <v>85.354523317884841</v>
      </c>
      <c r="F440" s="7">
        <f t="shared" si="51"/>
        <v>230.48824258841441</v>
      </c>
      <c r="G440">
        <v>0</v>
      </c>
      <c r="H440" s="7">
        <f t="shared" si="52"/>
        <v>0</v>
      </c>
      <c r="I440" s="7">
        <f t="shared" si="53"/>
        <v>0</v>
      </c>
      <c r="J440" s="7">
        <v>2396.5923513562202</v>
      </c>
      <c r="K440" s="7">
        <f t="shared" si="54"/>
        <v>38.223163498504313</v>
      </c>
      <c r="L440" s="7">
        <f t="shared" si="55"/>
        <v>143.87243025533081</v>
      </c>
      <c r="M440" s="7">
        <v>680.37424334317575</v>
      </c>
      <c r="N440" s="7">
        <f t="shared" si="56"/>
        <v>54.256319245867289</v>
      </c>
      <c r="O440" s="7">
        <f t="shared" si="57"/>
        <v>20.537914935102574</v>
      </c>
    </row>
    <row r="441" spans="3:15" x14ac:dyDescent="0.2">
      <c r="C441">
        <v>422</v>
      </c>
      <c r="D441" s="7">
        <v>2854.3526578745386</v>
      </c>
      <c r="E441" s="7">
        <f t="shared" si="50"/>
        <v>85.357435941224253</v>
      </c>
      <c r="F441" s="7">
        <f t="shared" si="51"/>
        <v>230.49610773028064</v>
      </c>
      <c r="G441">
        <v>0</v>
      </c>
      <c r="H441" s="7">
        <f t="shared" si="52"/>
        <v>0</v>
      </c>
      <c r="I441" s="7">
        <f t="shared" si="53"/>
        <v>0</v>
      </c>
      <c r="J441" s="7">
        <v>2624.7926754537639</v>
      </c>
      <c r="K441" s="7">
        <f t="shared" si="54"/>
        <v>41.862722096551259</v>
      </c>
      <c r="L441" s="7">
        <f t="shared" si="55"/>
        <v>157.5717709856759</v>
      </c>
      <c r="M441" s="7">
        <v>680.37424334317575</v>
      </c>
      <c r="N441" s="7">
        <f t="shared" si="56"/>
        <v>54.256319245867289</v>
      </c>
      <c r="O441" s="7">
        <f t="shared" si="57"/>
        <v>20.537914935102574</v>
      </c>
    </row>
    <row r="442" spans="3:15" x14ac:dyDescent="0.2">
      <c r="C442">
        <v>423</v>
      </c>
      <c r="D442" s="7">
        <v>2854.457723997155</v>
      </c>
      <c r="E442" s="7">
        <f t="shared" si="50"/>
        <v>85.360577870728321</v>
      </c>
      <c r="F442" s="7">
        <f t="shared" si="51"/>
        <v>230.50459208215307</v>
      </c>
      <c r="G442">
        <v>0</v>
      </c>
      <c r="H442" s="7">
        <f t="shared" si="52"/>
        <v>0</v>
      </c>
      <c r="I442" s="7">
        <f t="shared" si="53"/>
        <v>0</v>
      </c>
      <c r="J442" s="7">
        <v>2453.4643176646368</v>
      </c>
      <c r="K442" s="7">
        <f t="shared" si="54"/>
        <v>39.130212402944771</v>
      </c>
      <c r="L442" s="7">
        <f t="shared" si="55"/>
        <v>147.2865728405564</v>
      </c>
      <c r="M442" s="7">
        <v>680.37424334317575</v>
      </c>
      <c r="N442" s="7">
        <f t="shared" si="56"/>
        <v>54.256319245867289</v>
      </c>
      <c r="O442" s="7">
        <f t="shared" si="57"/>
        <v>20.537914935102574</v>
      </c>
    </row>
    <row r="443" spans="3:15" x14ac:dyDescent="0.2">
      <c r="C443">
        <v>424</v>
      </c>
      <c r="D443" s="7">
        <v>2854.5704222970953</v>
      </c>
      <c r="E443" s="7">
        <f t="shared" si="50"/>
        <v>85.363948035200224</v>
      </c>
      <c r="F443" s="7">
        <f t="shared" si="51"/>
        <v>230.51369275141073</v>
      </c>
      <c r="G443">
        <v>0</v>
      </c>
      <c r="H443" s="7">
        <f t="shared" si="52"/>
        <v>0</v>
      </c>
      <c r="I443" s="7">
        <f t="shared" si="53"/>
        <v>0</v>
      </c>
      <c r="J443" s="7">
        <v>2852.8726332532196</v>
      </c>
      <c r="K443" s="7">
        <f t="shared" si="54"/>
        <v>45.500360976925357</v>
      </c>
      <c r="L443" s="7">
        <f t="shared" si="55"/>
        <v>171.26388587645883</v>
      </c>
      <c r="M443" s="7">
        <v>680.37424334317575</v>
      </c>
      <c r="N443" s="7">
        <f t="shared" si="56"/>
        <v>54.256319245867289</v>
      </c>
      <c r="O443" s="7">
        <f t="shared" si="57"/>
        <v>20.537914935102574</v>
      </c>
    </row>
    <row r="444" spans="3:15" x14ac:dyDescent="0.2">
      <c r="C444">
        <v>425</v>
      </c>
      <c r="D444" s="7">
        <v>2854.6907170695176</v>
      </c>
      <c r="E444" s="7">
        <f t="shared" si="50"/>
        <v>85.367545366911415</v>
      </c>
      <c r="F444" s="7">
        <f t="shared" si="51"/>
        <v>230.52340685479848</v>
      </c>
      <c r="G444">
        <v>0</v>
      </c>
      <c r="H444" s="7">
        <f t="shared" si="52"/>
        <v>0</v>
      </c>
      <c r="I444" s="7">
        <f t="shared" si="53"/>
        <v>0</v>
      </c>
      <c r="J444" s="7">
        <v>3252.2733523693196</v>
      </c>
      <c r="K444" s="7">
        <f t="shared" si="54"/>
        <v>51.870388395044976</v>
      </c>
      <c r="L444" s="7">
        <f t="shared" si="55"/>
        <v>195.24074288029689</v>
      </c>
      <c r="M444" s="7">
        <v>680.37424334317575</v>
      </c>
      <c r="N444" s="7">
        <f t="shared" si="56"/>
        <v>54.256319245867289</v>
      </c>
      <c r="O444" s="7">
        <f t="shared" si="57"/>
        <v>20.537914935102574</v>
      </c>
    </row>
    <row r="445" spans="3:15" x14ac:dyDescent="0.2">
      <c r="C445">
        <v>426</v>
      </c>
      <c r="D445" s="7">
        <v>2854.818572725279</v>
      </c>
      <c r="E445" s="7">
        <f t="shared" si="50"/>
        <v>85.371368801593277</v>
      </c>
      <c r="F445" s="7">
        <f t="shared" si="51"/>
        <v>230.53373151840407</v>
      </c>
      <c r="G445">
        <v>0</v>
      </c>
      <c r="H445" s="7">
        <f t="shared" si="52"/>
        <v>0</v>
      </c>
      <c r="I445" s="7">
        <f t="shared" si="53"/>
        <v>0</v>
      </c>
      <c r="J445" s="7">
        <v>3651.6665106020796</v>
      </c>
      <c r="K445" s="7">
        <f t="shared" si="54"/>
        <v>58.240295224913552</v>
      </c>
      <c r="L445" s="7">
        <f t="shared" si="55"/>
        <v>219.2171459885609</v>
      </c>
      <c r="M445" s="7">
        <v>680.37424334317575</v>
      </c>
      <c r="N445" s="7">
        <f t="shared" si="56"/>
        <v>54.256319245867289</v>
      </c>
      <c r="O445" s="7">
        <f t="shared" si="57"/>
        <v>20.537914935102574</v>
      </c>
    </row>
    <row r="446" spans="3:15" x14ac:dyDescent="0.2">
      <c r="C446">
        <v>427</v>
      </c>
      <c r="D446" s="7">
        <v>2854.953953790623</v>
      </c>
      <c r="E446" s="7">
        <f t="shared" si="50"/>
        <v>85.375417278427733</v>
      </c>
      <c r="F446" s="7">
        <f t="shared" si="51"/>
        <v>230.54466387763307</v>
      </c>
      <c r="G446">
        <v>0</v>
      </c>
      <c r="H446" s="7">
        <f t="shared" si="52"/>
        <v>0</v>
      </c>
      <c r="I446" s="7">
        <f t="shared" si="53"/>
        <v>0</v>
      </c>
      <c r="J446" s="7">
        <v>3180.6670774538352</v>
      </c>
      <c r="K446" s="7">
        <f t="shared" si="54"/>
        <v>50.728342543123375</v>
      </c>
      <c r="L446" s="7">
        <f t="shared" si="55"/>
        <v>190.94206906211829</v>
      </c>
      <c r="M446" s="7">
        <v>680.37424334317575</v>
      </c>
      <c r="N446" s="7">
        <f t="shared" si="56"/>
        <v>54.256319245867289</v>
      </c>
      <c r="O446" s="7">
        <f t="shared" si="57"/>
        <v>20.537914935102574</v>
      </c>
    </row>
    <row r="447" spans="3:15" x14ac:dyDescent="0.2">
      <c r="C447">
        <v>428</v>
      </c>
      <c r="D447" s="7">
        <v>2855.0968249068596</v>
      </c>
      <c r="E447" s="7">
        <f t="shared" si="50"/>
        <v>85.379689740037676</v>
      </c>
      <c r="F447" s="7">
        <f t="shared" si="51"/>
        <v>230.55620107718295</v>
      </c>
      <c r="G447">
        <v>0</v>
      </c>
      <c r="H447" s="7">
        <f t="shared" si="52"/>
        <v>0</v>
      </c>
      <c r="I447" s="7">
        <f t="shared" si="53"/>
        <v>0</v>
      </c>
      <c r="J447" s="7">
        <v>2709.6601542546973</v>
      </c>
      <c r="K447" s="7">
        <f t="shared" si="54"/>
        <v>43.216270402786243</v>
      </c>
      <c r="L447" s="7">
        <f t="shared" si="55"/>
        <v>162.6665424923209</v>
      </c>
      <c r="M447" s="7">
        <v>680.37424334317575</v>
      </c>
      <c r="N447" s="7">
        <f t="shared" si="56"/>
        <v>54.256319245867289</v>
      </c>
      <c r="O447" s="7">
        <f t="shared" si="57"/>
        <v>20.537914935102574</v>
      </c>
    </row>
    <row r="448" spans="3:15" x14ac:dyDescent="0.2">
      <c r="C448">
        <v>429</v>
      </c>
      <c r="D448" s="7">
        <v>2855.2471508300832</v>
      </c>
      <c r="E448" s="7">
        <f t="shared" si="50"/>
        <v>85.384185132478578</v>
      </c>
      <c r="F448" s="7">
        <f t="shared" si="51"/>
        <v>230.56834027102028</v>
      </c>
      <c r="G448">
        <v>0</v>
      </c>
      <c r="H448" s="7">
        <f t="shared" si="52"/>
        <v>0</v>
      </c>
      <c r="I448" s="7">
        <f t="shared" si="53"/>
        <v>0</v>
      </c>
      <c r="J448" s="7">
        <v>2238.6457762485725</v>
      </c>
      <c r="K448" s="7">
        <f t="shared" si="54"/>
        <v>35.704079366005942</v>
      </c>
      <c r="L448" s="7">
        <f t="shared" si="55"/>
        <v>134.39056839493392</v>
      </c>
      <c r="M448" s="7">
        <v>680.37424334317575</v>
      </c>
      <c r="N448" s="7">
        <f t="shared" si="56"/>
        <v>54.256319245867289</v>
      </c>
      <c r="O448" s="7">
        <f t="shared" si="57"/>
        <v>20.537914935102574</v>
      </c>
    </row>
    <row r="449" spans="3:15" x14ac:dyDescent="0.2">
      <c r="C449">
        <v>430</v>
      </c>
      <c r="D449" s="7">
        <v>2855.4048964308504</v>
      </c>
      <c r="E449" s="7">
        <f t="shared" si="50"/>
        <v>85.388902405228791</v>
      </c>
      <c r="F449" s="7">
        <f t="shared" si="51"/>
        <v>230.58107862235471</v>
      </c>
      <c r="G449">
        <v>0</v>
      </c>
      <c r="H449" s="7">
        <f t="shared" si="52"/>
        <v>0</v>
      </c>
      <c r="I449" s="7">
        <f t="shared" si="53"/>
        <v>0</v>
      </c>
      <c r="J449" s="7">
        <v>1767.623978564905</v>
      </c>
      <c r="K449" s="7">
        <f t="shared" si="54"/>
        <v>28.191769993060689</v>
      </c>
      <c r="L449" s="7">
        <f t="shared" si="55"/>
        <v>106.11414887885105</v>
      </c>
      <c r="M449" s="7">
        <v>680.37424334317575</v>
      </c>
      <c r="N449" s="7">
        <f t="shared" si="56"/>
        <v>54.256319245867289</v>
      </c>
      <c r="O449" s="7">
        <f t="shared" si="57"/>
        <v>20.537914935102574</v>
      </c>
    </row>
    <row r="450" spans="3:15" x14ac:dyDescent="0.2">
      <c r="C450">
        <v>431</v>
      </c>
      <c r="D450" s="7">
        <v>2855.5700266938916</v>
      </c>
      <c r="E450" s="7">
        <f t="shared" si="50"/>
        <v>85.393840511180969</v>
      </c>
      <c r="F450" s="7">
        <f t="shared" si="51"/>
        <v>230.5944133036158</v>
      </c>
      <c r="G450">
        <v>0</v>
      </c>
      <c r="H450" s="7">
        <f t="shared" si="52"/>
        <v>0</v>
      </c>
      <c r="I450" s="7">
        <f t="shared" si="53"/>
        <v>0</v>
      </c>
      <c r="J450" s="7">
        <v>1296.5947962189625</v>
      </c>
      <c r="K450" s="7">
        <f t="shared" si="54"/>
        <v>20.679342842407696</v>
      </c>
      <c r="L450" s="7">
        <f t="shared" si="55"/>
        <v>77.8372860461117</v>
      </c>
      <c r="M450" s="7">
        <v>0</v>
      </c>
      <c r="N450" s="7">
        <f t="shared" si="56"/>
        <v>0</v>
      </c>
      <c r="O450" s="7">
        <f t="shared" si="57"/>
        <v>0</v>
      </c>
    </row>
    <row r="451" spans="3:15" x14ac:dyDescent="0.2">
      <c r="C451">
        <v>432</v>
      </c>
      <c r="D451" s="7">
        <v>2855.7425067177992</v>
      </c>
      <c r="E451" s="7">
        <f t="shared" si="50"/>
        <v>85.398998406632757</v>
      </c>
      <c r="F451" s="7">
        <f t="shared" si="51"/>
        <v>230.60834149642767</v>
      </c>
      <c r="G451">
        <v>0</v>
      </c>
      <c r="H451" s="7">
        <f t="shared" si="52"/>
        <v>0</v>
      </c>
      <c r="I451" s="7">
        <f t="shared" si="53"/>
        <v>0</v>
      </c>
      <c r="J451" s="7">
        <v>568.72332661238988</v>
      </c>
      <c r="K451" s="7">
        <f t="shared" si="54"/>
        <v>9.0705474738818168</v>
      </c>
      <c r="L451" s="7">
        <f t="shared" si="55"/>
        <v>34.141645781485195</v>
      </c>
      <c r="M451" s="7">
        <v>0</v>
      </c>
      <c r="N451" s="7">
        <f t="shared" si="56"/>
        <v>0</v>
      </c>
      <c r="O451" s="7">
        <f t="shared" si="57"/>
        <v>0</v>
      </c>
    </row>
    <row r="452" spans="3:15" x14ac:dyDescent="0.2">
      <c r="C452">
        <v>433</v>
      </c>
      <c r="D452" s="7">
        <v>2855.9223017147356</v>
      </c>
      <c r="E452" s="7">
        <f t="shared" si="50"/>
        <v>85.404375051277981</v>
      </c>
      <c r="F452" s="7">
        <f t="shared" si="51"/>
        <v>230.6228603915855</v>
      </c>
      <c r="G452">
        <v>0</v>
      </c>
      <c r="H452" s="7">
        <f t="shared" si="52"/>
        <v>0</v>
      </c>
      <c r="I452" s="7">
        <f t="shared" si="53"/>
        <v>0</v>
      </c>
      <c r="J452" s="7">
        <v>54.873656615925029</v>
      </c>
      <c r="K452" s="7">
        <f t="shared" si="54"/>
        <v>0.87517793645813446</v>
      </c>
      <c r="L452" s="7">
        <f t="shared" si="55"/>
        <v>3.2941798924886045</v>
      </c>
      <c r="M452" s="7">
        <v>0</v>
      </c>
      <c r="N452" s="7">
        <f t="shared" si="56"/>
        <v>0</v>
      </c>
      <c r="O452" s="7">
        <f t="shared" si="57"/>
        <v>0</v>
      </c>
    </row>
    <row r="453" spans="3:15" x14ac:dyDescent="0.2">
      <c r="C453">
        <v>434</v>
      </c>
      <c r="D453" s="7">
        <v>2739.5726666641513</v>
      </c>
      <c r="E453" s="7">
        <f t="shared" si="50"/>
        <v>81.925019936128933</v>
      </c>
      <c r="F453" s="7">
        <f t="shared" si="51"/>
        <v>221.22733670217281</v>
      </c>
      <c r="G453">
        <v>0</v>
      </c>
      <c r="H453" s="7">
        <f t="shared" si="52"/>
        <v>0</v>
      </c>
      <c r="I453" s="7">
        <f t="shared" si="53"/>
        <v>0</v>
      </c>
      <c r="J453" s="7">
        <v>0</v>
      </c>
      <c r="K453" s="7">
        <f t="shared" si="54"/>
        <v>0</v>
      </c>
      <c r="L453" s="7">
        <f t="shared" si="55"/>
        <v>0</v>
      </c>
      <c r="M453" s="7">
        <v>0</v>
      </c>
      <c r="N453" s="7">
        <f t="shared" si="56"/>
        <v>0</v>
      </c>
      <c r="O453" s="7">
        <f t="shared" si="57"/>
        <v>0</v>
      </c>
    </row>
    <row r="454" spans="3:15" x14ac:dyDescent="0.2">
      <c r="C454">
        <v>435</v>
      </c>
      <c r="D454" s="7">
        <v>2856.4815575466437</v>
      </c>
      <c r="E454" s="7">
        <f t="shared" si="50"/>
        <v>85.421099208930741</v>
      </c>
      <c r="F454" s="7">
        <f t="shared" si="51"/>
        <v>230.66802169711818</v>
      </c>
      <c r="G454">
        <v>0</v>
      </c>
      <c r="H454" s="7">
        <f t="shared" si="52"/>
        <v>0</v>
      </c>
      <c r="I454" s="7">
        <f t="shared" si="53"/>
        <v>0</v>
      </c>
      <c r="J454" s="7">
        <v>54.314400784016925</v>
      </c>
      <c r="K454" s="7">
        <f t="shared" si="54"/>
        <v>0.86625838570999891</v>
      </c>
      <c r="L454" s="7">
        <f t="shared" si="55"/>
        <v>3.2606066001322502</v>
      </c>
      <c r="M454" s="7">
        <v>0</v>
      </c>
      <c r="N454" s="7">
        <f t="shared" si="56"/>
        <v>0</v>
      </c>
      <c r="O454" s="7">
        <f t="shared" si="57"/>
        <v>0</v>
      </c>
    </row>
    <row r="455" spans="3:15" x14ac:dyDescent="0.2">
      <c r="C455">
        <v>436</v>
      </c>
      <c r="D455" s="7">
        <v>2856.6822727170993</v>
      </c>
      <c r="E455" s="7">
        <f t="shared" si="50"/>
        <v>85.427101456851062</v>
      </c>
      <c r="F455" s="7">
        <f t="shared" si="51"/>
        <v>230.6842299485495</v>
      </c>
      <c r="G455">
        <v>0</v>
      </c>
      <c r="H455" s="7">
        <f t="shared" si="52"/>
        <v>0</v>
      </c>
      <c r="I455" s="7">
        <f t="shared" si="53"/>
        <v>0</v>
      </c>
      <c r="J455" s="7">
        <v>225.3369772800711</v>
      </c>
      <c r="K455" s="7">
        <f t="shared" si="54"/>
        <v>3.5938911846901296</v>
      </c>
      <c r="L455" s="7">
        <f t="shared" si="55"/>
        <v>13.527448057375254</v>
      </c>
      <c r="M455" s="7">
        <v>0</v>
      </c>
      <c r="N455" s="7">
        <f t="shared" si="56"/>
        <v>0</v>
      </c>
      <c r="O455" s="7">
        <f t="shared" si="57"/>
        <v>0</v>
      </c>
    </row>
    <row r="456" spans="3:15" x14ac:dyDescent="0.2">
      <c r="C456">
        <v>437</v>
      </c>
      <c r="D456" s="7">
        <v>2856.8901674663803</v>
      </c>
      <c r="E456" s="7">
        <f t="shared" si="50"/>
        <v>85.433318405095108</v>
      </c>
      <c r="F456" s="7">
        <f t="shared" si="51"/>
        <v>230.70101796890663</v>
      </c>
      <c r="G456">
        <v>0</v>
      </c>
      <c r="H456" s="7">
        <f t="shared" si="52"/>
        <v>0</v>
      </c>
      <c r="I456" s="7">
        <f t="shared" si="53"/>
        <v>0</v>
      </c>
      <c r="J456" s="7">
        <v>536.44415828807951</v>
      </c>
      <c r="K456" s="7">
        <f t="shared" si="54"/>
        <v>8.5557282023617152</v>
      </c>
      <c r="L456" s="7">
        <f t="shared" si="55"/>
        <v>32.203860078876509</v>
      </c>
      <c r="M456" s="7">
        <v>0</v>
      </c>
      <c r="N456" s="7">
        <f t="shared" si="56"/>
        <v>0</v>
      </c>
      <c r="O456" s="7">
        <f t="shared" si="57"/>
        <v>0</v>
      </c>
    </row>
    <row r="457" spans="3:15" x14ac:dyDescent="0.2">
      <c r="C457">
        <v>438</v>
      </c>
      <c r="D457" s="7">
        <v>2857.1052075630651</v>
      </c>
      <c r="E457" s="7">
        <f t="shared" si="50"/>
        <v>85.439749029995966</v>
      </c>
      <c r="F457" s="7">
        <f t="shared" si="51"/>
        <v>230.71838299391678</v>
      </c>
      <c r="G457">
        <v>0</v>
      </c>
      <c r="H457" s="7">
        <f t="shared" si="52"/>
        <v>0</v>
      </c>
      <c r="I457" s="7">
        <f t="shared" si="53"/>
        <v>0</v>
      </c>
      <c r="J457" s="7">
        <v>754.14967122149756</v>
      </c>
      <c r="K457" s="7">
        <f t="shared" si="54"/>
        <v>12.027905442129148</v>
      </c>
      <c r="L457" s="7">
        <f t="shared" si="55"/>
        <v>45.273175437406017</v>
      </c>
      <c r="M457" s="7">
        <v>0</v>
      </c>
      <c r="N457" s="7">
        <f t="shared" si="56"/>
        <v>0</v>
      </c>
      <c r="O457" s="7">
        <f t="shared" si="57"/>
        <v>0</v>
      </c>
    </row>
    <row r="458" spans="3:15" x14ac:dyDescent="0.2">
      <c r="C458">
        <v>439</v>
      </c>
      <c r="D458" s="7">
        <v>2857.327358887519</v>
      </c>
      <c r="E458" s="7">
        <f t="shared" si="50"/>
        <v>85.446392311229644</v>
      </c>
      <c r="F458" s="7">
        <f t="shared" si="51"/>
        <v>230.73632226833422</v>
      </c>
      <c r="G458">
        <v>0</v>
      </c>
      <c r="H458" s="7">
        <f t="shared" si="52"/>
        <v>0</v>
      </c>
      <c r="I458" s="7">
        <f t="shared" si="53"/>
        <v>0</v>
      </c>
      <c r="J458" s="7">
        <v>971.84807292714686</v>
      </c>
      <c r="K458" s="7">
        <f t="shared" si="54"/>
        <v>15.499969265185756</v>
      </c>
      <c r="L458" s="7">
        <f t="shared" si="55"/>
        <v>58.342063894121956</v>
      </c>
      <c r="M458" s="7">
        <v>680.37424334317575</v>
      </c>
      <c r="N458" s="7">
        <f t="shared" si="56"/>
        <v>54.256319245867289</v>
      </c>
      <c r="O458" s="7">
        <f t="shared" si="57"/>
        <v>20.537914935102574</v>
      </c>
    </row>
    <row r="459" spans="3:15" x14ac:dyDescent="0.2">
      <c r="C459">
        <v>440</v>
      </c>
      <c r="D459" s="7">
        <v>2857.5565874315957</v>
      </c>
      <c r="E459" s="7">
        <f t="shared" si="50"/>
        <v>85.453247231806102</v>
      </c>
      <c r="F459" s="7">
        <f t="shared" si="51"/>
        <v>230.75483304591617</v>
      </c>
      <c r="G459">
        <v>0</v>
      </c>
      <c r="H459" s="7">
        <f t="shared" si="52"/>
        <v>0</v>
      </c>
      <c r="I459" s="7">
        <f t="shared" si="53"/>
        <v>0</v>
      </c>
      <c r="J459" s="7">
        <v>1189.5393974131734</v>
      </c>
      <c r="K459" s="7">
        <f t="shared" si="54"/>
        <v>18.971920213926211</v>
      </c>
      <c r="L459" s="7">
        <f t="shared" si="55"/>
        <v>71.410527490604153</v>
      </c>
      <c r="M459" s="7">
        <v>680.37424334317575</v>
      </c>
      <c r="N459" s="7">
        <f t="shared" si="56"/>
        <v>54.256319245867289</v>
      </c>
      <c r="O459" s="7">
        <f t="shared" si="57"/>
        <v>20.537914935102574</v>
      </c>
    </row>
    <row r="460" spans="3:15" x14ac:dyDescent="0.2">
      <c r="C460">
        <v>441</v>
      </c>
      <c r="D460" s="7">
        <v>2857.7928592983399</v>
      </c>
      <c r="E460" s="7">
        <f t="shared" si="50"/>
        <v>85.460312778060413</v>
      </c>
      <c r="F460" s="7">
        <f t="shared" si="51"/>
        <v>230.7739125893988</v>
      </c>
      <c r="G460">
        <v>0</v>
      </c>
      <c r="H460" s="7">
        <f t="shared" si="52"/>
        <v>0</v>
      </c>
      <c r="I460" s="7">
        <f t="shared" si="53"/>
        <v>0</v>
      </c>
      <c r="J460" s="7">
        <v>1407.2236785765317</v>
      </c>
      <c r="K460" s="7">
        <f t="shared" si="54"/>
        <v>22.443758828971799</v>
      </c>
      <c r="L460" s="7">
        <f t="shared" si="55"/>
        <v>84.478568261757388</v>
      </c>
      <c r="M460" s="7">
        <v>680.37424334317575</v>
      </c>
      <c r="N460" s="7">
        <f t="shared" si="56"/>
        <v>54.256319245867289</v>
      </c>
      <c r="O460" s="7">
        <f t="shared" si="57"/>
        <v>20.537914935102574</v>
      </c>
    </row>
    <row r="461" spans="3:15" x14ac:dyDescent="0.2">
      <c r="C461">
        <v>442</v>
      </c>
      <c r="D461" s="7">
        <v>2858.0361407016944</v>
      </c>
      <c r="E461" s="7">
        <f t="shared" si="50"/>
        <v>85.467587939643977</v>
      </c>
      <c r="F461" s="7">
        <f t="shared" si="51"/>
        <v>230.7935581704736</v>
      </c>
      <c r="G461">
        <v>0</v>
      </c>
      <c r="H461" s="7">
        <f t="shared" si="52"/>
        <v>0</v>
      </c>
      <c r="I461" s="7">
        <f t="shared" si="53"/>
        <v>0</v>
      </c>
      <c r="J461" s="7">
        <v>1624.9009502032804</v>
      </c>
      <c r="K461" s="7">
        <f t="shared" si="54"/>
        <v>25.915485649175128</v>
      </c>
      <c r="L461" s="7">
        <f t="shared" si="55"/>
        <v>97.546188235829135</v>
      </c>
      <c r="M461" s="7">
        <v>680.37424334317575</v>
      </c>
      <c r="N461" s="7">
        <f t="shared" si="56"/>
        <v>54.256319245867289</v>
      </c>
      <c r="O461" s="7">
        <f t="shared" si="57"/>
        <v>20.537914935102574</v>
      </c>
    </row>
    <row r="462" spans="3:15" x14ac:dyDescent="0.2">
      <c r="C462">
        <v>443</v>
      </c>
      <c r="D462" s="7">
        <v>2858.2863979661984</v>
      </c>
      <c r="E462" s="7">
        <f t="shared" si="50"/>
        <v>85.475071709515504</v>
      </c>
      <c r="F462" s="7">
        <f t="shared" si="51"/>
        <v>230.813767069763</v>
      </c>
      <c r="G462">
        <v>0</v>
      </c>
      <c r="H462" s="7">
        <f t="shared" si="52"/>
        <v>0</v>
      </c>
      <c r="I462" s="7">
        <f t="shared" si="53"/>
        <v>0</v>
      </c>
      <c r="J462" s="7">
        <v>1842.5712459688798</v>
      </c>
      <c r="K462" s="7">
        <f t="shared" si="54"/>
        <v>29.387101211624881</v>
      </c>
      <c r="L462" s="7">
        <f t="shared" si="55"/>
        <v>110.61338943442742</v>
      </c>
      <c r="M462" s="7">
        <v>680.37424334317575</v>
      </c>
      <c r="N462" s="7">
        <f t="shared" si="56"/>
        <v>54.256319245867289</v>
      </c>
      <c r="O462" s="7">
        <f t="shared" si="57"/>
        <v>20.537914935102574</v>
      </c>
    </row>
    <row r="463" spans="3:15" x14ac:dyDescent="0.2">
      <c r="C463">
        <v>444</v>
      </c>
      <c r="D463" s="7">
        <v>2858.5435975267001</v>
      </c>
      <c r="E463" s="7">
        <f t="shared" si="50"/>
        <v>85.482763083932426</v>
      </c>
      <c r="F463" s="7">
        <f t="shared" si="51"/>
        <v>230.83453657679712</v>
      </c>
      <c r="G463">
        <v>0</v>
      </c>
      <c r="H463" s="7">
        <f t="shared" si="52"/>
        <v>0</v>
      </c>
      <c r="I463" s="7">
        <f t="shared" si="53"/>
        <v>0</v>
      </c>
      <c r="J463" s="7">
        <v>2060.2345994384814</v>
      </c>
      <c r="K463" s="7">
        <f t="shared" si="54"/>
        <v>32.858606051650426</v>
      </c>
      <c r="L463" s="7">
        <f t="shared" si="55"/>
        <v>123.68017387253813</v>
      </c>
      <c r="M463" s="7">
        <v>680.37424334317575</v>
      </c>
      <c r="N463" s="7">
        <f t="shared" si="56"/>
        <v>54.256319245867289</v>
      </c>
      <c r="O463" s="7">
        <f t="shared" si="57"/>
        <v>20.537914935102574</v>
      </c>
    </row>
    <row r="464" spans="3:15" x14ac:dyDescent="0.2">
      <c r="C464">
        <v>445</v>
      </c>
      <c r="D464" s="7">
        <v>2858.8077059280595</v>
      </c>
      <c r="E464" s="7">
        <f t="shared" si="50"/>
        <v>85.490661062441973</v>
      </c>
      <c r="F464" s="7">
        <f t="shared" si="51"/>
        <v>230.85586398998984</v>
      </c>
      <c r="G464">
        <v>0</v>
      </c>
      <c r="H464" s="7">
        <f t="shared" si="52"/>
        <v>0</v>
      </c>
      <c r="I464" s="7">
        <f t="shared" si="53"/>
        <v>0</v>
      </c>
      <c r="J464" s="7">
        <v>2277.8910440672244</v>
      </c>
      <c r="K464" s="7">
        <f t="shared" si="54"/>
        <v>36.330000702826545</v>
      </c>
      <c r="L464" s="7">
        <f t="shared" si="55"/>
        <v>136.74654355854304</v>
      </c>
      <c r="M464" s="7">
        <v>680.37424334317575</v>
      </c>
      <c r="N464" s="7">
        <f t="shared" si="56"/>
        <v>54.256319245867289</v>
      </c>
      <c r="O464" s="7">
        <f t="shared" si="57"/>
        <v>20.537914935102574</v>
      </c>
    </row>
    <row r="465" spans="3:15" x14ac:dyDescent="0.2">
      <c r="C465">
        <v>446</v>
      </c>
      <c r="D465" s="7">
        <v>2859.0786898248643</v>
      </c>
      <c r="E465" s="7">
        <f t="shared" si="50"/>
        <v>85.498764647872747</v>
      </c>
      <c r="F465" s="7">
        <f t="shared" si="51"/>
        <v>230.87774661661581</v>
      </c>
      <c r="G465">
        <v>0</v>
      </c>
      <c r="H465" s="7">
        <f t="shared" si="52"/>
        <v>0</v>
      </c>
      <c r="I465" s="7">
        <f t="shared" si="53"/>
        <v>0</v>
      </c>
      <c r="J465" s="7">
        <v>2179.7781792181286</v>
      </c>
      <c r="K465" s="7">
        <f t="shared" si="54"/>
        <v>34.765202220384829</v>
      </c>
      <c r="L465" s="7">
        <f t="shared" si="55"/>
        <v>130.85662394114786</v>
      </c>
      <c r="M465" s="7">
        <v>680.37424334317575</v>
      </c>
      <c r="N465" s="7">
        <f t="shared" si="56"/>
        <v>54.256319245867289</v>
      </c>
      <c r="O465" s="7">
        <f t="shared" si="57"/>
        <v>20.537914935102574</v>
      </c>
    </row>
    <row r="466" spans="3:15" x14ac:dyDescent="0.2">
      <c r="C466">
        <v>447</v>
      </c>
      <c r="D466" s="7">
        <v>2859.3565159811169</v>
      </c>
      <c r="E466" s="7">
        <f t="shared" si="50"/>
        <v>85.507072846325272</v>
      </c>
      <c r="F466" s="7">
        <f t="shared" si="51"/>
        <v>230.90018177278517</v>
      </c>
      <c r="G466">
        <v>0</v>
      </c>
      <c r="H466" s="7">
        <f t="shared" si="52"/>
        <v>0</v>
      </c>
      <c r="I466" s="7">
        <f t="shared" si="53"/>
        <v>0</v>
      </c>
      <c r="J466" s="7">
        <v>2081.6584721095851</v>
      </c>
      <c r="K466" s="7">
        <f t="shared" si="54"/>
        <v>33.200294610998171</v>
      </c>
      <c r="L466" s="7">
        <f t="shared" si="55"/>
        <v>124.9662935686676</v>
      </c>
      <c r="M466" s="7">
        <v>680.37424334317575</v>
      </c>
      <c r="N466" s="7">
        <f t="shared" si="56"/>
        <v>54.256319245867289</v>
      </c>
      <c r="O466" s="7">
        <f t="shared" si="57"/>
        <v>20.537914935102574</v>
      </c>
    </row>
    <row r="467" spans="3:15" x14ac:dyDescent="0.2">
      <c r="C467">
        <v>448</v>
      </c>
      <c r="D467" s="7">
        <v>2859.6411512699651</v>
      </c>
      <c r="E467" s="7">
        <f t="shared" si="50"/>
        <v>85.515584667164035</v>
      </c>
      <c r="F467" s="7">
        <f t="shared" si="51"/>
        <v>230.92316678342189</v>
      </c>
      <c r="G467">
        <v>0</v>
      </c>
      <c r="H467" s="7">
        <f t="shared" si="52"/>
        <v>0</v>
      </c>
      <c r="I467" s="7">
        <f t="shared" si="53"/>
        <v>0</v>
      </c>
      <c r="J467" s="7">
        <v>1983.5319558684459</v>
      </c>
      <c r="K467" s="7">
        <f t="shared" si="54"/>
        <v>31.635278403005518</v>
      </c>
      <c r="L467" s="7">
        <f t="shared" si="55"/>
        <v>119.07555442977619</v>
      </c>
      <c r="M467" s="7">
        <v>680.37424334317575</v>
      </c>
      <c r="N467" s="7">
        <f t="shared" si="56"/>
        <v>54.256319245867289</v>
      </c>
      <c r="O467" s="7">
        <f t="shared" si="57"/>
        <v>20.537914935102574</v>
      </c>
    </row>
    <row r="468" spans="3:15" x14ac:dyDescent="0.2">
      <c r="C468">
        <v>449</v>
      </c>
      <c r="D468" s="7">
        <v>2859.9325626733962</v>
      </c>
      <c r="E468" s="7">
        <f t="shared" si="50"/>
        <v>85.524299123008262</v>
      </c>
      <c r="F468" s="7">
        <f t="shared" si="51"/>
        <v>230.94669898223896</v>
      </c>
      <c r="G468">
        <v>0</v>
      </c>
      <c r="H468" s="7">
        <f t="shared" si="52"/>
        <v>0</v>
      </c>
      <c r="I468" s="7">
        <f t="shared" si="53"/>
        <v>0</v>
      </c>
      <c r="J468" s="7">
        <v>1885.398663512723</v>
      </c>
      <c r="K468" s="7">
        <f t="shared" si="54"/>
        <v>30.070154123009939</v>
      </c>
      <c r="L468" s="7">
        <f t="shared" si="55"/>
        <v>113.18440850661365</v>
      </c>
      <c r="M468" s="7">
        <v>680.37424334317575</v>
      </c>
      <c r="N468" s="7">
        <f t="shared" si="56"/>
        <v>54.256319245867289</v>
      </c>
      <c r="O468" s="7">
        <f t="shared" si="57"/>
        <v>20.537914935102574</v>
      </c>
    </row>
    <row r="469" spans="3:15" x14ac:dyDescent="0.2">
      <c r="C469">
        <v>450</v>
      </c>
      <c r="D469" s="7">
        <v>2860.2307172819596</v>
      </c>
      <c r="E469" s="7">
        <f t="shared" ref="E469:E532" si="58">D469/($C$3*($D$8-$D$6))</f>
        <v>85.53321522972368</v>
      </c>
      <c r="F469" s="7">
        <f t="shared" ref="F469:F532" si="59">E469*$C$3*((($D$8)-($D$6))-$C$2*LN(($D$8)/($D$6)))</f>
        <v>230.97077571171599</v>
      </c>
      <c r="G469">
        <v>0</v>
      </c>
      <c r="H469" s="7">
        <f t="shared" ref="H469:H532" si="60">G469/($C$3*($D$6-$D$9))</f>
        <v>0</v>
      </c>
      <c r="I469" s="7">
        <f t="shared" ref="I469:I532" si="61">ABS(H469*$C$3*(($D$9-$D$6)-$C$2*(LN($D$9/$D$6))))</f>
        <v>0</v>
      </c>
      <c r="J469" s="7">
        <v>1787.2586279518678</v>
      </c>
      <c r="K469" s="7">
        <f t="shared" ref="K469:K532" si="62">J469/($C$3*($D$10-$D$7))</f>
        <v>28.504922295883059</v>
      </c>
      <c r="L469" s="7">
        <f t="shared" ref="L469:L532" si="63">K469*$C$3*(($D$10-$D$7)-$C$2*LN($D$10/$D$7))</f>
        <v>107.29285777480287</v>
      </c>
      <c r="M469" s="7">
        <v>680.37424334317575</v>
      </c>
      <c r="N469" s="7">
        <f t="shared" ref="N469:N532" si="64">M469/($C$3*($D$7-$D$11))</f>
        <v>54.256319245867289</v>
      </c>
      <c r="O469" s="7">
        <f t="shared" ref="O469:O532" si="65">ABS(N469*$C$3*(($D$11-$D$7)-$C$2*LN($D$11/$D$7)))</f>
        <v>20.537914935102574</v>
      </c>
    </row>
    <row r="470" spans="3:15" x14ac:dyDescent="0.2">
      <c r="C470">
        <v>451</v>
      </c>
      <c r="D470" s="7">
        <v>2860.5355822944616</v>
      </c>
      <c r="E470" s="7">
        <f t="shared" si="58"/>
        <v>85.542332006413332</v>
      </c>
      <c r="F470" s="7">
        <f t="shared" si="59"/>
        <v>230.99539432307466</v>
      </c>
      <c r="G470">
        <v>0</v>
      </c>
      <c r="H470" s="7">
        <f t="shared" si="60"/>
        <v>0</v>
      </c>
      <c r="I470" s="7">
        <f t="shared" si="61"/>
        <v>0</v>
      </c>
      <c r="J470" s="7">
        <v>1689.1118819870758</v>
      </c>
      <c r="K470" s="7">
        <f t="shared" si="62"/>
        <v>26.939583444769951</v>
      </c>
      <c r="L470" s="7">
        <f t="shared" si="63"/>
        <v>101.40090420346797</v>
      </c>
      <c r="M470" s="7">
        <v>680.37424334317575</v>
      </c>
      <c r="N470" s="7">
        <f t="shared" si="64"/>
        <v>54.256319245867289</v>
      </c>
      <c r="O470" s="7">
        <f t="shared" si="65"/>
        <v>20.537914935102574</v>
      </c>
    </row>
    <row r="471" spans="3:15" x14ac:dyDescent="0.2">
      <c r="C471">
        <v>452</v>
      </c>
      <c r="D471" s="7">
        <v>2860.8471250176917</v>
      </c>
      <c r="E471" s="7">
        <f t="shared" si="58"/>
        <v>85.551648475409451</v>
      </c>
      <c r="F471" s="7">
        <f t="shared" si="59"/>
        <v>231.02055217625659</v>
      </c>
      <c r="G471">
        <v>0</v>
      </c>
      <c r="H471" s="7">
        <f t="shared" si="60"/>
        <v>0</v>
      </c>
      <c r="I471" s="7">
        <f t="shared" si="61"/>
        <v>0</v>
      </c>
      <c r="J471" s="7">
        <v>1590.9584583115538</v>
      </c>
      <c r="K471" s="7">
        <f t="shared" si="62"/>
        <v>25.374138091093364</v>
      </c>
      <c r="L471" s="7">
        <f t="shared" si="63"/>
        <v>95.508549755250215</v>
      </c>
      <c r="M471" s="7">
        <v>680.37424334317575</v>
      </c>
      <c r="N471" s="7">
        <f t="shared" si="64"/>
        <v>54.256319245867289</v>
      </c>
      <c r="O471" s="7">
        <f t="shared" si="65"/>
        <v>20.537914935102574</v>
      </c>
    </row>
    <row r="472" spans="3:15" x14ac:dyDescent="0.2">
      <c r="C472">
        <v>453</v>
      </c>
      <c r="D472" s="7">
        <v>2861.1653128661187</v>
      </c>
      <c r="E472" s="7">
        <f t="shared" si="58"/>
        <v>85.56116366226432</v>
      </c>
      <c r="F472" s="7">
        <f t="shared" si="59"/>
        <v>231.0462466398987</v>
      </c>
      <c r="G472">
        <v>0</v>
      </c>
      <c r="H472" s="7">
        <f t="shared" si="60"/>
        <v>0</v>
      </c>
      <c r="I472" s="7">
        <f t="shared" si="61"/>
        <v>0</v>
      </c>
      <c r="J472" s="7">
        <v>1933.0868537961455</v>
      </c>
      <c r="K472" s="7">
        <f t="shared" si="62"/>
        <v>30.83073132051269</v>
      </c>
      <c r="L472" s="7">
        <f t="shared" si="63"/>
        <v>116.04722988992985</v>
      </c>
      <c r="M472" s="7">
        <v>680.37424334317575</v>
      </c>
      <c r="N472" s="7">
        <f t="shared" si="64"/>
        <v>54.256319245867289</v>
      </c>
      <c r="O472" s="7">
        <f t="shared" si="65"/>
        <v>20.537914935102574</v>
      </c>
    </row>
    <row r="473" spans="3:15" x14ac:dyDescent="0.2">
      <c r="C473">
        <v>454</v>
      </c>
      <c r="D473" s="7">
        <v>2861.4901133616227</v>
      </c>
      <c r="E473" s="7">
        <f t="shared" si="58"/>
        <v>85.570876595742305</v>
      </c>
      <c r="F473" s="7">
        <f t="shared" si="59"/>
        <v>231.07247509131167</v>
      </c>
      <c r="G473">
        <v>0</v>
      </c>
      <c r="H473" s="7">
        <f t="shared" si="60"/>
        <v>0</v>
      </c>
      <c r="I473" s="7">
        <f t="shared" si="61"/>
        <v>0</v>
      </c>
      <c r="J473" s="7">
        <v>1419.0921783011131</v>
      </c>
      <c r="K473" s="7">
        <f t="shared" si="62"/>
        <v>22.633049095711534</v>
      </c>
      <c r="L473" s="7">
        <f t="shared" si="63"/>
        <v>85.191059018850055</v>
      </c>
      <c r="M473" s="7">
        <v>680.37424334317575</v>
      </c>
      <c r="N473" s="7">
        <f t="shared" si="64"/>
        <v>54.256319245867289</v>
      </c>
      <c r="O473" s="7">
        <f t="shared" si="65"/>
        <v>20.537914935102574</v>
      </c>
    </row>
    <row r="474" spans="3:15" x14ac:dyDescent="0.2">
      <c r="C474">
        <v>455</v>
      </c>
      <c r="D474" s="7">
        <v>2861.8214941331839</v>
      </c>
      <c r="E474" s="7">
        <f t="shared" si="58"/>
        <v>85.580786307810527</v>
      </c>
      <c r="F474" s="7">
        <f t="shared" si="59"/>
        <v>231.09923491645478</v>
      </c>
      <c r="G474">
        <v>0</v>
      </c>
      <c r="H474" s="7">
        <f t="shared" si="60"/>
        <v>0</v>
      </c>
      <c r="I474" s="7">
        <f t="shared" si="61"/>
        <v>0</v>
      </c>
      <c r="J474" s="7">
        <v>905.09092253002427</v>
      </c>
      <c r="K474" s="7">
        <f t="shared" si="62"/>
        <v>14.435261922328937</v>
      </c>
      <c r="L474" s="7">
        <f t="shared" si="63"/>
        <v>54.334493120093796</v>
      </c>
      <c r="M474" s="7">
        <v>0</v>
      </c>
      <c r="N474" s="7">
        <f t="shared" si="64"/>
        <v>0</v>
      </c>
      <c r="O474" s="7">
        <f t="shared" si="65"/>
        <v>0</v>
      </c>
    </row>
    <row r="475" spans="3:15" x14ac:dyDescent="0.2">
      <c r="C475">
        <v>456</v>
      </c>
      <c r="D475" s="7">
        <v>2862.1594229166162</v>
      </c>
      <c r="E475" s="7">
        <f t="shared" si="58"/>
        <v>85.590891833630877</v>
      </c>
      <c r="F475" s="7">
        <f t="shared" si="59"/>
        <v>231.12652350991442</v>
      </c>
      <c r="G475">
        <v>0</v>
      </c>
      <c r="H475" s="7">
        <f t="shared" si="60"/>
        <v>0</v>
      </c>
      <c r="I475" s="7">
        <f t="shared" si="61"/>
        <v>0</v>
      </c>
      <c r="J475" s="7">
        <v>391.08311874706351</v>
      </c>
      <c r="K475" s="7">
        <f t="shared" si="62"/>
        <v>6.237370314945192</v>
      </c>
      <c r="L475" s="7">
        <f t="shared" si="63"/>
        <v>23.477534130547255</v>
      </c>
      <c r="M475" s="7">
        <v>0</v>
      </c>
      <c r="N475" s="7">
        <f t="shared" si="64"/>
        <v>0</v>
      </c>
      <c r="O475" s="7">
        <f t="shared" si="65"/>
        <v>0</v>
      </c>
    </row>
    <row r="476" spans="3:15" x14ac:dyDescent="0.2">
      <c r="C476">
        <v>457</v>
      </c>
      <c r="D476" s="7">
        <v>2739.5726666641513</v>
      </c>
      <c r="E476" s="7">
        <f t="shared" si="58"/>
        <v>81.925019936128933</v>
      </c>
      <c r="F476" s="7">
        <f t="shared" si="59"/>
        <v>221.22733670217281</v>
      </c>
      <c r="G476">
        <v>0</v>
      </c>
      <c r="H476" s="7">
        <f t="shared" si="60"/>
        <v>0</v>
      </c>
      <c r="I476" s="7">
        <f t="shared" si="61"/>
        <v>0</v>
      </c>
      <c r="J476" s="7">
        <v>0</v>
      </c>
      <c r="K476" s="7">
        <f t="shared" si="62"/>
        <v>0</v>
      </c>
      <c r="L476" s="7">
        <f t="shared" si="63"/>
        <v>0</v>
      </c>
      <c r="M476" s="7">
        <v>0</v>
      </c>
      <c r="N476" s="7">
        <f t="shared" si="64"/>
        <v>0</v>
      </c>
      <c r="O476" s="7">
        <f t="shared" si="65"/>
        <v>0</v>
      </c>
    </row>
    <row r="477" spans="3:15" x14ac:dyDescent="0.2">
      <c r="C477">
        <v>458</v>
      </c>
      <c r="D477" s="7">
        <v>2739.5726666641513</v>
      </c>
      <c r="E477" s="7">
        <f t="shared" si="58"/>
        <v>81.925019936128933</v>
      </c>
      <c r="F477" s="7">
        <f t="shared" si="59"/>
        <v>221.22733670217281</v>
      </c>
      <c r="G477">
        <v>0</v>
      </c>
      <c r="H477" s="7">
        <f t="shared" si="60"/>
        <v>0</v>
      </c>
      <c r="I477" s="7">
        <f t="shared" si="61"/>
        <v>0</v>
      </c>
      <c r="J477" s="7">
        <v>0</v>
      </c>
      <c r="K477" s="7">
        <f t="shared" si="62"/>
        <v>0</v>
      </c>
      <c r="L477" s="7">
        <f t="shared" si="63"/>
        <v>0</v>
      </c>
      <c r="M477" s="7">
        <v>0</v>
      </c>
      <c r="N477" s="7">
        <f t="shared" si="64"/>
        <v>0</v>
      </c>
      <c r="O477" s="7">
        <f t="shared" si="65"/>
        <v>0</v>
      </c>
    </row>
    <row r="478" spans="3:15" x14ac:dyDescent="0.2">
      <c r="C478">
        <v>459</v>
      </c>
      <c r="D478" s="7">
        <v>2863.6082067324483</v>
      </c>
      <c r="E478" s="7">
        <f t="shared" si="58"/>
        <v>85.63421670850623</v>
      </c>
      <c r="F478" s="7">
        <f t="shared" si="59"/>
        <v>231.24351642232511</v>
      </c>
      <c r="G478">
        <v>0</v>
      </c>
      <c r="H478" s="7">
        <f t="shared" si="60"/>
        <v>0</v>
      </c>
      <c r="I478" s="7">
        <f t="shared" si="61"/>
        <v>0</v>
      </c>
      <c r="J478" s="7">
        <v>71.648221836285302</v>
      </c>
      <c r="K478" s="7">
        <f t="shared" si="62"/>
        <v>1.1427148618227321</v>
      </c>
      <c r="L478" s="7">
        <f t="shared" si="63"/>
        <v>4.3011919791974895</v>
      </c>
      <c r="M478" s="7">
        <v>0</v>
      </c>
      <c r="N478" s="7">
        <f t="shared" si="64"/>
        <v>0</v>
      </c>
      <c r="O478" s="7">
        <f t="shared" si="65"/>
        <v>0</v>
      </c>
    </row>
    <row r="479" spans="3:15" x14ac:dyDescent="0.2">
      <c r="C479">
        <v>460</v>
      </c>
      <c r="D479" s="7">
        <v>2863.9701865582342</v>
      </c>
      <c r="E479" s="7">
        <f t="shared" si="58"/>
        <v>85.645041464062032</v>
      </c>
      <c r="F479" s="7">
        <f t="shared" si="59"/>
        <v>231.27274719753797</v>
      </c>
      <c r="G479">
        <v>0</v>
      </c>
      <c r="H479" s="7">
        <f t="shared" si="60"/>
        <v>0</v>
      </c>
      <c r="I479" s="7">
        <f t="shared" si="61"/>
        <v>0</v>
      </c>
      <c r="J479" s="7">
        <v>266.97000391508163</v>
      </c>
      <c r="K479" s="7">
        <f t="shared" si="62"/>
        <v>4.2578947992835987</v>
      </c>
      <c r="L479" s="7">
        <f t="shared" si="63"/>
        <v>16.026765355736092</v>
      </c>
      <c r="M479" s="7">
        <v>0</v>
      </c>
      <c r="N479" s="7">
        <f t="shared" si="64"/>
        <v>0</v>
      </c>
      <c r="O479" s="7">
        <f t="shared" si="65"/>
        <v>0</v>
      </c>
    </row>
    <row r="480" spans="3:15" x14ac:dyDescent="0.2">
      <c r="C480">
        <v>461</v>
      </c>
      <c r="D480" s="7">
        <v>2864.3385605224657</v>
      </c>
      <c r="E480" s="7">
        <f t="shared" si="58"/>
        <v>85.656057431891924</v>
      </c>
      <c r="F480" s="7">
        <f t="shared" si="59"/>
        <v>231.30249431540383</v>
      </c>
      <c r="G480">
        <v>0</v>
      </c>
      <c r="H480" s="7">
        <f t="shared" si="60"/>
        <v>0</v>
      </c>
      <c r="I480" s="7">
        <f t="shared" si="61"/>
        <v>0</v>
      </c>
      <c r="J480" s="7">
        <v>462.28539185543286</v>
      </c>
      <c r="K480" s="7">
        <f t="shared" si="62"/>
        <v>7.3729727568649581</v>
      </c>
      <c r="L480" s="7">
        <f t="shared" si="63"/>
        <v>27.751954878826712</v>
      </c>
      <c r="M480" s="7">
        <v>0</v>
      </c>
      <c r="N480" s="7">
        <f t="shared" si="64"/>
        <v>0</v>
      </c>
      <c r="O480" s="7">
        <f t="shared" si="65"/>
        <v>0</v>
      </c>
    </row>
    <row r="481" spans="3:15" x14ac:dyDescent="0.2">
      <c r="C481">
        <v>462</v>
      </c>
      <c r="D481" s="7">
        <v>2864.7132969805571</v>
      </c>
      <c r="E481" s="7">
        <f t="shared" si="58"/>
        <v>85.667263665686519</v>
      </c>
      <c r="F481" s="7">
        <f t="shared" si="59"/>
        <v>231.33275522054333</v>
      </c>
      <c r="G481">
        <v>0</v>
      </c>
      <c r="H481" s="7">
        <f t="shared" si="60"/>
        <v>0</v>
      </c>
      <c r="I481" s="7">
        <f t="shared" si="61"/>
        <v>0</v>
      </c>
      <c r="J481" s="7">
        <v>657.59441730192339</v>
      </c>
      <c r="K481" s="7">
        <f t="shared" si="62"/>
        <v>10.487949239265127</v>
      </c>
      <c r="L481" s="7">
        <f t="shared" si="63"/>
        <v>39.476762448159654</v>
      </c>
      <c r="M481" s="7">
        <v>0</v>
      </c>
      <c r="N481" s="7">
        <f t="shared" si="64"/>
        <v>0</v>
      </c>
      <c r="O481" s="7">
        <f t="shared" si="65"/>
        <v>0</v>
      </c>
    </row>
    <row r="482" spans="3:15" x14ac:dyDescent="0.2">
      <c r="C482">
        <v>463</v>
      </c>
      <c r="D482" s="7">
        <v>2865.0943643927912</v>
      </c>
      <c r="E482" s="7">
        <f t="shared" si="58"/>
        <v>85.678659222272472</v>
      </c>
      <c r="F482" s="7">
        <f t="shared" si="59"/>
        <v>231.36352736604559</v>
      </c>
      <c r="G482">
        <v>0</v>
      </c>
      <c r="H482" s="7">
        <f t="shared" si="60"/>
        <v>0</v>
      </c>
      <c r="I482" s="7">
        <f t="shared" si="61"/>
        <v>0</v>
      </c>
      <c r="J482" s="7">
        <v>852.8971117942715</v>
      </c>
      <c r="K482" s="7">
        <f t="shared" si="62"/>
        <v>13.602824749509914</v>
      </c>
      <c r="L482" s="7">
        <f t="shared" si="63"/>
        <v>51.201189957129891</v>
      </c>
      <c r="M482" s="7">
        <v>680.37424334317575</v>
      </c>
      <c r="N482" s="7">
        <f t="shared" si="64"/>
        <v>54.256319245867289</v>
      </c>
      <c r="O482" s="7">
        <f t="shared" si="65"/>
        <v>20.537914935102574</v>
      </c>
    </row>
    <row r="483" spans="3:15" x14ac:dyDescent="0.2">
      <c r="C483">
        <v>464</v>
      </c>
      <c r="D483" s="7">
        <v>2865.4817313240469</v>
      </c>
      <c r="E483" s="7">
        <f t="shared" si="58"/>
        <v>85.690243161604286</v>
      </c>
      <c r="F483" s="7">
        <f t="shared" si="59"/>
        <v>231.394808213446</v>
      </c>
      <c r="G483">
        <v>0</v>
      </c>
      <c r="H483" s="7">
        <f t="shared" si="60"/>
        <v>0</v>
      </c>
      <c r="I483" s="7">
        <f t="shared" si="61"/>
        <v>0</v>
      </c>
      <c r="J483" s="7">
        <v>1048.1935067675981</v>
      </c>
      <c r="K483" s="7">
        <f t="shared" si="62"/>
        <v>16.71759978895691</v>
      </c>
      <c r="L483" s="7">
        <f t="shared" si="63"/>
        <v>62.925239292853213</v>
      </c>
      <c r="M483" s="7">
        <v>680.37424334317575</v>
      </c>
      <c r="N483" s="7">
        <f t="shared" si="64"/>
        <v>54.256319245867289</v>
      </c>
      <c r="O483" s="7">
        <f t="shared" si="65"/>
        <v>20.537914935102574</v>
      </c>
    </row>
    <row r="484" spans="3:15" x14ac:dyDescent="0.2">
      <c r="C484">
        <v>465</v>
      </c>
      <c r="D484" s="7">
        <v>2865.875366443508</v>
      </c>
      <c r="E484" s="7">
        <f t="shared" si="58"/>
        <v>85.702014546755635</v>
      </c>
      <c r="F484" s="7">
        <f t="shared" si="59"/>
        <v>231.42659523270282</v>
      </c>
      <c r="G484">
        <v>0</v>
      </c>
      <c r="H484" s="7">
        <f t="shared" si="60"/>
        <v>0</v>
      </c>
      <c r="I484" s="7">
        <f t="shared" si="61"/>
        <v>0</v>
      </c>
      <c r="J484" s="7">
        <v>1243.4836335527189</v>
      </c>
      <c r="K484" s="7">
        <f t="shared" si="62"/>
        <v>19.832274857300142</v>
      </c>
      <c r="L484" s="7">
        <f t="shared" si="63"/>
        <v>74.648912336183713</v>
      </c>
      <c r="M484" s="7">
        <v>0</v>
      </c>
      <c r="N484" s="7">
        <f t="shared" si="64"/>
        <v>0</v>
      </c>
      <c r="O484" s="7">
        <f t="shared" si="65"/>
        <v>0</v>
      </c>
    </row>
    <row r="485" spans="3:15" x14ac:dyDescent="0.2">
      <c r="C485">
        <v>466</v>
      </c>
      <c r="D485" s="7">
        <v>2866.2752385243894</v>
      </c>
      <c r="E485" s="7">
        <f t="shared" si="58"/>
        <v>85.713972443911175</v>
      </c>
      <c r="F485" s="7">
        <f t="shared" si="59"/>
        <v>231.45888590217524</v>
      </c>
      <c r="G485">
        <v>0</v>
      </c>
      <c r="H485" s="7">
        <f t="shared" si="60"/>
        <v>0</v>
      </c>
      <c r="I485" s="7">
        <f t="shared" si="61"/>
        <v>0</v>
      </c>
      <c r="J485" s="7">
        <v>1438.7675233764203</v>
      </c>
      <c r="K485" s="7">
        <f t="shared" si="62"/>
        <v>22.946850452574488</v>
      </c>
      <c r="L485" s="7">
        <f t="shared" si="63"/>
        <v>86.372210961730445</v>
      </c>
      <c r="M485" s="7">
        <v>0</v>
      </c>
      <c r="N485" s="7">
        <f t="shared" si="64"/>
        <v>0</v>
      </c>
      <c r="O485" s="7">
        <f t="shared" si="65"/>
        <v>0</v>
      </c>
    </row>
    <row r="486" spans="3:15" x14ac:dyDescent="0.2">
      <c r="C486">
        <v>467</v>
      </c>
      <c r="D486" s="7">
        <v>2866.6813164436599</v>
      </c>
      <c r="E486" s="7">
        <f t="shared" si="58"/>
        <v>85.726115922358261</v>
      </c>
      <c r="F486" s="7">
        <f t="shared" si="59"/>
        <v>231.49167770860072</v>
      </c>
      <c r="G486">
        <v>0</v>
      </c>
      <c r="H486" s="7">
        <f t="shared" si="60"/>
        <v>0</v>
      </c>
      <c r="I486" s="7">
        <f t="shared" si="61"/>
        <v>0</v>
      </c>
      <c r="J486" s="7">
        <v>1634.0452073617325</v>
      </c>
      <c r="K486" s="7">
        <f t="shared" si="62"/>
        <v>26.061327071160012</v>
      </c>
      <c r="L486" s="7">
        <f t="shared" si="63"/>
        <v>98.095137037873727</v>
      </c>
      <c r="M486" s="7">
        <v>0</v>
      </c>
      <c r="N486" s="7">
        <f t="shared" si="64"/>
        <v>0</v>
      </c>
      <c r="O486" s="7">
        <f t="shared" si="65"/>
        <v>0</v>
      </c>
    </row>
    <row r="487" spans="3:15" x14ac:dyDescent="0.2">
      <c r="C487">
        <v>468</v>
      </c>
      <c r="D487" s="7">
        <v>2867.0935691817526</v>
      </c>
      <c r="E487" s="7">
        <f t="shared" si="58"/>
        <v>85.738444054478251</v>
      </c>
      <c r="F487" s="7">
        <f t="shared" si="59"/>
        <v>231.52496814707175</v>
      </c>
      <c r="G487">
        <v>0</v>
      </c>
      <c r="H487" s="7">
        <f t="shared" si="60"/>
        <v>0</v>
      </c>
      <c r="I487" s="7">
        <f t="shared" si="61"/>
        <v>0</v>
      </c>
      <c r="J487" s="7">
        <v>1829.3167165282216</v>
      </c>
      <c r="K487" s="7">
        <f t="shared" si="62"/>
        <v>29.175705207786631</v>
      </c>
      <c r="L487" s="7">
        <f t="shared" si="63"/>
        <v>109.8176924267827</v>
      </c>
      <c r="M487" s="7">
        <v>0</v>
      </c>
      <c r="N487" s="7">
        <f t="shared" si="64"/>
        <v>0</v>
      </c>
      <c r="O487" s="7">
        <f t="shared" si="65"/>
        <v>0</v>
      </c>
    </row>
    <row r="488" spans="3:15" x14ac:dyDescent="0.2">
      <c r="C488">
        <v>469</v>
      </c>
      <c r="D488" s="7">
        <v>2867.5119658222993</v>
      </c>
      <c r="E488" s="7">
        <f t="shared" si="58"/>
        <v>85.750955915738615</v>
      </c>
      <c r="F488" s="7">
        <f t="shared" si="59"/>
        <v>231.55875472101431</v>
      </c>
      <c r="G488">
        <v>0</v>
      </c>
      <c r="H488" s="7">
        <f t="shared" si="60"/>
        <v>0</v>
      </c>
      <c r="I488" s="7">
        <f t="shared" si="61"/>
        <v>0</v>
      </c>
      <c r="J488" s="7">
        <v>1926.7402008399649</v>
      </c>
      <c r="K488" s="7">
        <f t="shared" si="62"/>
        <v>30.729508785326395</v>
      </c>
      <c r="L488" s="7">
        <f t="shared" si="63"/>
        <v>115.66622709474186</v>
      </c>
      <c r="M488" s="7">
        <v>0</v>
      </c>
      <c r="N488" s="7">
        <f t="shared" si="64"/>
        <v>0</v>
      </c>
      <c r="O488" s="7">
        <f t="shared" si="65"/>
        <v>0</v>
      </c>
    </row>
    <row r="489" spans="3:15" x14ac:dyDescent="0.2">
      <c r="C489">
        <v>470</v>
      </c>
      <c r="D489" s="7">
        <v>2867.9364755518432</v>
      </c>
      <c r="E489" s="7">
        <f t="shared" si="58"/>
        <v>85.763650584684314</v>
      </c>
      <c r="F489" s="7">
        <f t="shared" si="59"/>
        <v>231.59303494216482</v>
      </c>
      <c r="G489">
        <v>0</v>
      </c>
      <c r="H489" s="7">
        <f t="shared" si="60"/>
        <v>0</v>
      </c>
      <c r="I489" s="7">
        <f t="shared" si="61"/>
        <v>0</v>
      </c>
      <c r="J489" s="7">
        <v>1926.3156911104211</v>
      </c>
      <c r="K489" s="7">
        <f t="shared" si="62"/>
        <v>30.72273829522203</v>
      </c>
      <c r="L489" s="7">
        <f t="shared" si="63"/>
        <v>115.6407428915473</v>
      </c>
      <c r="M489" s="7">
        <v>0</v>
      </c>
      <c r="N489" s="7">
        <f t="shared" si="64"/>
        <v>0</v>
      </c>
      <c r="O489" s="7">
        <f t="shared" si="65"/>
        <v>0</v>
      </c>
    </row>
    <row r="490" spans="3:15" x14ac:dyDescent="0.2">
      <c r="C490">
        <v>471</v>
      </c>
      <c r="D490" s="7">
        <v>2868.3670676595634</v>
      </c>
      <c r="E490" s="7">
        <f t="shared" si="58"/>
        <v>85.776527142929538</v>
      </c>
      <c r="F490" s="7">
        <f t="shared" si="59"/>
        <v>231.62780633054777</v>
      </c>
      <c r="G490">
        <v>0</v>
      </c>
      <c r="H490" s="7">
        <f t="shared" si="60"/>
        <v>0</v>
      </c>
      <c r="I490" s="7">
        <f t="shared" si="61"/>
        <v>0</v>
      </c>
      <c r="J490" s="7">
        <v>2415.0945037641582</v>
      </c>
      <c r="K490" s="7">
        <f t="shared" si="62"/>
        <v>38.518253648551166</v>
      </c>
      <c r="L490" s="7">
        <f t="shared" si="63"/>
        <v>144.98315299897061</v>
      </c>
      <c r="M490" s="7">
        <v>0</v>
      </c>
      <c r="N490" s="7">
        <f t="shared" si="64"/>
        <v>0</v>
      </c>
      <c r="O490" s="7">
        <f t="shared" si="65"/>
        <v>0</v>
      </c>
    </row>
    <row r="491" spans="3:15" x14ac:dyDescent="0.2">
      <c r="C491">
        <v>472</v>
      </c>
      <c r="D491" s="7">
        <v>2868.8037115370053</v>
      </c>
      <c r="E491" s="7">
        <f t="shared" si="58"/>
        <v>85.789584675149683</v>
      </c>
      <c r="F491" s="7">
        <f t="shared" si="59"/>
        <v>231.66306641445399</v>
      </c>
      <c r="G491">
        <v>0</v>
      </c>
      <c r="H491" s="7">
        <f t="shared" si="60"/>
        <v>0</v>
      </c>
      <c r="I491" s="7">
        <f t="shared" si="61"/>
        <v>0</v>
      </c>
      <c r="J491" s="7">
        <v>2610.3416217912973</v>
      </c>
      <c r="K491" s="7">
        <f t="shared" si="62"/>
        <v>41.632242771791027</v>
      </c>
      <c r="L491" s="7">
        <f t="shared" si="63"/>
        <v>156.70424413698476</v>
      </c>
      <c r="M491" s="7">
        <v>680.37424334317575</v>
      </c>
      <c r="N491" s="7">
        <f t="shared" si="64"/>
        <v>54.256319245867289</v>
      </c>
      <c r="O491" s="7">
        <f t="shared" si="65"/>
        <v>20.537914935102574</v>
      </c>
    </row>
    <row r="492" spans="3:15" x14ac:dyDescent="0.2">
      <c r="C492">
        <v>473</v>
      </c>
      <c r="D492" s="7">
        <v>2869.2463766777978</v>
      </c>
      <c r="E492" s="7">
        <f t="shared" si="58"/>
        <v>85.802822269072905</v>
      </c>
      <c r="F492" s="7">
        <f t="shared" si="59"/>
        <v>231.69881273041781</v>
      </c>
      <c r="G492">
        <v>0</v>
      </c>
      <c r="H492" s="7">
        <f t="shared" si="60"/>
        <v>0</v>
      </c>
      <c r="I492" s="7">
        <f t="shared" si="61"/>
        <v>0</v>
      </c>
      <c r="J492" s="7">
        <v>2335.9416899840894</v>
      </c>
      <c r="K492" s="7">
        <f t="shared" si="62"/>
        <v>37.255848325105099</v>
      </c>
      <c r="L492" s="7">
        <f t="shared" si="63"/>
        <v>140.23144473550988</v>
      </c>
      <c r="M492" s="7">
        <v>680.37424334317575</v>
      </c>
      <c r="N492" s="7">
        <f t="shared" si="64"/>
        <v>54.256319245867289</v>
      </c>
      <c r="O492" s="7">
        <f t="shared" si="65"/>
        <v>20.537914935102574</v>
      </c>
    </row>
    <row r="493" spans="3:15" x14ac:dyDescent="0.2">
      <c r="C493">
        <v>474</v>
      </c>
      <c r="D493" s="7">
        <v>2869.695032677379</v>
      </c>
      <c r="E493" s="7">
        <f t="shared" si="58"/>
        <v>85.816239015471865</v>
      </c>
      <c r="F493" s="7">
        <f t="shared" si="59"/>
        <v>231.7350428231949</v>
      </c>
      <c r="G493">
        <v>0</v>
      </c>
      <c r="H493" s="7">
        <f t="shared" si="60"/>
        <v>0</v>
      </c>
      <c r="I493" s="7">
        <f t="shared" si="61"/>
        <v>0</v>
      </c>
      <c r="J493" s="7">
        <v>2061.5357673180938</v>
      </c>
      <c r="K493" s="7">
        <f t="shared" si="62"/>
        <v>32.879358330432119</v>
      </c>
      <c r="L493" s="7">
        <f t="shared" si="63"/>
        <v>123.75828569030476</v>
      </c>
      <c r="M493" s="7">
        <v>680.37424334317575</v>
      </c>
      <c r="N493" s="7">
        <f t="shared" si="64"/>
        <v>54.256319245867289</v>
      </c>
      <c r="O493" s="7">
        <f t="shared" si="65"/>
        <v>20.537914935102574</v>
      </c>
    </row>
    <row r="494" spans="3:15" x14ac:dyDescent="0.2">
      <c r="C494">
        <v>475</v>
      </c>
      <c r="D494" s="7">
        <v>2870.1496492327269</v>
      </c>
      <c r="E494" s="7">
        <f t="shared" si="58"/>
        <v>85.829834008155714</v>
      </c>
      <c r="F494" s="7">
        <f t="shared" si="59"/>
        <v>231.77175424574051</v>
      </c>
      <c r="G494">
        <v>0</v>
      </c>
      <c r="H494" s="7">
        <f t="shared" si="60"/>
        <v>0</v>
      </c>
      <c r="I494" s="7">
        <f t="shared" si="61"/>
        <v>0</v>
      </c>
      <c r="J494" s="7">
        <v>1924.1025174295373</v>
      </c>
      <c r="K494" s="7">
        <f t="shared" si="62"/>
        <v>30.687440469370614</v>
      </c>
      <c r="L494" s="7">
        <f t="shared" si="63"/>
        <v>115.50788146608807</v>
      </c>
      <c r="M494" s="7">
        <v>680.37424334317575</v>
      </c>
      <c r="N494" s="7">
        <f t="shared" si="64"/>
        <v>54.256319245867289</v>
      </c>
      <c r="O494" s="7">
        <f t="shared" si="65"/>
        <v>20.537914935102574</v>
      </c>
    </row>
    <row r="495" spans="3:15" x14ac:dyDescent="0.2">
      <c r="C495">
        <v>476</v>
      </c>
      <c r="D495" s="7">
        <v>2870.6101961420741</v>
      </c>
      <c r="E495" s="7">
        <f t="shared" si="58"/>
        <v>85.843606343961554</v>
      </c>
      <c r="F495" s="7">
        <f t="shared" si="59"/>
        <v>231.8089445591865</v>
      </c>
      <c r="G495">
        <v>0</v>
      </c>
      <c r="H495" s="7">
        <f t="shared" si="60"/>
        <v>0</v>
      </c>
      <c r="I495" s="7">
        <f t="shared" si="61"/>
        <v>0</v>
      </c>
      <c r="J495" s="7">
        <v>1512.7060705205672</v>
      </c>
      <c r="K495" s="7">
        <f t="shared" si="62"/>
        <v>24.126093628717182</v>
      </c>
      <c r="L495" s="7">
        <f t="shared" si="63"/>
        <v>90.810895939239003</v>
      </c>
      <c r="M495" s="7">
        <v>680.37424334317575</v>
      </c>
      <c r="N495" s="7">
        <f t="shared" si="64"/>
        <v>54.256319245867289</v>
      </c>
      <c r="O495" s="7">
        <f t="shared" si="65"/>
        <v>20.537914935102574</v>
      </c>
    </row>
    <row r="496" spans="3:15" x14ac:dyDescent="0.2">
      <c r="C496">
        <v>477</v>
      </c>
      <c r="D496" s="7">
        <v>2871.0766433046492</v>
      </c>
      <c r="E496" s="7">
        <f t="shared" si="58"/>
        <v>85.857555122746689</v>
      </c>
      <c r="F496" s="7">
        <f t="shared" si="59"/>
        <v>231.84661133282037</v>
      </c>
      <c r="G496">
        <v>0</v>
      </c>
      <c r="H496" s="7">
        <f t="shared" si="60"/>
        <v>0</v>
      </c>
      <c r="I496" s="7">
        <f t="shared" si="61"/>
        <v>0</v>
      </c>
      <c r="J496" s="7">
        <v>1238.2823566915758</v>
      </c>
      <c r="K496" s="7">
        <f t="shared" si="62"/>
        <v>19.749319883438211</v>
      </c>
      <c r="L496" s="7">
        <f t="shared" si="63"/>
        <v>74.336668853465426</v>
      </c>
      <c r="M496" s="7">
        <v>680.37424334317575</v>
      </c>
      <c r="N496" s="7">
        <f t="shared" si="64"/>
        <v>54.256319245867289</v>
      </c>
      <c r="O496" s="7">
        <f t="shared" si="65"/>
        <v>20.537914935102574</v>
      </c>
    </row>
    <row r="497" spans="3:15" x14ac:dyDescent="0.2">
      <c r="C497">
        <v>478</v>
      </c>
      <c r="D497" s="7">
        <v>2871.5489607203845</v>
      </c>
      <c r="E497" s="7">
        <f t="shared" si="58"/>
        <v>85.871679447379918</v>
      </c>
      <c r="F497" s="7">
        <f t="shared" si="59"/>
        <v>231.88475214406171</v>
      </c>
      <c r="G497">
        <v>0</v>
      </c>
      <c r="H497" s="7">
        <f t="shared" si="60"/>
        <v>0</v>
      </c>
      <c r="I497" s="7">
        <f t="shared" si="61"/>
        <v>0</v>
      </c>
      <c r="J497" s="7">
        <v>963.85277260942712</v>
      </c>
      <c r="K497" s="7">
        <f t="shared" si="62"/>
        <v>15.372452513706973</v>
      </c>
      <c r="L497" s="7">
        <f t="shared" si="63"/>
        <v>57.862089364168796</v>
      </c>
      <c r="M497" s="7">
        <v>680.37424334317575</v>
      </c>
      <c r="N497" s="7">
        <f t="shared" si="64"/>
        <v>54.256319245867289</v>
      </c>
      <c r="O497" s="7">
        <f t="shared" si="65"/>
        <v>20.537914935102574</v>
      </c>
    </row>
    <row r="498" spans="3:15" x14ac:dyDescent="0.2">
      <c r="C498">
        <v>479</v>
      </c>
      <c r="D498" s="7">
        <v>2872.0271184896706</v>
      </c>
      <c r="E498" s="7">
        <f t="shared" si="58"/>
        <v>85.885978423734173</v>
      </c>
      <c r="F498" s="7">
        <f t="shared" si="59"/>
        <v>231.92336457844237</v>
      </c>
      <c r="G498">
        <v>0</v>
      </c>
      <c r="H498" s="7">
        <f t="shared" si="60"/>
        <v>0</v>
      </c>
      <c r="I498" s="7">
        <f t="shared" si="61"/>
        <v>0</v>
      </c>
      <c r="J498" s="7">
        <v>209.99213150749983</v>
      </c>
      <c r="K498" s="7">
        <f t="shared" si="62"/>
        <v>3.3491568023524696</v>
      </c>
      <c r="L498" s="7">
        <f t="shared" si="63"/>
        <v>12.606265006806082</v>
      </c>
      <c r="M498" s="7">
        <v>0</v>
      </c>
      <c r="N498" s="7">
        <f t="shared" si="64"/>
        <v>0</v>
      </c>
      <c r="O498" s="7">
        <f t="shared" si="65"/>
        <v>0</v>
      </c>
    </row>
    <row r="499" spans="3:15" x14ac:dyDescent="0.2">
      <c r="C499">
        <v>480</v>
      </c>
      <c r="D499" s="7">
        <v>2872.5110868130605</v>
      </c>
      <c r="E499" s="7">
        <f t="shared" si="58"/>
        <v>85.900451160677648</v>
      </c>
      <c r="F499" s="7">
        <f t="shared" si="59"/>
        <v>231.96244622958255</v>
      </c>
      <c r="G499">
        <v>0</v>
      </c>
      <c r="H499" s="7">
        <f t="shared" si="60"/>
        <v>0</v>
      </c>
      <c r="I499" s="7">
        <f t="shared" si="61"/>
        <v>0</v>
      </c>
      <c r="J499" s="7">
        <v>38.284871517600095</v>
      </c>
      <c r="K499" s="7">
        <f t="shared" si="62"/>
        <v>0.61060401144497767</v>
      </c>
      <c r="L499" s="7">
        <f t="shared" si="63"/>
        <v>2.2983205734313521</v>
      </c>
      <c r="M499" s="7">
        <v>0</v>
      </c>
      <c r="N499" s="7">
        <f t="shared" si="64"/>
        <v>0</v>
      </c>
      <c r="O499" s="7">
        <f t="shared" si="65"/>
        <v>0</v>
      </c>
    </row>
    <row r="500" spans="3:15" x14ac:dyDescent="0.2">
      <c r="C500">
        <v>481</v>
      </c>
      <c r="D500" s="7">
        <v>2739.5726666641513</v>
      </c>
      <c r="E500" s="7">
        <f t="shared" si="58"/>
        <v>81.925019936128933</v>
      </c>
      <c r="F500" s="7">
        <f t="shared" si="59"/>
        <v>221.22733670217281</v>
      </c>
      <c r="G500">
        <v>0</v>
      </c>
      <c r="H500" s="7">
        <f t="shared" si="60"/>
        <v>0</v>
      </c>
      <c r="I500" s="7">
        <f t="shared" si="61"/>
        <v>0</v>
      </c>
      <c r="J500" s="7">
        <v>0</v>
      </c>
      <c r="K500" s="7">
        <f t="shared" si="62"/>
        <v>0</v>
      </c>
      <c r="L500" s="7">
        <f t="shared" si="63"/>
        <v>0</v>
      </c>
      <c r="M500" s="7">
        <v>0</v>
      </c>
      <c r="N500" s="7">
        <f t="shared" si="64"/>
        <v>0</v>
      </c>
      <c r="O500" s="7">
        <f t="shared" si="65"/>
        <v>0</v>
      </c>
    </row>
    <row r="501" spans="3:15" x14ac:dyDescent="0.2">
      <c r="C501">
        <v>482</v>
      </c>
      <c r="D501" s="7">
        <v>2739.5726666641513</v>
      </c>
      <c r="E501" s="7">
        <f t="shared" si="58"/>
        <v>81.925019936128933</v>
      </c>
      <c r="F501" s="7">
        <f t="shared" si="59"/>
        <v>221.22733670217281</v>
      </c>
      <c r="G501">
        <v>0</v>
      </c>
      <c r="H501" s="7">
        <f t="shared" si="60"/>
        <v>0</v>
      </c>
      <c r="I501" s="7">
        <f t="shared" si="61"/>
        <v>0</v>
      </c>
      <c r="J501" s="7">
        <v>0</v>
      </c>
      <c r="K501" s="7">
        <f t="shared" si="62"/>
        <v>0</v>
      </c>
      <c r="L501" s="7">
        <f t="shared" si="63"/>
        <v>0</v>
      </c>
      <c r="M501" s="7">
        <v>0</v>
      </c>
      <c r="N501" s="7">
        <f t="shared" si="64"/>
        <v>0</v>
      </c>
      <c r="O501" s="7">
        <f t="shared" si="65"/>
        <v>0</v>
      </c>
    </row>
    <row r="502" spans="3:15" x14ac:dyDescent="0.2">
      <c r="C502">
        <v>483</v>
      </c>
      <c r="D502" s="7">
        <v>2874.5310124140433</v>
      </c>
      <c r="E502" s="7">
        <f t="shared" si="58"/>
        <v>85.960855634391251</v>
      </c>
      <c r="F502" s="7">
        <f t="shared" si="59"/>
        <v>232.12556026794317</v>
      </c>
      <c r="G502">
        <v>0</v>
      </c>
      <c r="H502" s="7">
        <f t="shared" si="60"/>
        <v>0</v>
      </c>
      <c r="I502" s="7">
        <f t="shared" si="61"/>
        <v>0</v>
      </c>
      <c r="J502" s="7">
        <v>36.264945916618217</v>
      </c>
      <c r="K502" s="7">
        <f t="shared" si="62"/>
        <v>0.57838829213107212</v>
      </c>
      <c r="L502" s="7">
        <f t="shared" si="63"/>
        <v>2.1770602326880604</v>
      </c>
      <c r="M502" s="7">
        <v>0</v>
      </c>
      <c r="N502" s="7">
        <f t="shared" si="64"/>
        <v>0</v>
      </c>
      <c r="O502" s="7">
        <f t="shared" si="65"/>
        <v>0</v>
      </c>
    </row>
    <row r="503" spans="3:15" x14ac:dyDescent="0.2">
      <c r="C503">
        <v>484</v>
      </c>
      <c r="D503" s="7">
        <v>2875.0354743963371</v>
      </c>
      <c r="E503" s="7">
        <f t="shared" si="58"/>
        <v>85.975941219986169</v>
      </c>
      <c r="F503" s="7">
        <f t="shared" si="59"/>
        <v>232.16629683323615</v>
      </c>
      <c r="G503">
        <v>0</v>
      </c>
      <c r="H503" s="7">
        <f t="shared" si="60"/>
        <v>0</v>
      </c>
      <c r="I503" s="7">
        <f t="shared" si="61"/>
        <v>0</v>
      </c>
      <c r="J503" s="7">
        <v>206.98377560083327</v>
      </c>
      <c r="K503" s="7">
        <f t="shared" si="62"/>
        <v>3.3011766443514081</v>
      </c>
      <c r="L503" s="7">
        <f t="shared" si="63"/>
        <v>12.425667136200275</v>
      </c>
      <c r="M503" s="7">
        <v>0</v>
      </c>
      <c r="N503" s="7">
        <f t="shared" si="64"/>
        <v>0</v>
      </c>
      <c r="O503" s="7">
        <f t="shared" si="65"/>
        <v>0</v>
      </c>
    </row>
    <row r="504" spans="3:15" x14ac:dyDescent="0.2">
      <c r="C504">
        <v>485</v>
      </c>
      <c r="D504" s="7">
        <v>2875.5456073170881</v>
      </c>
      <c r="E504" s="7">
        <f t="shared" si="58"/>
        <v>85.991196391061251</v>
      </c>
      <c r="F504" s="7">
        <f t="shared" si="59"/>
        <v>232.20749134097636</v>
      </c>
      <c r="G504">
        <v>0</v>
      </c>
      <c r="H504" s="7">
        <f t="shared" si="60"/>
        <v>0</v>
      </c>
      <c r="I504" s="7">
        <f t="shared" si="61"/>
        <v>0</v>
      </c>
      <c r="J504" s="7">
        <v>377.69693434659166</v>
      </c>
      <c r="K504" s="7">
        <f t="shared" si="62"/>
        <v>6.0238745509823239</v>
      </c>
      <c r="L504" s="7">
        <f t="shared" si="63"/>
        <v>22.673933601466025</v>
      </c>
      <c r="M504" s="7">
        <v>0</v>
      </c>
      <c r="N504" s="7">
        <f t="shared" si="64"/>
        <v>0</v>
      </c>
      <c r="O504" s="7">
        <f t="shared" si="65"/>
        <v>0</v>
      </c>
    </row>
    <row r="505" spans="3:15" x14ac:dyDescent="0.2">
      <c r="C505">
        <v>486</v>
      </c>
      <c r="D505" s="7">
        <v>2876.0613819514938</v>
      </c>
      <c r="E505" s="7">
        <f t="shared" si="58"/>
        <v>86.006620273669085</v>
      </c>
      <c r="F505" s="7">
        <f t="shared" si="59"/>
        <v>232.24914143118812</v>
      </c>
      <c r="G505">
        <v>0</v>
      </c>
      <c r="H505" s="7">
        <f t="shared" si="60"/>
        <v>0</v>
      </c>
      <c r="I505" s="7">
        <f t="shared" si="61"/>
        <v>0</v>
      </c>
      <c r="J505" s="7">
        <v>548.40445137869528</v>
      </c>
      <c r="K505" s="7">
        <f t="shared" si="62"/>
        <v>8.7464824781291117</v>
      </c>
      <c r="L505" s="7">
        <f t="shared" si="63"/>
        <v>32.921861382911032</v>
      </c>
      <c r="M505" s="7">
        <v>0</v>
      </c>
      <c r="N505" s="7">
        <f t="shared" si="64"/>
        <v>0</v>
      </c>
      <c r="O505" s="7">
        <f t="shared" si="65"/>
        <v>0</v>
      </c>
    </row>
    <row r="506" spans="3:15" x14ac:dyDescent="0.2">
      <c r="C506">
        <v>487</v>
      </c>
      <c r="D506" s="7">
        <v>2876.5827691730933</v>
      </c>
      <c r="E506" s="7">
        <f t="shared" si="58"/>
        <v>86.022211996803037</v>
      </c>
      <c r="F506" s="7">
        <f t="shared" si="59"/>
        <v>232.29124475183681</v>
      </c>
      <c r="G506">
        <v>0</v>
      </c>
      <c r="H506" s="7">
        <f t="shared" si="60"/>
        <v>0</v>
      </c>
      <c r="I506" s="7">
        <f t="shared" si="61"/>
        <v>0</v>
      </c>
      <c r="J506" s="7">
        <v>719.1063558236051</v>
      </c>
      <c r="K506" s="7">
        <f t="shared" si="62"/>
        <v>11.469000890328632</v>
      </c>
      <c r="L506" s="7">
        <f t="shared" si="63"/>
        <v>43.16945222905742</v>
      </c>
      <c r="M506" s="7">
        <v>680.37424334317575</v>
      </c>
      <c r="N506" s="7">
        <f t="shared" si="64"/>
        <v>54.256319245867289</v>
      </c>
      <c r="O506" s="7">
        <f t="shared" si="65"/>
        <v>20.537914935102574</v>
      </c>
    </row>
    <row r="507" spans="3:15" x14ac:dyDescent="0.2">
      <c r="C507">
        <v>488</v>
      </c>
      <c r="D507" s="7">
        <v>2877.1097399534897</v>
      </c>
      <c r="E507" s="7">
        <f t="shared" si="58"/>
        <v>86.037970692389052</v>
      </c>
      <c r="F507" s="7">
        <f t="shared" si="59"/>
        <v>232.33379895880694</v>
      </c>
      <c r="G507">
        <v>0</v>
      </c>
      <c r="H507" s="7">
        <f t="shared" si="60"/>
        <v>0</v>
      </c>
      <c r="I507" s="7">
        <f t="shared" si="61"/>
        <v>0</v>
      </c>
      <c r="J507" s="7">
        <v>889.80267670971853</v>
      </c>
      <c r="K507" s="7">
        <f t="shared" si="62"/>
        <v>14.191430250553726</v>
      </c>
      <c r="L507" s="7">
        <f t="shared" si="63"/>
        <v>53.416707882540322</v>
      </c>
      <c r="M507" s="7">
        <v>680.37424334317575</v>
      </c>
      <c r="N507" s="7">
        <f t="shared" si="64"/>
        <v>54.256319245867289</v>
      </c>
      <c r="O507" s="7">
        <f t="shared" si="65"/>
        <v>20.537914935102574</v>
      </c>
    </row>
    <row r="508" spans="3:15" x14ac:dyDescent="0.2">
      <c r="C508">
        <v>489</v>
      </c>
      <c r="D508" s="7">
        <v>2877.6422653620821</v>
      </c>
      <c r="E508" s="7">
        <f t="shared" si="58"/>
        <v>86.053895495277587</v>
      </c>
      <c r="F508" s="7">
        <f t="shared" si="59"/>
        <v>232.37680171588025</v>
      </c>
      <c r="G508">
        <v>0</v>
      </c>
      <c r="H508" s="7">
        <f t="shared" si="60"/>
        <v>0</v>
      </c>
      <c r="I508" s="7">
        <f t="shared" si="61"/>
        <v>0</v>
      </c>
      <c r="J508" s="7">
        <v>1060.4934429676355</v>
      </c>
      <c r="K508" s="7">
        <f t="shared" si="62"/>
        <v>16.913771020217474</v>
      </c>
      <c r="L508" s="7">
        <f t="shared" si="63"/>
        <v>63.663630080123923</v>
      </c>
      <c r="M508" s="7">
        <v>0</v>
      </c>
      <c r="N508" s="7">
        <f t="shared" si="64"/>
        <v>0</v>
      </c>
      <c r="O508" s="7">
        <f t="shared" si="65"/>
        <v>0</v>
      </c>
    </row>
    <row r="509" spans="3:15" x14ac:dyDescent="0.2">
      <c r="C509">
        <v>490</v>
      </c>
      <c r="D509" s="7">
        <v>2878.1803165658134</v>
      </c>
      <c r="E509" s="7">
        <f t="shared" si="58"/>
        <v>86.069985543236058</v>
      </c>
      <c r="F509" s="7">
        <f t="shared" si="59"/>
        <v>232.42025069471524</v>
      </c>
      <c r="G509">
        <v>0</v>
      </c>
      <c r="H509" s="7">
        <f t="shared" si="60"/>
        <v>0</v>
      </c>
      <c r="I509" s="7">
        <f t="shared" si="61"/>
        <v>0</v>
      </c>
      <c r="J509" s="7">
        <v>1231.1786834304135</v>
      </c>
      <c r="K509" s="7">
        <f t="shared" si="62"/>
        <v>19.636023659177248</v>
      </c>
      <c r="L509" s="7">
        <f t="shared" si="63"/>
        <v>73.910220552716709</v>
      </c>
      <c r="M509" s="7">
        <v>0</v>
      </c>
      <c r="N509" s="7">
        <f t="shared" si="64"/>
        <v>0</v>
      </c>
      <c r="O509" s="7">
        <f t="shared" si="65"/>
        <v>0</v>
      </c>
    </row>
    <row r="510" spans="3:15" x14ac:dyDescent="0.2">
      <c r="C510">
        <v>491</v>
      </c>
      <c r="D510" s="7">
        <v>2878.7238648288876</v>
      </c>
      <c r="E510" s="7">
        <f t="shared" si="58"/>
        <v>86.086239976940419</v>
      </c>
      <c r="F510" s="7">
        <f t="shared" si="59"/>
        <v>232.46414357482467</v>
      </c>
      <c r="G510">
        <v>0</v>
      </c>
      <c r="H510" s="7">
        <f t="shared" si="60"/>
        <v>0</v>
      </c>
      <c r="I510" s="7">
        <f t="shared" si="61"/>
        <v>0</v>
      </c>
      <c r="J510" s="7">
        <v>1401.8584268338491</v>
      </c>
      <c r="K510" s="7">
        <f t="shared" si="62"/>
        <v>22.358188625739221</v>
      </c>
      <c r="L510" s="7">
        <f t="shared" si="63"/>
        <v>84.156481025388402</v>
      </c>
      <c r="M510" s="7">
        <v>0</v>
      </c>
      <c r="N510" s="7">
        <f t="shared" si="64"/>
        <v>0</v>
      </c>
      <c r="O510" s="7">
        <f t="shared" si="65"/>
        <v>0</v>
      </c>
    </row>
    <row r="511" spans="3:15" x14ac:dyDescent="0.2">
      <c r="C511">
        <v>492</v>
      </c>
      <c r="D511" s="7">
        <v>2879.2728815125188</v>
      </c>
      <c r="E511" s="7">
        <f t="shared" si="58"/>
        <v>86.102657939967671</v>
      </c>
      <c r="F511" s="7">
        <f t="shared" si="59"/>
        <v>232.50847804355504</v>
      </c>
      <c r="G511">
        <v>0</v>
      </c>
      <c r="H511" s="7">
        <f t="shared" si="60"/>
        <v>0</v>
      </c>
      <c r="I511" s="7">
        <f t="shared" si="61"/>
        <v>0</v>
      </c>
      <c r="J511" s="7">
        <v>1572.5327018167286</v>
      </c>
      <c r="K511" s="7">
        <f t="shared" si="62"/>
        <v>25.08026637666234</v>
      </c>
      <c r="L511" s="7">
        <f t="shared" si="63"/>
        <v>94.402413217384989</v>
      </c>
      <c r="M511" s="7">
        <v>0</v>
      </c>
      <c r="N511" s="7">
        <f t="shared" si="64"/>
        <v>0</v>
      </c>
      <c r="O511" s="7">
        <f t="shared" si="65"/>
        <v>0</v>
      </c>
    </row>
    <row r="512" spans="3:15" x14ac:dyDescent="0.2">
      <c r="C512">
        <v>493</v>
      </c>
      <c r="D512" s="7">
        <v>2879.82733807466</v>
      </c>
      <c r="E512" s="7">
        <f t="shared" si="58"/>
        <v>86.119238578787687</v>
      </c>
      <c r="F512" s="7">
        <f t="shared" si="59"/>
        <v>232.55325179606473</v>
      </c>
      <c r="G512">
        <v>0</v>
      </c>
      <c r="H512" s="7">
        <f t="shared" si="60"/>
        <v>0</v>
      </c>
      <c r="I512" s="7">
        <f t="shared" si="61"/>
        <v>0</v>
      </c>
      <c r="J512" s="7">
        <v>1743.2015369210962</v>
      </c>
      <c r="K512" s="7">
        <f t="shared" si="62"/>
        <v>27.802257367162621</v>
      </c>
      <c r="L512" s="7">
        <f t="shared" si="63"/>
        <v>104.64801884214482</v>
      </c>
      <c r="M512" s="7">
        <v>0</v>
      </c>
      <c r="N512" s="7">
        <f t="shared" si="64"/>
        <v>0</v>
      </c>
      <c r="O512" s="7">
        <f t="shared" si="65"/>
        <v>0</v>
      </c>
    </row>
    <row r="513" spans="3:15" x14ac:dyDescent="0.2">
      <c r="C513">
        <v>494</v>
      </c>
      <c r="D513" s="7">
        <v>2880.387206069749</v>
      </c>
      <c r="E513" s="7">
        <f t="shared" si="58"/>
        <v>86.13598104275566</v>
      </c>
      <c r="F513" s="7">
        <f t="shared" si="59"/>
        <v>232.59846253530355</v>
      </c>
      <c r="G513">
        <v>0</v>
      </c>
      <c r="H513" s="7">
        <f t="shared" si="60"/>
        <v>0</v>
      </c>
      <c r="I513" s="7">
        <f t="shared" si="61"/>
        <v>0</v>
      </c>
      <c r="J513" s="7">
        <v>1913.864960592517</v>
      </c>
      <c r="K513" s="7">
        <f t="shared" si="62"/>
        <v>30.52416205091734</v>
      </c>
      <c r="L513" s="7">
        <f t="shared" si="63"/>
        <v>114.89329960731443</v>
      </c>
      <c r="M513" s="7">
        <v>0</v>
      </c>
      <c r="N513" s="7">
        <f t="shared" si="64"/>
        <v>0</v>
      </c>
      <c r="O513" s="7">
        <f t="shared" si="65"/>
        <v>0</v>
      </c>
    </row>
    <row r="514" spans="3:15" x14ac:dyDescent="0.2">
      <c r="C514">
        <v>495</v>
      </c>
      <c r="D514" s="7">
        <v>2880.9524571484353</v>
      </c>
      <c r="E514" s="7">
        <f t="shared" si="58"/>
        <v>86.152884484103936</v>
      </c>
      <c r="F514" s="7">
        <f t="shared" si="59"/>
        <v>232.64410797199059</v>
      </c>
      <c r="G514">
        <v>0</v>
      </c>
      <c r="H514" s="7">
        <f t="shared" si="60"/>
        <v>0</v>
      </c>
      <c r="I514" s="7">
        <f t="shared" si="61"/>
        <v>0</v>
      </c>
      <c r="J514" s="7">
        <v>1742.07641784732</v>
      </c>
      <c r="K514" s="7">
        <f t="shared" si="62"/>
        <v>27.784312884327274</v>
      </c>
      <c r="L514" s="7">
        <f t="shared" si="63"/>
        <v>104.5804756008509</v>
      </c>
      <c r="M514" s="7">
        <v>0</v>
      </c>
      <c r="N514" s="7">
        <f t="shared" si="64"/>
        <v>0</v>
      </c>
      <c r="O514" s="7">
        <f t="shared" si="65"/>
        <v>0</v>
      </c>
    </row>
    <row r="515" spans="3:15" x14ac:dyDescent="0.2">
      <c r="C515">
        <v>496</v>
      </c>
      <c r="D515" s="7">
        <v>2881.5230630573251</v>
      </c>
      <c r="E515" s="7">
        <f t="shared" si="58"/>
        <v>86.169948057934363</v>
      </c>
      <c r="F515" s="7">
        <f t="shared" si="59"/>
        <v>232.69018582459375</v>
      </c>
      <c r="G515">
        <v>0</v>
      </c>
      <c r="H515" s="7">
        <f t="shared" si="60"/>
        <v>0</v>
      </c>
      <c r="I515" s="7">
        <f t="shared" si="61"/>
        <v>0</v>
      </c>
      <c r="J515" s="7">
        <v>1912.7291036049392</v>
      </c>
      <c r="K515" s="7">
        <f t="shared" si="62"/>
        <v>30.506046309488664</v>
      </c>
      <c r="L515" s="7">
        <f t="shared" si="63"/>
        <v>114.82511174669105</v>
      </c>
      <c r="M515" s="7">
        <v>680.37424334317575</v>
      </c>
      <c r="N515" s="7">
        <f t="shared" si="64"/>
        <v>54.256319245867289</v>
      </c>
      <c r="O515" s="7">
        <f t="shared" si="65"/>
        <v>20.537914935102574</v>
      </c>
    </row>
    <row r="516" spans="3:15" x14ac:dyDescent="0.2">
      <c r="C516">
        <v>497</v>
      </c>
      <c r="D516" s="7">
        <v>2882.0989956387125</v>
      </c>
      <c r="E516" s="7">
        <f t="shared" si="58"/>
        <v>86.187170922210314</v>
      </c>
      <c r="F516" s="7">
        <f t="shared" si="59"/>
        <v>232.73669381930793</v>
      </c>
      <c r="G516">
        <v>0</v>
      </c>
      <c r="H516" s="7">
        <f t="shared" si="60"/>
        <v>0</v>
      </c>
      <c r="I516" s="7">
        <f t="shared" si="61"/>
        <v>0</v>
      </c>
      <c r="J516" s="7">
        <v>2597.04633768959</v>
      </c>
      <c r="K516" s="7">
        <f t="shared" si="62"/>
        <v>41.420196773358697</v>
      </c>
      <c r="L516" s="7">
        <f t="shared" si="63"/>
        <v>155.90610054215722</v>
      </c>
      <c r="M516" s="7">
        <v>680.37424334317575</v>
      </c>
      <c r="N516" s="7">
        <f t="shared" si="64"/>
        <v>54.256319245867289</v>
      </c>
      <c r="O516" s="7">
        <f t="shared" si="65"/>
        <v>20.537914935102574</v>
      </c>
    </row>
    <row r="517" spans="3:15" x14ac:dyDescent="0.2">
      <c r="C517">
        <v>498</v>
      </c>
      <c r="D517" s="7">
        <v>2882.680226830329</v>
      </c>
      <c r="E517" s="7">
        <f t="shared" si="58"/>
        <v>86.204552237749084</v>
      </c>
      <c r="F517" s="7">
        <f t="shared" si="59"/>
        <v>232.78362969003487</v>
      </c>
      <c r="G517">
        <v>0</v>
      </c>
      <c r="H517" s="7">
        <f t="shared" si="60"/>
        <v>0</v>
      </c>
      <c r="I517" s="7">
        <f t="shared" si="61"/>
        <v>0</v>
      </c>
      <c r="J517" s="7">
        <v>2425.2418148314628</v>
      </c>
      <c r="K517" s="7">
        <f t="shared" si="62"/>
        <v>38.680092740533702</v>
      </c>
      <c r="L517" s="7">
        <f t="shared" si="63"/>
        <v>145.5923172162326</v>
      </c>
      <c r="M517" s="7">
        <v>680.37424334317575</v>
      </c>
      <c r="N517" s="7">
        <f t="shared" si="64"/>
        <v>54.256319245867289</v>
      </c>
      <c r="O517" s="7">
        <f t="shared" si="65"/>
        <v>20.537914935102574</v>
      </c>
    </row>
    <row r="518" spans="3:15" x14ac:dyDescent="0.2">
      <c r="C518">
        <v>499</v>
      </c>
      <c r="D518" s="7">
        <v>2883.2667286650762</v>
      </c>
      <c r="E518" s="7">
        <f t="shared" si="58"/>
        <v>86.222091168214007</v>
      </c>
      <c r="F518" s="7">
        <f t="shared" si="59"/>
        <v>232.83099117836144</v>
      </c>
      <c r="G518">
        <v>0</v>
      </c>
      <c r="H518" s="7">
        <f t="shared" si="60"/>
        <v>0</v>
      </c>
      <c r="I518" s="7">
        <f t="shared" si="61"/>
        <v>0</v>
      </c>
      <c r="J518" s="7">
        <v>2767.1018963297352</v>
      </c>
      <c r="K518" s="7">
        <f t="shared" si="62"/>
        <v>44.132406640027675</v>
      </c>
      <c r="L518" s="7">
        <f t="shared" si="63"/>
        <v>166.11488990349363</v>
      </c>
      <c r="M518" s="7">
        <v>680.37424334317575</v>
      </c>
      <c r="N518" s="7">
        <f t="shared" si="64"/>
        <v>54.256319245867289</v>
      </c>
      <c r="O518" s="7">
        <f t="shared" si="65"/>
        <v>20.537914935102574</v>
      </c>
    </row>
    <row r="519" spans="3:15" x14ac:dyDescent="0.2">
      <c r="C519">
        <v>500</v>
      </c>
      <c r="D519" s="7">
        <v>2883.8584732707677</v>
      </c>
      <c r="E519" s="7">
        <f t="shared" si="58"/>
        <v>86.239786880106692</v>
      </c>
      <c r="F519" s="7">
        <f t="shared" si="59"/>
        <v>232.87877603353903</v>
      </c>
      <c r="G519">
        <v>0</v>
      </c>
      <c r="H519" s="7">
        <f t="shared" si="60"/>
        <v>0</v>
      </c>
      <c r="I519" s="7">
        <f t="shared" si="61"/>
        <v>0</v>
      </c>
      <c r="J519" s="7">
        <v>2389.8189100577238</v>
      </c>
      <c r="K519" s="7">
        <f t="shared" si="62"/>
        <v>38.115134131702135</v>
      </c>
      <c r="L519" s="7">
        <f t="shared" si="63"/>
        <v>143.46580646707784</v>
      </c>
      <c r="M519" s="7">
        <v>680.37424334317575</v>
      </c>
      <c r="N519" s="7">
        <f t="shared" si="64"/>
        <v>54.256319245867289</v>
      </c>
      <c r="O519" s="7">
        <f t="shared" si="65"/>
        <v>20.537914935102574</v>
      </c>
    </row>
    <row r="520" spans="3:15" x14ac:dyDescent="0.2">
      <c r="C520">
        <v>501</v>
      </c>
      <c r="D520" s="7">
        <v>2884.4554328698664</v>
      </c>
      <c r="E520" s="7">
        <f t="shared" si="58"/>
        <v>86.257638542759167</v>
      </c>
      <c r="F520" s="7">
        <f t="shared" si="59"/>
        <v>232.9269820124621</v>
      </c>
      <c r="G520">
        <v>0</v>
      </c>
      <c r="H520" s="7">
        <f t="shared" si="60"/>
        <v>0</v>
      </c>
      <c r="I520" s="7">
        <f t="shared" si="61"/>
        <v>0</v>
      </c>
      <c r="J520" s="7">
        <v>2012.5307087923043</v>
      </c>
      <c r="K520" s="7">
        <f t="shared" si="62"/>
        <v>32.097778449638028</v>
      </c>
      <c r="L520" s="7">
        <f t="shared" si="63"/>
        <v>120.81640996374649</v>
      </c>
      <c r="M520" s="7">
        <v>680.37424334317575</v>
      </c>
      <c r="N520" s="7">
        <f t="shared" si="64"/>
        <v>54.256319245867289</v>
      </c>
      <c r="O520" s="7">
        <f t="shared" si="65"/>
        <v>20.537914935102574</v>
      </c>
    </row>
    <row r="521" spans="3:15" x14ac:dyDescent="0.2">
      <c r="C521">
        <v>502</v>
      </c>
      <c r="D521" s="7">
        <v>2885.0575797792399</v>
      </c>
      <c r="E521" s="7">
        <f t="shared" si="58"/>
        <v>86.275645328326561</v>
      </c>
      <c r="F521" s="7">
        <f t="shared" si="59"/>
        <v>232.97560687964852</v>
      </c>
      <c r="G521">
        <v>0</v>
      </c>
      <c r="H521" s="7">
        <f t="shared" si="60"/>
        <v>0</v>
      </c>
      <c r="I521" s="7">
        <f t="shared" si="61"/>
        <v>0</v>
      </c>
      <c r="J521" s="7">
        <v>1635.2373202166091</v>
      </c>
      <c r="K521" s="7">
        <f t="shared" si="62"/>
        <v>26.08034003535262</v>
      </c>
      <c r="L521" s="7">
        <f t="shared" si="63"/>
        <v>98.166702055375623</v>
      </c>
      <c r="M521" s="7">
        <v>680.37424334317575</v>
      </c>
      <c r="N521" s="7">
        <f t="shared" si="64"/>
        <v>54.256319245867289</v>
      </c>
      <c r="O521" s="7">
        <f t="shared" si="65"/>
        <v>20.537914935102574</v>
      </c>
    </row>
    <row r="522" spans="3:15" x14ac:dyDescent="0.2">
      <c r="C522">
        <v>503</v>
      </c>
      <c r="D522" s="7">
        <v>2885.6648864098888</v>
      </c>
      <c r="E522" s="7">
        <f t="shared" si="58"/>
        <v>86.293806411778974</v>
      </c>
      <c r="F522" s="7">
        <f t="shared" si="59"/>
        <v>233.02464840721774</v>
      </c>
      <c r="G522">
        <v>0</v>
      </c>
      <c r="H522" s="7">
        <f t="shared" si="60"/>
        <v>0</v>
      </c>
      <c r="I522" s="7">
        <f t="shared" si="61"/>
        <v>0</v>
      </c>
      <c r="J522" s="7">
        <v>1257.9387719196402</v>
      </c>
      <c r="K522" s="7">
        <f t="shared" si="62"/>
        <v>20.062819328861888</v>
      </c>
      <c r="L522" s="7">
        <f t="shared" si="63"/>
        <v>75.516684398190492</v>
      </c>
      <c r="M522" s="7">
        <v>0</v>
      </c>
      <c r="N522" s="7">
        <f t="shared" si="64"/>
        <v>0</v>
      </c>
      <c r="O522" s="7">
        <f t="shared" si="65"/>
        <v>0</v>
      </c>
    </row>
    <row r="523" spans="3:15" x14ac:dyDescent="0.2">
      <c r="C523">
        <v>504</v>
      </c>
      <c r="D523" s="7">
        <v>2886.2773252666875</v>
      </c>
      <c r="E523" s="7">
        <f t="shared" si="58"/>
        <v>86.312120970893773</v>
      </c>
      <c r="F523" s="7">
        <f t="shared" si="59"/>
        <v>233.07410437486959</v>
      </c>
      <c r="G523">
        <v>0</v>
      </c>
      <c r="H523" s="7">
        <f t="shared" si="60"/>
        <v>0</v>
      </c>
      <c r="I523" s="7">
        <f t="shared" si="61"/>
        <v>0</v>
      </c>
      <c r="J523" s="7">
        <v>880.63509139652069</v>
      </c>
      <c r="K523" s="7">
        <f t="shared" si="62"/>
        <v>14.045216768684542</v>
      </c>
      <c r="L523" s="7">
        <f t="shared" si="63"/>
        <v>52.866358642780604</v>
      </c>
      <c r="M523" s="7">
        <v>0</v>
      </c>
      <c r="N523" s="7">
        <f t="shared" si="64"/>
        <v>0</v>
      </c>
      <c r="O523" s="7">
        <f t="shared" si="65"/>
        <v>0</v>
      </c>
    </row>
    <row r="524" spans="3:15" x14ac:dyDescent="0.2">
      <c r="C524">
        <v>505</v>
      </c>
      <c r="D524" s="7">
        <v>2886.8948689481413</v>
      </c>
      <c r="E524" s="7">
        <f t="shared" si="58"/>
        <v>86.330588186248249</v>
      </c>
      <c r="F524" s="7">
        <f t="shared" si="59"/>
        <v>233.123972569865</v>
      </c>
      <c r="G524">
        <v>0</v>
      </c>
      <c r="H524" s="7">
        <f t="shared" si="60"/>
        <v>0</v>
      </c>
      <c r="I524" s="7">
        <f t="shared" si="61"/>
        <v>0</v>
      </c>
      <c r="J524" s="7">
        <v>23.901089382519331</v>
      </c>
      <c r="K524" s="7">
        <f t="shared" si="62"/>
        <v>0.38119759780732587</v>
      </c>
      <c r="L524" s="7">
        <f t="shared" si="63"/>
        <v>1.4348321746362045</v>
      </c>
      <c r="M524" s="7">
        <v>0</v>
      </c>
      <c r="N524" s="7">
        <f t="shared" si="64"/>
        <v>0</v>
      </c>
      <c r="O524" s="7">
        <f t="shared" si="65"/>
        <v>0</v>
      </c>
    </row>
    <row r="525" spans="3:15" x14ac:dyDescent="0.2">
      <c r="C525">
        <v>506</v>
      </c>
      <c r="D525" s="7">
        <v>2739.5726666641513</v>
      </c>
      <c r="E525" s="7">
        <f t="shared" si="58"/>
        <v>81.925019936128933</v>
      </c>
      <c r="F525" s="7">
        <f t="shared" si="59"/>
        <v>221.22733670217281</v>
      </c>
      <c r="G525">
        <v>0</v>
      </c>
      <c r="H525" s="7">
        <f t="shared" si="60"/>
        <v>0</v>
      </c>
      <c r="I525" s="7">
        <f t="shared" si="61"/>
        <v>0</v>
      </c>
      <c r="J525" s="7">
        <v>0</v>
      </c>
      <c r="K525" s="7">
        <f t="shared" si="62"/>
        <v>0</v>
      </c>
      <c r="L525" s="7">
        <f t="shared" si="63"/>
        <v>0</v>
      </c>
      <c r="M525" s="7">
        <v>0</v>
      </c>
      <c r="N525" s="7">
        <f t="shared" si="64"/>
        <v>0</v>
      </c>
      <c r="O525" s="7">
        <f t="shared" si="65"/>
        <v>0</v>
      </c>
    </row>
    <row r="526" spans="3:15" x14ac:dyDescent="0.2">
      <c r="C526">
        <v>507</v>
      </c>
      <c r="D526" s="7">
        <v>2888.4320304499151</v>
      </c>
      <c r="E526" s="7">
        <f t="shared" si="58"/>
        <v>86.376555934507039</v>
      </c>
      <c r="F526" s="7">
        <f t="shared" si="59"/>
        <v>233.24810220119639</v>
      </c>
      <c r="G526">
        <v>0</v>
      </c>
      <c r="H526" s="7">
        <f t="shared" si="60"/>
        <v>0</v>
      </c>
      <c r="I526" s="7">
        <f t="shared" si="61"/>
        <v>0</v>
      </c>
      <c r="J526" s="7">
        <v>22.36392788074545</v>
      </c>
      <c r="K526" s="7">
        <f t="shared" si="62"/>
        <v>0.35668146540263879</v>
      </c>
      <c r="L526" s="7">
        <f t="shared" si="63"/>
        <v>1.3425531682252929</v>
      </c>
      <c r="M526" s="7">
        <v>0</v>
      </c>
      <c r="N526" s="7">
        <f t="shared" si="64"/>
        <v>0</v>
      </c>
      <c r="O526" s="7">
        <f t="shared" si="65"/>
        <v>0</v>
      </c>
    </row>
    <row r="527" spans="3:15" x14ac:dyDescent="0.2">
      <c r="C527">
        <v>508</v>
      </c>
      <c r="D527" s="7">
        <v>2889.0634071556183</v>
      </c>
      <c r="E527" s="7">
        <f t="shared" si="58"/>
        <v>86.395436816854613</v>
      </c>
      <c r="F527" s="7">
        <f t="shared" si="59"/>
        <v>233.29908744745688</v>
      </c>
      <c r="G527">
        <v>0</v>
      </c>
      <c r="H527" s="7">
        <f t="shared" si="60"/>
        <v>0</v>
      </c>
      <c r="I527" s="7">
        <f t="shared" si="61"/>
        <v>0</v>
      </c>
      <c r="J527" s="7">
        <v>192.95584284155211</v>
      </c>
      <c r="K527" s="7">
        <f t="shared" si="62"/>
        <v>3.0774456593548982</v>
      </c>
      <c r="L527" s="7">
        <f t="shared" si="63"/>
        <v>11.58354111656492</v>
      </c>
      <c r="M527" s="7">
        <v>0</v>
      </c>
      <c r="N527" s="7">
        <f t="shared" si="64"/>
        <v>0</v>
      </c>
      <c r="O527" s="7">
        <f t="shared" si="65"/>
        <v>0</v>
      </c>
    </row>
    <row r="528" spans="3:15" x14ac:dyDescent="0.2">
      <c r="C528">
        <v>509</v>
      </c>
      <c r="D528" s="7">
        <v>2889.6997842490132</v>
      </c>
      <c r="E528" s="7">
        <f t="shared" si="58"/>
        <v>86.414467232326956</v>
      </c>
      <c r="F528" s="7">
        <f t="shared" si="59"/>
        <v>233.35047648751529</v>
      </c>
      <c r="G528">
        <v>0</v>
      </c>
      <c r="H528" s="7">
        <f t="shared" si="60"/>
        <v>0</v>
      </c>
      <c r="I528" s="7">
        <f t="shared" si="61"/>
        <v>0</v>
      </c>
      <c r="J528" s="7">
        <v>620.37769491443032</v>
      </c>
      <c r="K528" s="7">
        <f t="shared" si="62"/>
        <v>9.8943810991137227</v>
      </c>
      <c r="L528" s="7">
        <f t="shared" si="63"/>
        <v>37.242565091651976</v>
      </c>
      <c r="M528" s="7">
        <v>0</v>
      </c>
      <c r="N528" s="7">
        <f t="shared" si="64"/>
        <v>0</v>
      </c>
      <c r="O528" s="7">
        <f t="shared" si="65"/>
        <v>0</v>
      </c>
    </row>
    <row r="529" spans="3:15" x14ac:dyDescent="0.2">
      <c r="C529">
        <v>510</v>
      </c>
      <c r="D529" s="7">
        <v>2890.3411347817673</v>
      </c>
      <c r="E529" s="7">
        <f t="shared" si="58"/>
        <v>86.433646375052859</v>
      </c>
      <c r="F529" s="7">
        <f t="shared" si="59"/>
        <v>233.40226714522632</v>
      </c>
      <c r="G529">
        <v>0</v>
      </c>
      <c r="H529" s="7">
        <f t="shared" si="60"/>
        <v>0</v>
      </c>
      <c r="I529" s="7">
        <f t="shared" si="61"/>
        <v>0</v>
      </c>
      <c r="J529" s="7">
        <v>876.57128188143997</v>
      </c>
      <c r="K529" s="7">
        <f t="shared" si="62"/>
        <v>13.980403219799681</v>
      </c>
      <c r="L529" s="7">
        <f t="shared" si="63"/>
        <v>52.622399693859421</v>
      </c>
      <c r="M529" s="7">
        <v>0</v>
      </c>
      <c r="N529" s="7">
        <f t="shared" si="64"/>
        <v>0</v>
      </c>
      <c r="O529" s="7">
        <f t="shared" si="65"/>
        <v>0</v>
      </c>
    </row>
    <row r="530" spans="3:15" x14ac:dyDescent="0.2">
      <c r="C530">
        <v>511</v>
      </c>
      <c r="D530" s="7">
        <v>2890.9874318976567</v>
      </c>
      <c r="E530" s="7">
        <f t="shared" si="58"/>
        <v>86.452973441915574</v>
      </c>
      <c r="F530" s="7">
        <f t="shared" si="59"/>
        <v>233.45445725188284</v>
      </c>
      <c r="G530">
        <v>0</v>
      </c>
      <c r="H530" s="7">
        <f t="shared" si="60"/>
        <v>0</v>
      </c>
      <c r="I530" s="7">
        <f t="shared" si="61"/>
        <v>0</v>
      </c>
      <c r="J530" s="7">
        <v>1132.7599222653143</v>
      </c>
      <c r="K530" s="7">
        <f t="shared" si="62"/>
        <v>18.06634644761267</v>
      </c>
      <c r="L530" s="7">
        <f t="shared" si="63"/>
        <v>68.001937342378966</v>
      </c>
      <c r="M530" s="7">
        <v>680.37424334317575</v>
      </c>
      <c r="N530" s="7">
        <f t="shared" si="64"/>
        <v>54.256319245867289</v>
      </c>
      <c r="O530" s="7">
        <f t="shared" si="65"/>
        <v>20.537914935102574</v>
      </c>
    </row>
    <row r="531" spans="3:15" x14ac:dyDescent="0.2">
      <c r="C531">
        <v>512</v>
      </c>
      <c r="D531" s="7">
        <v>2891.6386488323374</v>
      </c>
      <c r="E531" s="7">
        <f t="shared" si="58"/>
        <v>86.472447632545979</v>
      </c>
      <c r="F531" s="7">
        <f t="shared" si="59"/>
        <v>233.50704464619722</v>
      </c>
      <c r="G531">
        <v>0</v>
      </c>
      <c r="H531" s="7">
        <f t="shared" si="60"/>
        <v>0</v>
      </c>
      <c r="I531" s="7">
        <f t="shared" si="61"/>
        <v>0</v>
      </c>
      <c r="J531" s="7">
        <v>1388.9436428303975</v>
      </c>
      <c r="K531" s="7">
        <f t="shared" si="62"/>
        <v>22.15221120941623</v>
      </c>
      <c r="L531" s="7">
        <f t="shared" si="63"/>
        <v>83.38117964392994</v>
      </c>
      <c r="M531" s="7">
        <v>680.37424334317575</v>
      </c>
      <c r="N531" s="7">
        <f t="shared" si="64"/>
        <v>54.256319245867289</v>
      </c>
      <c r="O531" s="7">
        <f t="shared" si="65"/>
        <v>20.537914935102574</v>
      </c>
    </row>
    <row r="532" spans="3:15" x14ac:dyDescent="0.2">
      <c r="C532">
        <v>513</v>
      </c>
      <c r="D532" s="7">
        <v>2892.2947589130717</v>
      </c>
      <c r="E532" s="7">
        <f t="shared" si="58"/>
        <v>86.492068149314349</v>
      </c>
      <c r="F532" s="7">
        <f t="shared" si="59"/>
        <v>233.56002717427927</v>
      </c>
      <c r="G532">
        <v>0</v>
      </c>
      <c r="H532" s="7">
        <f t="shared" si="60"/>
        <v>0</v>
      </c>
      <c r="I532" s="7">
        <f t="shared" si="61"/>
        <v>0</v>
      </c>
      <c r="J532" s="7">
        <v>1645.1224702494274</v>
      </c>
      <c r="K532" s="7">
        <f t="shared" si="62"/>
        <v>26.237997930612877</v>
      </c>
      <c r="L532" s="7">
        <f t="shared" si="63"/>
        <v>98.760128199732335</v>
      </c>
      <c r="M532" s="7">
        <v>0</v>
      </c>
      <c r="N532" s="7">
        <f t="shared" si="64"/>
        <v>0</v>
      </c>
      <c r="O532" s="7">
        <f t="shared" si="65"/>
        <v>0</v>
      </c>
    </row>
    <row r="533" spans="3:15" x14ac:dyDescent="0.2">
      <c r="C533">
        <v>514</v>
      </c>
      <c r="D533" s="7">
        <v>2892.9557355584898</v>
      </c>
      <c r="E533" s="7">
        <f t="shared" ref="E533:E596" si="66">D533/($C$3*($D$8-$D$6))</f>
        <v>86.511834197323267</v>
      </c>
      <c r="F533" s="7">
        <f t="shared" ref="F533:F596" si="67">E533*$C$3*((($D$8)-($D$6))-$C$2*LN(($D$8)/($D$6)))</f>
        <v>233.61340268961692</v>
      </c>
      <c r="G533">
        <v>0</v>
      </c>
      <c r="H533" s="7">
        <f t="shared" ref="H533:H596" si="68">G533/($C$3*($D$6-$D$9))</f>
        <v>0</v>
      </c>
      <c r="I533" s="7">
        <f t="shared" ref="I533:I596" si="69">ABS(H533*$C$3*(($D$9-$D$6)-$C$2*(LN($D$9/$D$6))))</f>
        <v>0</v>
      </c>
      <c r="J533" s="7">
        <v>1901.2964311037736</v>
      </c>
      <c r="K533" s="7">
        <f t="shared" ref="K533:K596" si="70">J533/($C$3*($D$10-$D$7))</f>
        <v>30.323707035147905</v>
      </c>
      <c r="L533" s="7">
        <f t="shared" ref="L533:L596" si="71">K533*$C$3*(($D$10-$D$7)-$C$2*LN($D$10/$D$7))</f>
        <v>114.13878460552114</v>
      </c>
      <c r="M533" s="7">
        <v>0</v>
      </c>
      <c r="N533" s="7">
        <f t="shared" ref="N533:N596" si="72">M533/($C$3*($D$7-$D$11))</f>
        <v>0</v>
      </c>
      <c r="O533" s="7">
        <f t="shared" ref="O533:O596" si="73">ABS(N533*$C$3*(($D$11-$D$7)-$C$2*LN($D$11/$D$7)))</f>
        <v>0</v>
      </c>
    </row>
    <row r="534" spans="3:15" x14ac:dyDescent="0.2">
      <c r="C534">
        <v>515</v>
      </c>
      <c r="D534" s="7">
        <v>2893.6215522783341</v>
      </c>
      <c r="E534" s="7">
        <f t="shared" si="66"/>
        <v>86.53174498439995</v>
      </c>
      <c r="F534" s="7">
        <f t="shared" si="67"/>
        <v>233.66716905305574</v>
      </c>
      <c r="G534">
        <v>0</v>
      </c>
      <c r="H534" s="7">
        <f t="shared" si="68"/>
        <v>0</v>
      </c>
      <c r="I534" s="7">
        <f t="shared" si="69"/>
        <v>0</v>
      </c>
      <c r="J534" s="7">
        <v>2157.4655518836935</v>
      </c>
      <c r="K534" s="7">
        <f t="shared" si="70"/>
        <v>34.409338945513454</v>
      </c>
      <c r="L534" s="7">
        <f t="shared" si="71"/>
        <v>129.51715045156166</v>
      </c>
      <c r="M534" s="7">
        <v>0</v>
      </c>
      <c r="N534" s="7">
        <f t="shared" si="72"/>
        <v>0</v>
      </c>
      <c r="O534" s="7">
        <f t="shared" si="73"/>
        <v>0</v>
      </c>
    </row>
    <row r="535" spans="3:15" x14ac:dyDescent="0.2">
      <c r="C535">
        <v>516</v>
      </c>
      <c r="D535" s="7">
        <v>2894.2921826732072</v>
      </c>
      <c r="E535" s="7">
        <f t="shared" si="66"/>
        <v>86.551799721088742</v>
      </c>
      <c r="F535" s="7">
        <f t="shared" si="67"/>
        <v>233.72132413277845</v>
      </c>
      <c r="G535">
        <v>0</v>
      </c>
      <c r="H535" s="7">
        <f t="shared" si="68"/>
        <v>0</v>
      </c>
      <c r="I535" s="7">
        <f t="shared" si="69"/>
        <v>0</v>
      </c>
      <c r="J535" s="7">
        <v>2413.6298589885837</v>
      </c>
      <c r="K535" s="7">
        <f t="shared" si="70"/>
        <v>38.494894082752531</v>
      </c>
      <c r="L535" s="7">
        <f t="shared" si="71"/>
        <v>144.89522732266465</v>
      </c>
      <c r="M535" s="7">
        <v>0</v>
      </c>
      <c r="N535" s="7">
        <f t="shared" si="72"/>
        <v>0</v>
      </c>
      <c r="O535" s="7">
        <f t="shared" si="73"/>
        <v>0</v>
      </c>
    </row>
    <row r="536" spans="3:15" x14ac:dyDescent="0.2">
      <c r="C536">
        <v>517</v>
      </c>
      <c r="D536" s="7">
        <v>2894.9676004343291</v>
      </c>
      <c r="E536" s="7">
        <f t="shared" si="66"/>
        <v>86.571997620643813</v>
      </c>
      <c r="F536" s="7">
        <f t="shared" si="67"/>
        <v>233.7758658042853</v>
      </c>
      <c r="G536">
        <v>0</v>
      </c>
      <c r="H536" s="7">
        <f t="shared" si="68"/>
        <v>0</v>
      </c>
      <c r="I536" s="7">
        <f t="shared" si="69"/>
        <v>0</v>
      </c>
      <c r="J536" s="7">
        <v>2669.7893787272278</v>
      </c>
      <c r="K536" s="7">
        <f t="shared" si="70"/>
        <v>42.580372866462966</v>
      </c>
      <c r="L536" s="7">
        <f t="shared" si="71"/>
        <v>160.27301679820124</v>
      </c>
      <c r="M536" s="7">
        <v>0</v>
      </c>
      <c r="N536" s="7">
        <f t="shared" si="72"/>
        <v>0</v>
      </c>
      <c r="O536" s="7">
        <f t="shared" si="73"/>
        <v>0</v>
      </c>
    </row>
    <row r="537" spans="3:15" x14ac:dyDescent="0.2">
      <c r="C537">
        <v>518</v>
      </c>
      <c r="D537" s="7">
        <v>2895.6477793432828</v>
      </c>
      <c r="E537" s="7">
        <f t="shared" si="66"/>
        <v>86.592337899021615</v>
      </c>
      <c r="F537" s="7">
        <f t="shared" si="67"/>
        <v>233.83079195037362</v>
      </c>
      <c r="G537">
        <v>0</v>
      </c>
      <c r="H537" s="7">
        <f t="shared" si="68"/>
        <v>0</v>
      </c>
      <c r="I537" s="7">
        <f t="shared" si="69"/>
        <v>0</v>
      </c>
      <c r="J537" s="7">
        <v>2925.9441373180384</v>
      </c>
      <c r="K537" s="7">
        <f t="shared" si="70"/>
        <v>46.665775714801256</v>
      </c>
      <c r="L537" s="7">
        <f t="shared" si="71"/>
        <v>175.65052045211726</v>
      </c>
      <c r="M537" s="7">
        <v>0</v>
      </c>
      <c r="N537" s="7">
        <f t="shared" si="72"/>
        <v>0</v>
      </c>
      <c r="O537" s="7">
        <f t="shared" si="73"/>
        <v>0</v>
      </c>
    </row>
    <row r="538" spans="3:15" x14ac:dyDescent="0.2">
      <c r="C538">
        <v>519</v>
      </c>
      <c r="D538" s="7">
        <v>2896.3326932717587</v>
      </c>
      <c r="E538" s="7">
        <f t="shared" si="66"/>
        <v>86.612819774873174</v>
      </c>
      <c r="F538" s="7">
        <f t="shared" si="67"/>
        <v>233.88610046111719</v>
      </c>
      <c r="G538">
        <v>0</v>
      </c>
      <c r="H538" s="7">
        <f t="shared" si="68"/>
        <v>0</v>
      </c>
      <c r="I538" s="7">
        <f t="shared" si="69"/>
        <v>0</v>
      </c>
      <c r="J538" s="7">
        <v>2754.0359317230527</v>
      </c>
      <c r="K538" s="7">
        <f t="shared" si="70"/>
        <v>43.924018049809455</v>
      </c>
      <c r="L538" s="7">
        <f t="shared" si="71"/>
        <v>165.3305128355581</v>
      </c>
      <c r="M538" s="7">
        <v>0</v>
      </c>
      <c r="N538" s="7">
        <f t="shared" si="72"/>
        <v>0</v>
      </c>
      <c r="O538" s="7">
        <f t="shared" si="73"/>
        <v>0</v>
      </c>
    </row>
    <row r="539" spans="3:15" x14ac:dyDescent="0.2">
      <c r="C539">
        <v>520</v>
      </c>
      <c r="D539" s="7">
        <v>2897.0223161813228</v>
      </c>
      <c r="E539" s="7">
        <f t="shared" si="66"/>
        <v>86.633442469537172</v>
      </c>
      <c r="F539" s="7">
        <f t="shared" si="67"/>
        <v>233.94178923384737</v>
      </c>
      <c r="G539">
        <v>0</v>
      </c>
      <c r="H539" s="7">
        <f t="shared" si="68"/>
        <v>0</v>
      </c>
      <c r="I539" s="7">
        <f t="shared" si="69"/>
        <v>0</v>
      </c>
      <c r="J539" s="7">
        <v>2981.644031035501</v>
      </c>
      <c r="K539" s="7">
        <f t="shared" si="70"/>
        <v>47.554131276483275</v>
      </c>
      <c r="L539" s="7">
        <f t="shared" si="71"/>
        <v>178.99430107862227</v>
      </c>
      <c r="M539" s="7">
        <v>680.37424334317575</v>
      </c>
      <c r="N539" s="7">
        <f t="shared" si="72"/>
        <v>54.256319245867289</v>
      </c>
      <c r="O539" s="7">
        <f t="shared" si="73"/>
        <v>20.537914935102574</v>
      </c>
    </row>
    <row r="540" spans="3:15" x14ac:dyDescent="0.2">
      <c r="C540">
        <v>521</v>
      </c>
      <c r="D540" s="7">
        <v>2897.7166221231628</v>
      </c>
      <c r="E540" s="7">
        <f t="shared" si="66"/>
        <v>86.65420520703239</v>
      </c>
      <c r="F540" s="7">
        <f t="shared" si="67"/>
        <v>233.99785617313276</v>
      </c>
      <c r="G540">
        <v>0</v>
      </c>
      <c r="H540" s="7">
        <f t="shared" si="68"/>
        <v>0</v>
      </c>
      <c r="I540" s="7">
        <f t="shared" si="69"/>
        <v>0</v>
      </c>
      <c r="J540" s="7">
        <v>3779.9917528707056</v>
      </c>
      <c r="K540" s="7">
        <f t="shared" si="70"/>
        <v>60.286949806550332</v>
      </c>
      <c r="L540" s="7">
        <f t="shared" si="71"/>
        <v>226.92077754602767</v>
      </c>
      <c r="M540" s="7">
        <v>680.37424334317575</v>
      </c>
      <c r="N540" s="7">
        <f t="shared" si="72"/>
        <v>54.256319245867289</v>
      </c>
      <c r="O540" s="7">
        <f t="shared" si="73"/>
        <v>20.537914935102574</v>
      </c>
    </row>
    <row r="541" spans="3:15" x14ac:dyDescent="0.2">
      <c r="C541">
        <v>522</v>
      </c>
      <c r="D541" s="7">
        <v>2898.4155852378344</v>
      </c>
      <c r="E541" s="7">
        <f t="shared" si="66"/>
        <v>86.675107214050072</v>
      </c>
      <c r="F541" s="7">
        <f t="shared" si="67"/>
        <v>234.0542991907586</v>
      </c>
      <c r="G541">
        <v>0</v>
      </c>
      <c r="H541" s="7">
        <f t="shared" si="68"/>
        <v>0</v>
      </c>
      <c r="I541" s="7">
        <f t="shared" si="69"/>
        <v>0</v>
      </c>
      <c r="J541" s="7">
        <v>3608.0694980895241</v>
      </c>
      <c r="K541" s="7">
        <f t="shared" si="70"/>
        <v>57.544968071603257</v>
      </c>
      <c r="L541" s="7">
        <f t="shared" si="71"/>
        <v>216.59992652756083</v>
      </c>
      <c r="M541" s="7">
        <v>680.37424334317575</v>
      </c>
      <c r="N541" s="7">
        <f t="shared" si="72"/>
        <v>54.256319245867289</v>
      </c>
      <c r="O541" s="7">
        <f t="shared" si="73"/>
        <v>20.537914935102574</v>
      </c>
    </row>
    <row r="542" spans="3:15" x14ac:dyDescent="0.2">
      <c r="C542">
        <v>523</v>
      </c>
      <c r="D542" s="7">
        <v>2899.1191797550173</v>
      </c>
      <c r="E542" s="7">
        <f t="shared" si="66"/>
        <v>86.696147719946694</v>
      </c>
      <c r="F542" s="7">
        <f t="shared" si="67"/>
        <v>234.11111620570722</v>
      </c>
      <c r="G542">
        <v>0</v>
      </c>
      <c r="H542" s="7">
        <f t="shared" si="68"/>
        <v>0</v>
      </c>
      <c r="I542" s="7">
        <f t="shared" si="69"/>
        <v>0</v>
      </c>
      <c r="J542" s="7">
        <v>3949.8124869053609</v>
      </c>
      <c r="K542" s="7">
        <f t="shared" si="70"/>
        <v>62.995414464200337</v>
      </c>
      <c r="L542" s="7">
        <f t="shared" si="71"/>
        <v>237.11546989722532</v>
      </c>
      <c r="M542" s="7">
        <v>680.37424334317575</v>
      </c>
      <c r="N542" s="7">
        <f t="shared" si="72"/>
        <v>54.256319245867289</v>
      </c>
      <c r="O542" s="7">
        <f t="shared" si="73"/>
        <v>20.537914935102574</v>
      </c>
    </row>
    <row r="543" spans="3:15" x14ac:dyDescent="0.2">
      <c r="C543">
        <v>524</v>
      </c>
      <c r="D543" s="7">
        <v>2899.8273799932745</v>
      </c>
      <c r="E543" s="7">
        <f t="shared" si="66"/>
        <v>86.717325956736687</v>
      </c>
      <c r="F543" s="7">
        <f t="shared" si="67"/>
        <v>234.16830514413834</v>
      </c>
      <c r="G543">
        <v>0</v>
      </c>
      <c r="H543" s="7">
        <f t="shared" si="68"/>
        <v>0</v>
      </c>
      <c r="I543" s="7">
        <f t="shared" si="69"/>
        <v>0</v>
      </c>
      <c r="J543" s="7">
        <v>3606.6577033340841</v>
      </c>
      <c r="K543" s="7">
        <f t="shared" si="70"/>
        <v>57.522451408837071</v>
      </c>
      <c r="L543" s="7">
        <f t="shared" si="71"/>
        <v>216.51517354803471</v>
      </c>
      <c r="M543" s="7">
        <v>680.37424334317575</v>
      </c>
      <c r="N543" s="7">
        <f t="shared" si="72"/>
        <v>54.256319245867289</v>
      </c>
      <c r="O543" s="7">
        <f t="shared" si="73"/>
        <v>20.537914935102574</v>
      </c>
    </row>
    <row r="544" spans="3:15" x14ac:dyDescent="0.2">
      <c r="C544">
        <v>525</v>
      </c>
      <c r="D544" s="7">
        <v>2900.5401603598048</v>
      </c>
      <c r="E544" s="7">
        <f t="shared" si="66"/>
        <v>86.738641159085077</v>
      </c>
      <c r="F544" s="7">
        <f t="shared" si="67"/>
        <v>234.22586393936939</v>
      </c>
      <c r="G544">
        <v>0</v>
      </c>
      <c r="H544" s="7">
        <f t="shared" si="68"/>
        <v>0</v>
      </c>
      <c r="I544" s="7">
        <f t="shared" si="69"/>
        <v>0</v>
      </c>
      <c r="J544" s="7">
        <v>4119.6147979670823</v>
      </c>
      <c r="K544" s="7">
        <f t="shared" si="70"/>
        <v>65.703585294530825</v>
      </c>
      <c r="L544" s="7">
        <f t="shared" si="71"/>
        <v>247.30905627898807</v>
      </c>
      <c r="M544" s="7">
        <v>680.37424334317575</v>
      </c>
      <c r="N544" s="7">
        <f t="shared" si="72"/>
        <v>54.256319245867289</v>
      </c>
      <c r="O544" s="7">
        <f t="shared" si="73"/>
        <v>20.537914935102574</v>
      </c>
    </row>
    <row r="545" spans="3:15" x14ac:dyDescent="0.2">
      <c r="C545">
        <v>526</v>
      </c>
      <c r="D545" s="7">
        <v>2901.2574953502021</v>
      </c>
      <c r="E545" s="7">
        <f t="shared" si="66"/>
        <v>86.760092564300308</v>
      </c>
      <c r="F545" s="7">
        <f t="shared" si="67"/>
        <v>234.28379053185586</v>
      </c>
      <c r="G545">
        <v>0</v>
      </c>
      <c r="H545" s="7">
        <f t="shared" si="68"/>
        <v>0</v>
      </c>
      <c r="I545" s="7">
        <f t="shared" si="69"/>
        <v>0</v>
      </c>
      <c r="J545" s="7">
        <v>3262.7810046441377</v>
      </c>
      <c r="K545" s="7">
        <f t="shared" si="70"/>
        <v>52.037974555727878</v>
      </c>
      <c r="L545" s="7">
        <f t="shared" si="71"/>
        <v>195.87153913073158</v>
      </c>
      <c r="M545" s="7">
        <v>680.37424334317575</v>
      </c>
      <c r="N545" s="7">
        <f t="shared" si="72"/>
        <v>54.256319245867289</v>
      </c>
      <c r="O545" s="7">
        <f t="shared" si="73"/>
        <v>20.537914935102574</v>
      </c>
    </row>
    <row r="546" spans="3:15" x14ac:dyDescent="0.2">
      <c r="C546">
        <v>527</v>
      </c>
      <c r="D546" s="7">
        <v>2901.9793595482006</v>
      </c>
      <c r="E546" s="7">
        <f t="shared" si="66"/>
        <v>86.781679412326582</v>
      </c>
      <c r="F546" s="7">
        <f t="shared" si="67"/>
        <v>234.34208286917075</v>
      </c>
      <c r="G546">
        <v>0</v>
      </c>
      <c r="H546" s="7">
        <f t="shared" si="68"/>
        <v>0</v>
      </c>
      <c r="I546" s="7">
        <f t="shared" si="69"/>
        <v>0</v>
      </c>
      <c r="J546" s="7">
        <v>2405.9426821135903</v>
      </c>
      <c r="K546" s="7">
        <f t="shared" si="70"/>
        <v>38.372291580759018</v>
      </c>
      <c r="L546" s="7">
        <f t="shared" si="71"/>
        <v>144.43375008470969</v>
      </c>
      <c r="M546" s="7">
        <v>0</v>
      </c>
      <c r="N546" s="7">
        <f t="shared" si="72"/>
        <v>0</v>
      </c>
      <c r="O546" s="7">
        <f t="shared" si="73"/>
        <v>0</v>
      </c>
    </row>
    <row r="547" spans="3:15" x14ac:dyDescent="0.2">
      <c r="C547">
        <v>528</v>
      </c>
      <c r="D547" s="7">
        <v>2902.70572762544</v>
      </c>
      <c r="E547" s="7">
        <f t="shared" si="66"/>
        <v>86.803400945736854</v>
      </c>
      <c r="F547" s="7">
        <f t="shared" si="67"/>
        <v>234.40073890598572</v>
      </c>
      <c r="G547">
        <v>0</v>
      </c>
      <c r="H547" s="7">
        <f t="shared" si="68"/>
        <v>0</v>
      </c>
      <c r="I547" s="7">
        <f t="shared" si="69"/>
        <v>0</v>
      </c>
      <c r="J547" s="7">
        <v>1549.0998557038047</v>
      </c>
      <c r="K547" s="7">
        <f t="shared" si="70"/>
        <v>24.706536773585402</v>
      </c>
      <c r="L547" s="7">
        <f t="shared" si="71"/>
        <v>92.995690661436868</v>
      </c>
      <c r="M547" s="7">
        <v>0</v>
      </c>
      <c r="N547" s="7">
        <f t="shared" si="72"/>
        <v>0</v>
      </c>
      <c r="O547" s="7">
        <f t="shared" si="73"/>
        <v>0</v>
      </c>
    </row>
    <row r="548" spans="3:15" x14ac:dyDescent="0.2">
      <c r="C548">
        <v>529</v>
      </c>
      <c r="D548" s="7">
        <v>2903.43657434122</v>
      </c>
      <c r="E548" s="7">
        <f t="shared" si="66"/>
        <v>86.825256409725483</v>
      </c>
      <c r="F548" s="7">
        <f t="shared" si="67"/>
        <v>234.45975660405117</v>
      </c>
      <c r="G548">
        <v>0</v>
      </c>
      <c r="H548" s="7">
        <f t="shared" si="68"/>
        <v>0</v>
      </c>
      <c r="I548" s="7">
        <f t="shared" si="69"/>
        <v>0</v>
      </c>
      <c r="J548" s="7">
        <v>7.3593839894406301</v>
      </c>
      <c r="K548" s="7">
        <f t="shared" si="70"/>
        <v>0.11737454528613446</v>
      </c>
      <c r="L548" s="7">
        <f t="shared" si="71"/>
        <v>0.44179914833818873</v>
      </c>
      <c r="M548" s="7">
        <v>0</v>
      </c>
      <c r="N548" s="7">
        <f t="shared" si="72"/>
        <v>0</v>
      </c>
      <c r="O548" s="7">
        <f t="shared" si="73"/>
        <v>0</v>
      </c>
    </row>
    <row r="549" spans="3:15" x14ac:dyDescent="0.2">
      <c r="C549">
        <v>530</v>
      </c>
      <c r="D549" s="7">
        <v>2739.5726666641513</v>
      </c>
      <c r="E549" s="7">
        <f t="shared" si="66"/>
        <v>81.925019936128933</v>
      </c>
      <c r="F549" s="7">
        <f t="shared" si="67"/>
        <v>221.22733670217281</v>
      </c>
      <c r="G549">
        <v>0</v>
      </c>
      <c r="H549" s="7">
        <f t="shared" si="68"/>
        <v>0</v>
      </c>
      <c r="I549" s="7">
        <f t="shared" si="69"/>
        <v>0</v>
      </c>
      <c r="J549" s="7">
        <v>0</v>
      </c>
      <c r="K549" s="7">
        <f t="shared" si="70"/>
        <v>0</v>
      </c>
      <c r="L549" s="7">
        <f t="shared" si="71"/>
        <v>0</v>
      </c>
      <c r="M549" s="7">
        <v>0</v>
      </c>
      <c r="N549" s="7">
        <f t="shared" si="72"/>
        <v>0</v>
      </c>
      <c r="O549" s="7">
        <f t="shared" si="73"/>
        <v>0</v>
      </c>
    </row>
    <row r="550" spans="3:15" x14ac:dyDescent="0.2">
      <c r="C550">
        <v>531</v>
      </c>
      <c r="D550" s="7">
        <v>2905.2368168234848</v>
      </c>
      <c r="E550" s="7">
        <f t="shared" si="66"/>
        <v>86.879091412185559</v>
      </c>
      <c r="F550" s="7">
        <f t="shared" si="67"/>
        <v>234.60513068177346</v>
      </c>
      <c r="G550">
        <v>0</v>
      </c>
      <c r="H550" s="7">
        <f t="shared" si="68"/>
        <v>0</v>
      </c>
      <c r="I550" s="7">
        <f t="shared" si="69"/>
        <v>0</v>
      </c>
      <c r="J550" s="7">
        <v>39.803799840477495</v>
      </c>
      <c r="K550" s="7">
        <f t="shared" si="70"/>
        <v>0.63482934354828546</v>
      </c>
      <c r="L550" s="7">
        <f t="shared" si="71"/>
        <v>2.3895050041387105</v>
      </c>
      <c r="M550" s="7">
        <v>0</v>
      </c>
      <c r="N550" s="7">
        <f t="shared" si="72"/>
        <v>0</v>
      </c>
      <c r="O550" s="7">
        <f t="shared" si="73"/>
        <v>0</v>
      </c>
    </row>
    <row r="551" spans="3:15" x14ac:dyDescent="0.2">
      <c r="C551">
        <v>532</v>
      </c>
      <c r="D551" s="7">
        <v>2905.9794546313296</v>
      </c>
      <c r="E551" s="7">
        <f t="shared" si="66"/>
        <v>86.901299480601963</v>
      </c>
      <c r="F551" s="7">
        <f t="shared" si="67"/>
        <v>234.66510053997911</v>
      </c>
      <c r="G551">
        <v>0</v>
      </c>
      <c r="H551" s="7">
        <f t="shared" si="68"/>
        <v>0</v>
      </c>
      <c r="I551" s="7">
        <f t="shared" si="69"/>
        <v>0</v>
      </c>
      <c r="J551" s="7">
        <v>176.03979536584075</v>
      </c>
      <c r="K551" s="7">
        <f t="shared" si="70"/>
        <v>2.8076522386896454</v>
      </c>
      <c r="L551" s="7">
        <f t="shared" si="71"/>
        <v>10.568035555401005</v>
      </c>
      <c r="M551" s="7">
        <v>0</v>
      </c>
      <c r="N551" s="7">
        <f t="shared" si="72"/>
        <v>0</v>
      </c>
      <c r="O551" s="7">
        <f t="shared" si="73"/>
        <v>0</v>
      </c>
    </row>
    <row r="552" spans="3:15" x14ac:dyDescent="0.2">
      <c r="C552">
        <v>533</v>
      </c>
      <c r="D552" s="7">
        <v>2906.7264757915618</v>
      </c>
      <c r="E552" s="7">
        <f t="shared" si="66"/>
        <v>86.923638630130441</v>
      </c>
      <c r="F552" s="7">
        <f t="shared" si="67"/>
        <v>234.72542436484028</v>
      </c>
      <c r="G552">
        <v>0</v>
      </c>
      <c r="H552" s="7">
        <f t="shared" si="68"/>
        <v>0</v>
      </c>
      <c r="I552" s="7">
        <f t="shared" si="69"/>
        <v>0</v>
      </c>
      <c r="J552" s="7">
        <v>493.27888730055429</v>
      </c>
      <c r="K552" s="7">
        <f t="shared" si="70"/>
        <v>7.8672868787967198</v>
      </c>
      <c r="L552" s="7">
        <f t="shared" si="71"/>
        <v>29.612558960815772</v>
      </c>
      <c r="M552" s="7">
        <v>0</v>
      </c>
      <c r="N552" s="7">
        <f t="shared" si="72"/>
        <v>0</v>
      </c>
      <c r="O552" s="7">
        <f t="shared" si="73"/>
        <v>0</v>
      </c>
    </row>
    <row r="553" spans="3:15" x14ac:dyDescent="0.2">
      <c r="C553">
        <v>534</v>
      </c>
      <c r="D553" s="7">
        <v>2907.4778554855484</v>
      </c>
      <c r="E553" s="7">
        <f t="shared" si="66"/>
        <v>86.946108118586977</v>
      </c>
      <c r="F553" s="7">
        <f t="shared" si="67"/>
        <v>234.78610015219041</v>
      </c>
      <c r="G553">
        <v>0</v>
      </c>
      <c r="H553" s="7">
        <f t="shared" si="68"/>
        <v>0</v>
      </c>
      <c r="I553" s="7">
        <f t="shared" si="69"/>
        <v>0</v>
      </c>
      <c r="J553" s="7">
        <v>712.67173974922252</v>
      </c>
      <c r="K553" s="7">
        <f t="shared" si="70"/>
        <v>11.366375434596851</v>
      </c>
      <c r="L553" s="7">
        <f t="shared" si="71"/>
        <v>42.783168824682214</v>
      </c>
      <c r="M553" s="7">
        <v>0</v>
      </c>
      <c r="N553" s="7">
        <f t="shared" si="72"/>
        <v>0</v>
      </c>
      <c r="O553" s="7">
        <f t="shared" si="73"/>
        <v>0</v>
      </c>
    </row>
    <row r="554" spans="3:15" x14ac:dyDescent="0.2">
      <c r="C554">
        <v>535</v>
      </c>
      <c r="D554" s="7">
        <v>2908.2335689808892</v>
      </c>
      <c r="E554" s="7">
        <f t="shared" si="66"/>
        <v>86.968707206366304</v>
      </c>
      <c r="F554" s="7">
        <f t="shared" si="67"/>
        <v>234.84712590482636</v>
      </c>
      <c r="G554">
        <v>0</v>
      </c>
      <c r="H554" s="7">
        <f t="shared" si="68"/>
        <v>0</v>
      </c>
      <c r="I554" s="7">
        <f t="shared" si="69"/>
        <v>0</v>
      </c>
      <c r="J554" s="7">
        <v>932.06025839653648</v>
      </c>
      <c r="K554" s="7">
        <f t="shared" si="70"/>
        <v>14.865394870758159</v>
      </c>
      <c r="L554" s="7">
        <f t="shared" si="71"/>
        <v>55.95351852142732</v>
      </c>
      <c r="M554" s="7">
        <v>680.37424334317575</v>
      </c>
      <c r="N554" s="7">
        <f t="shared" si="72"/>
        <v>54.256319245867289</v>
      </c>
      <c r="O554" s="7">
        <f t="shared" si="73"/>
        <v>20.537914935102574</v>
      </c>
    </row>
    <row r="555" spans="3:15" x14ac:dyDescent="0.2">
      <c r="C555">
        <v>536</v>
      </c>
      <c r="D555" s="7">
        <v>2908.9935916311983</v>
      </c>
      <c r="E555" s="7">
        <f t="shared" si="66"/>
        <v>86.991435156435358</v>
      </c>
      <c r="F555" s="7">
        <f t="shared" si="67"/>
        <v>234.90849963249099</v>
      </c>
      <c r="G555">
        <v>0</v>
      </c>
      <c r="H555" s="7">
        <f t="shared" si="68"/>
        <v>0</v>
      </c>
      <c r="I555" s="7">
        <f t="shared" si="69"/>
        <v>0</v>
      </c>
      <c r="J555" s="7">
        <v>1151.4444678888826</v>
      </c>
      <c r="K555" s="7">
        <f t="shared" si="70"/>
        <v>18.364345580364954</v>
      </c>
      <c r="L555" s="7">
        <f t="shared" si="71"/>
        <v>69.123609530624989</v>
      </c>
      <c r="M555" s="7">
        <v>680.37424334317575</v>
      </c>
      <c r="N555" s="7">
        <f t="shared" si="72"/>
        <v>54.256319245867289</v>
      </c>
      <c r="O555" s="7">
        <f t="shared" si="73"/>
        <v>20.537914935102574</v>
      </c>
    </row>
    <row r="556" spans="3:15" x14ac:dyDescent="0.2">
      <c r="C556">
        <v>537</v>
      </c>
      <c r="D556" s="7">
        <v>2909.7578988758401</v>
      </c>
      <c r="E556" s="7">
        <f t="shared" si="66"/>
        <v>87.01429123432537</v>
      </c>
      <c r="F556" s="7">
        <f t="shared" si="67"/>
        <v>234.97021935185151</v>
      </c>
      <c r="G556">
        <v>0</v>
      </c>
      <c r="H556" s="7">
        <f t="shared" si="68"/>
        <v>0</v>
      </c>
      <c r="I556" s="7">
        <f t="shared" si="69"/>
        <v>0</v>
      </c>
      <c r="J556" s="7">
        <v>1370.8243927868957</v>
      </c>
      <c r="K556" s="7">
        <f t="shared" si="70"/>
        <v>21.863227955133905</v>
      </c>
      <c r="L556" s="7">
        <f t="shared" si="71"/>
        <v>82.293443326701279</v>
      </c>
      <c r="M556" s="7">
        <v>0</v>
      </c>
      <c r="N556" s="7">
        <f t="shared" si="72"/>
        <v>0</v>
      </c>
      <c r="O556" s="7">
        <f t="shared" si="73"/>
        <v>0</v>
      </c>
    </row>
    <row r="557" spans="3:15" x14ac:dyDescent="0.2">
      <c r="C557">
        <v>538</v>
      </c>
      <c r="D557" s="7">
        <v>2910.5264662397153</v>
      </c>
      <c r="E557" s="7">
        <f t="shared" si="66"/>
        <v>87.037274708125466</v>
      </c>
      <c r="F557" s="7">
        <f t="shared" si="67"/>
        <v>235.03228308648255</v>
      </c>
      <c r="G557">
        <v>0</v>
      </c>
      <c r="H557" s="7">
        <f t="shared" si="68"/>
        <v>0</v>
      </c>
      <c r="I557" s="7">
        <f t="shared" si="69"/>
        <v>0</v>
      </c>
      <c r="J557" s="7">
        <v>1590.2000575656762</v>
      </c>
      <c r="K557" s="7">
        <f t="shared" si="70"/>
        <v>25.362042385417485</v>
      </c>
      <c r="L557" s="7">
        <f t="shared" si="71"/>
        <v>95.463021378947445</v>
      </c>
      <c r="M557" s="7">
        <v>0</v>
      </c>
      <c r="N557" s="7">
        <f t="shared" si="72"/>
        <v>0</v>
      </c>
      <c r="O557" s="7">
        <f t="shared" si="73"/>
        <v>0</v>
      </c>
    </row>
    <row r="558" spans="3:15" x14ac:dyDescent="0.2">
      <c r="C558">
        <v>539</v>
      </c>
      <c r="D558" s="7">
        <v>2911.2992693330125</v>
      </c>
      <c r="E558" s="7">
        <f t="shared" si="66"/>
        <v>87.060384848475266</v>
      </c>
      <c r="F558" s="7">
        <f t="shared" si="67"/>
        <v>235.09468886684593</v>
      </c>
      <c r="G558">
        <v>0</v>
      </c>
      <c r="H558" s="7">
        <f t="shared" si="68"/>
        <v>0</v>
      </c>
      <c r="I558" s="7">
        <f t="shared" si="69"/>
        <v>0</v>
      </c>
      <c r="J558" s="7">
        <v>1809.5714866150338</v>
      </c>
      <c r="K558" s="7">
        <f t="shared" si="70"/>
        <v>28.860789260207877</v>
      </c>
      <c r="L558" s="7">
        <f t="shared" si="71"/>
        <v>108.63234515153458</v>
      </c>
      <c r="M558" s="7">
        <v>0</v>
      </c>
      <c r="N558" s="7">
        <f t="shared" si="72"/>
        <v>0</v>
      </c>
      <c r="O558" s="7">
        <f t="shared" si="73"/>
        <v>0</v>
      </c>
    </row>
    <row r="559" spans="3:15" x14ac:dyDescent="0.2">
      <c r="C559">
        <v>540</v>
      </c>
      <c r="D559" s="7">
        <v>2912.0762838509704</v>
      </c>
      <c r="E559" s="7">
        <f t="shared" si="66"/>
        <v>87.083620928557735</v>
      </c>
      <c r="F559" s="7">
        <f t="shared" si="67"/>
        <v>235.15743473027143</v>
      </c>
      <c r="G559">
        <v>0</v>
      </c>
      <c r="H559" s="7">
        <f t="shared" si="68"/>
        <v>0</v>
      </c>
      <c r="I559" s="7">
        <f t="shared" si="69"/>
        <v>0</v>
      </c>
      <c r="J559" s="7">
        <v>2028.9387042397307</v>
      </c>
      <c r="K559" s="7">
        <f t="shared" si="70"/>
        <v>32.359468967140842</v>
      </c>
      <c r="L559" s="7">
        <f t="shared" si="71"/>
        <v>121.80141610352815</v>
      </c>
      <c r="M559" s="7">
        <v>0</v>
      </c>
      <c r="N559" s="7">
        <f t="shared" si="72"/>
        <v>0</v>
      </c>
      <c r="O559" s="7">
        <f t="shared" si="73"/>
        <v>0</v>
      </c>
    </row>
    <row r="560" spans="3:15" x14ac:dyDescent="0.2">
      <c r="C560">
        <v>541</v>
      </c>
      <c r="D560" s="7">
        <v>2912.8574855736447</v>
      </c>
      <c r="E560" s="7">
        <f t="shared" si="66"/>
        <v>87.106982224092249</v>
      </c>
      <c r="F560" s="7">
        <f t="shared" si="67"/>
        <v>235.22051872093806</v>
      </c>
      <c r="G560">
        <v>0</v>
      </c>
      <c r="H560" s="7">
        <f t="shared" si="68"/>
        <v>0</v>
      </c>
      <c r="I560" s="7">
        <f t="shared" si="69"/>
        <v>0</v>
      </c>
      <c r="J560" s="7">
        <v>2248.3017346597112</v>
      </c>
      <c r="K560" s="7">
        <f t="shared" si="70"/>
        <v>35.858081892499385</v>
      </c>
      <c r="L560" s="7">
        <f t="shared" si="71"/>
        <v>134.97023568890188</v>
      </c>
      <c r="M560" s="7">
        <v>0</v>
      </c>
      <c r="N560" s="7">
        <f t="shared" si="72"/>
        <v>0</v>
      </c>
      <c r="O560" s="7">
        <f t="shared" si="73"/>
        <v>0</v>
      </c>
    </row>
    <row r="561" spans="3:15" x14ac:dyDescent="0.2">
      <c r="C561">
        <v>542</v>
      </c>
      <c r="D561" s="7">
        <v>2913.6428503656693</v>
      </c>
      <c r="E561" s="7">
        <f t="shared" si="66"/>
        <v>87.130468013327445</v>
      </c>
      <c r="F561" s="7">
        <f t="shared" si="67"/>
        <v>235.28393888985471</v>
      </c>
      <c r="G561">
        <v>0</v>
      </c>
      <c r="H561" s="7">
        <f t="shared" si="68"/>
        <v>0</v>
      </c>
      <c r="I561" s="7">
        <f t="shared" si="69"/>
        <v>0</v>
      </c>
      <c r="J561" s="7">
        <v>2467.6606020103413</v>
      </c>
      <c r="K561" s="7">
        <f t="shared" si="70"/>
        <v>39.356628421217565</v>
      </c>
      <c r="L561" s="7">
        <f t="shared" si="71"/>
        <v>148.13880535655201</v>
      </c>
      <c r="M561" s="7">
        <v>0</v>
      </c>
      <c r="N561" s="7">
        <f t="shared" si="72"/>
        <v>0</v>
      </c>
      <c r="O561" s="7">
        <f t="shared" si="73"/>
        <v>0</v>
      </c>
    </row>
    <row r="562" spans="3:15" x14ac:dyDescent="0.2">
      <c r="C562">
        <v>543</v>
      </c>
      <c r="D562" s="7">
        <v>2914.4323541760268</v>
      </c>
      <c r="E562" s="7">
        <f t="shared" si="66"/>
        <v>87.1540775770343</v>
      </c>
      <c r="F562" s="7">
        <f t="shared" si="67"/>
        <v>235.34769329484163</v>
      </c>
      <c r="G562">
        <v>0</v>
      </c>
      <c r="H562" s="7">
        <f t="shared" si="68"/>
        <v>0</v>
      </c>
      <c r="I562" s="7">
        <f t="shared" si="69"/>
        <v>0</v>
      </c>
      <c r="J562" s="7">
        <v>2687.0153303426396</v>
      </c>
      <c r="K562" s="7">
        <f t="shared" si="70"/>
        <v>42.855108936884207</v>
      </c>
      <c r="L562" s="7">
        <f t="shared" si="71"/>
        <v>161.30712655031138</v>
      </c>
      <c r="M562" s="7">
        <v>0</v>
      </c>
      <c r="N562" s="7">
        <f t="shared" si="72"/>
        <v>0</v>
      </c>
      <c r="O562" s="7">
        <f t="shared" si="73"/>
        <v>0</v>
      </c>
    </row>
    <row r="563" spans="3:15" x14ac:dyDescent="0.2">
      <c r="C563">
        <v>544</v>
      </c>
      <c r="D563" s="7">
        <v>2915.2259730378059</v>
      </c>
      <c r="E563" s="7">
        <f t="shared" si="66"/>
        <v>87.177810198498989</v>
      </c>
      <c r="F563" s="7">
        <f t="shared" si="67"/>
        <v>235.41178000051087</v>
      </c>
      <c r="G563">
        <v>0</v>
      </c>
      <c r="H563" s="7">
        <f t="shared" si="68"/>
        <v>0</v>
      </c>
      <c r="I563" s="7">
        <f t="shared" si="69"/>
        <v>0</v>
      </c>
      <c r="J563" s="7">
        <v>2906.3659436235152</v>
      </c>
      <c r="K563" s="7">
        <f t="shared" si="70"/>
        <v>46.353523821746656</v>
      </c>
      <c r="L563" s="7">
        <f t="shared" si="71"/>
        <v>174.47520070896334</v>
      </c>
      <c r="M563" s="7">
        <v>680.37424334317575</v>
      </c>
      <c r="N563" s="7">
        <f t="shared" si="72"/>
        <v>54.256319245867289</v>
      </c>
      <c r="O563" s="7">
        <f t="shared" si="73"/>
        <v>20.537914935102574</v>
      </c>
    </row>
    <row r="564" spans="3:15" x14ac:dyDescent="0.2">
      <c r="C564">
        <v>545</v>
      </c>
      <c r="D564" s="7">
        <v>2916.0236830679733</v>
      </c>
      <c r="E564" s="7">
        <f t="shared" si="66"/>
        <v>87.201665163515955</v>
      </c>
      <c r="F564" s="7">
        <f t="shared" si="67"/>
        <v>235.47619707824782</v>
      </c>
      <c r="G564">
        <v>0</v>
      </c>
      <c r="H564" s="7">
        <f t="shared" si="68"/>
        <v>0</v>
      </c>
      <c r="I564" s="7">
        <f t="shared" si="69"/>
        <v>0</v>
      </c>
      <c r="J564" s="7">
        <v>2734.3449419268381</v>
      </c>
      <c r="K564" s="7">
        <f t="shared" si="70"/>
        <v>43.609967175866643</v>
      </c>
      <c r="L564" s="7">
        <f t="shared" si="71"/>
        <v>164.14842170749824</v>
      </c>
      <c r="M564" s="7">
        <v>680.37424334317575</v>
      </c>
      <c r="N564" s="7">
        <f t="shared" si="72"/>
        <v>54.256319245867289</v>
      </c>
      <c r="O564" s="7">
        <f t="shared" si="73"/>
        <v>20.537914935102574</v>
      </c>
    </row>
    <row r="565" spans="3:15" x14ac:dyDescent="0.2">
      <c r="C565">
        <v>546</v>
      </c>
      <c r="D565" s="7">
        <v>2916.8254604671392</v>
      </c>
      <c r="E565" s="7">
        <f t="shared" si="66"/>
        <v>87.225641760380967</v>
      </c>
      <c r="F565" s="7">
        <f t="shared" si="67"/>
        <v>235.54094260619232</v>
      </c>
      <c r="G565">
        <v>0</v>
      </c>
      <c r="H565" s="7">
        <f t="shared" si="68"/>
        <v>0</v>
      </c>
      <c r="I565" s="7">
        <f t="shared" si="69"/>
        <v>0</v>
      </c>
      <c r="J565" s="7">
        <v>3075.9897478606918</v>
      </c>
      <c r="K565" s="7">
        <f t="shared" si="70"/>
        <v>49.058847653280573</v>
      </c>
      <c r="L565" s="7">
        <f t="shared" si="71"/>
        <v>184.65807095427095</v>
      </c>
      <c r="M565" s="7">
        <v>680.37424334317575</v>
      </c>
      <c r="N565" s="7">
        <f t="shared" si="72"/>
        <v>54.256319245867289</v>
      </c>
      <c r="O565" s="7">
        <f t="shared" si="73"/>
        <v>20.537914935102574</v>
      </c>
    </row>
    <row r="566" spans="3:15" x14ac:dyDescent="0.2">
      <c r="C566">
        <v>547</v>
      </c>
      <c r="D566" s="7">
        <v>2917.6312815193164</v>
      </c>
      <c r="E566" s="7">
        <f t="shared" si="66"/>
        <v>87.249739279883869</v>
      </c>
      <c r="F566" s="7">
        <f t="shared" si="67"/>
        <v>235.60601466921912</v>
      </c>
      <c r="G566">
        <v>0</v>
      </c>
      <c r="H566" s="7">
        <f t="shared" si="68"/>
        <v>0</v>
      </c>
      <c r="I566" s="7">
        <f t="shared" si="69"/>
        <v>0</v>
      </c>
      <c r="J566" s="7">
        <v>3417.6305101415333</v>
      </c>
      <c r="K566" s="7">
        <f t="shared" si="70"/>
        <v>54.507663638620947</v>
      </c>
      <c r="L566" s="7">
        <f t="shared" si="71"/>
        <v>205.16747745213161</v>
      </c>
      <c r="M566" s="7">
        <v>680.37424334317575</v>
      </c>
      <c r="N566" s="7">
        <f t="shared" si="72"/>
        <v>54.256319245867289</v>
      </c>
      <c r="O566" s="7">
        <f t="shared" si="73"/>
        <v>20.537914935102574</v>
      </c>
    </row>
    <row r="567" spans="3:15" x14ac:dyDescent="0.2">
      <c r="C567">
        <v>548</v>
      </c>
      <c r="D567" s="7">
        <v>2918.4411225917029</v>
      </c>
      <c r="E567" s="7">
        <f t="shared" si="66"/>
        <v>87.27395701530213</v>
      </c>
      <c r="F567" s="7">
        <f t="shared" si="67"/>
        <v>235.67141135892047</v>
      </c>
      <c r="G567">
        <v>0</v>
      </c>
      <c r="H567" s="7">
        <f t="shared" si="68"/>
        <v>0</v>
      </c>
      <c r="I567" s="7">
        <f t="shared" si="69"/>
        <v>0</v>
      </c>
      <c r="J567" s="7">
        <v>3588.0439607356557</v>
      </c>
      <c r="K567" s="7">
        <f t="shared" si="70"/>
        <v>57.225581510935498</v>
      </c>
      <c r="L567" s="7">
        <f t="shared" si="71"/>
        <v>215.39775181284992</v>
      </c>
      <c r="M567" s="7">
        <v>680.37424334317575</v>
      </c>
      <c r="N567" s="7">
        <f t="shared" si="72"/>
        <v>54.256319245867289</v>
      </c>
      <c r="O567" s="7">
        <f t="shared" si="73"/>
        <v>20.537914935102574</v>
      </c>
    </row>
    <row r="568" spans="3:15" x14ac:dyDescent="0.2">
      <c r="C568">
        <v>549</v>
      </c>
      <c r="D568" s="7">
        <v>2919.2549601344385</v>
      </c>
      <c r="E568" s="7">
        <f t="shared" si="66"/>
        <v>87.298294262393497</v>
      </c>
      <c r="F568" s="7">
        <f t="shared" si="67"/>
        <v>235.73713077358627</v>
      </c>
      <c r="G568">
        <v>0</v>
      </c>
      <c r="H568" s="7">
        <f t="shared" si="68"/>
        <v>0</v>
      </c>
      <c r="I568" s="7">
        <f t="shared" si="69"/>
        <v>0</v>
      </c>
      <c r="J568" s="7">
        <v>4100.899998192448</v>
      </c>
      <c r="K568" s="7">
        <f t="shared" si="70"/>
        <v>65.405103639432994</v>
      </c>
      <c r="L568" s="7">
        <f t="shared" si="71"/>
        <v>246.18556787104299</v>
      </c>
      <c r="M568" s="7">
        <v>680.37424334317575</v>
      </c>
      <c r="N568" s="7">
        <f t="shared" si="72"/>
        <v>54.256319245867289</v>
      </c>
      <c r="O568" s="7">
        <f t="shared" si="73"/>
        <v>20.537914935102574</v>
      </c>
    </row>
    <row r="569" spans="3:15" x14ac:dyDescent="0.2">
      <c r="C569">
        <v>550</v>
      </c>
      <c r="D569" s="7">
        <v>2920.0727706803741</v>
      </c>
      <c r="E569" s="7">
        <f t="shared" si="66"/>
        <v>87.322750319389186</v>
      </c>
      <c r="F569" s="7">
        <f t="shared" si="67"/>
        <v>235.80317101818565</v>
      </c>
      <c r="G569">
        <v>0</v>
      </c>
      <c r="H569" s="7">
        <f t="shared" si="68"/>
        <v>0</v>
      </c>
      <c r="I569" s="7">
        <f t="shared" si="69"/>
        <v>0</v>
      </c>
      <c r="J569" s="7">
        <v>3243.9657293139658</v>
      </c>
      <c r="K569" s="7">
        <f t="shared" si="70"/>
        <v>51.737890419680475</v>
      </c>
      <c r="L569" s="7">
        <f t="shared" si="71"/>
        <v>194.74201896592626</v>
      </c>
      <c r="M569" s="7">
        <v>680.37424334317575</v>
      </c>
      <c r="N569" s="7">
        <f t="shared" si="72"/>
        <v>54.256319245867289</v>
      </c>
      <c r="O569" s="7">
        <f t="shared" si="73"/>
        <v>20.537914935102574</v>
      </c>
    </row>
    <row r="570" spans="3:15" x14ac:dyDescent="0.2">
      <c r="C570">
        <v>551</v>
      </c>
      <c r="D570" s="7">
        <v>2920.8945308448456</v>
      </c>
      <c r="E570" s="7">
        <f t="shared" si="66"/>
        <v>87.34732448698702</v>
      </c>
      <c r="F570" s="7">
        <f t="shared" si="67"/>
        <v>235.86953020434856</v>
      </c>
      <c r="G570">
        <v>0</v>
      </c>
      <c r="H570" s="7">
        <f t="shared" si="68"/>
        <v>0</v>
      </c>
      <c r="I570" s="7">
        <f t="shared" si="69"/>
        <v>0</v>
      </c>
      <c r="J570" s="7">
        <v>2387.0275108169453</v>
      </c>
      <c r="K570" s="7">
        <f t="shared" si="70"/>
        <v>38.070614207606788</v>
      </c>
      <c r="L570" s="7">
        <f t="shared" si="71"/>
        <v>143.29823295698284</v>
      </c>
      <c r="M570" s="7">
        <v>0</v>
      </c>
      <c r="N570" s="7">
        <f t="shared" si="72"/>
        <v>0</v>
      </c>
      <c r="O570" s="7">
        <f t="shared" si="73"/>
        <v>0</v>
      </c>
    </row>
    <row r="571" spans="3:15" x14ac:dyDescent="0.2">
      <c r="C571">
        <v>552</v>
      </c>
      <c r="D571" s="7">
        <v>2921.7202173254386</v>
      </c>
      <c r="E571" s="7">
        <f t="shared" si="66"/>
        <v>87.372016068344465</v>
      </c>
      <c r="F571" s="7">
        <f t="shared" si="67"/>
        <v>235.93620645034682</v>
      </c>
      <c r="G571">
        <v>0</v>
      </c>
      <c r="H571" s="7">
        <f t="shared" si="68"/>
        <v>0</v>
      </c>
      <c r="I571" s="7">
        <f t="shared" si="69"/>
        <v>0</v>
      </c>
      <c r="J571" s="7">
        <v>1530.085366003806</v>
      </c>
      <c r="K571" s="7">
        <f t="shared" si="70"/>
        <v>24.403275374861341</v>
      </c>
      <c r="L571" s="7">
        <f t="shared" si="71"/>
        <v>91.854211243105382</v>
      </c>
      <c r="M571" s="7">
        <v>0</v>
      </c>
      <c r="N571" s="7">
        <f t="shared" si="72"/>
        <v>0</v>
      </c>
      <c r="O571" s="7">
        <f t="shared" si="73"/>
        <v>0</v>
      </c>
    </row>
    <row r="572" spans="3:15" x14ac:dyDescent="0.2">
      <c r="C572">
        <v>553</v>
      </c>
      <c r="D572" s="7">
        <v>2910.7959583306606</v>
      </c>
      <c r="E572" s="7">
        <f t="shared" si="66"/>
        <v>87.045333682136985</v>
      </c>
      <c r="F572" s="7">
        <f t="shared" si="67"/>
        <v>235.05404524605862</v>
      </c>
      <c r="G572">
        <v>0</v>
      </c>
      <c r="H572" s="7">
        <f t="shared" si="68"/>
        <v>0</v>
      </c>
      <c r="I572" s="7">
        <f t="shared" si="69"/>
        <v>0</v>
      </c>
      <c r="J572" s="7">
        <v>0</v>
      </c>
      <c r="K572" s="7">
        <f t="shared" si="70"/>
        <v>0</v>
      </c>
      <c r="L572" s="7">
        <f t="shared" si="71"/>
        <v>0</v>
      </c>
      <c r="M572" s="7">
        <v>0</v>
      </c>
      <c r="N572" s="7">
        <f t="shared" si="72"/>
        <v>0</v>
      </c>
      <c r="O572" s="7">
        <f t="shared" si="73"/>
        <v>0</v>
      </c>
    </row>
    <row r="573" spans="3:15" x14ac:dyDescent="0.2">
      <c r="C573">
        <v>554</v>
      </c>
      <c r="D573" s="7">
        <v>2739.5726666641513</v>
      </c>
      <c r="E573" s="7">
        <f t="shared" si="66"/>
        <v>81.925019936128933</v>
      </c>
      <c r="F573" s="7">
        <f t="shared" si="67"/>
        <v>221.22733670217281</v>
      </c>
      <c r="G573">
        <v>0</v>
      </c>
      <c r="H573" s="7">
        <f t="shared" si="68"/>
        <v>0</v>
      </c>
      <c r="I573" s="7">
        <f t="shared" si="69"/>
        <v>0</v>
      </c>
      <c r="J573" s="7">
        <v>0</v>
      </c>
      <c r="K573" s="7">
        <f t="shared" si="70"/>
        <v>0</v>
      </c>
      <c r="L573" s="7">
        <f t="shared" si="71"/>
        <v>0</v>
      </c>
      <c r="M573" s="7">
        <v>0</v>
      </c>
      <c r="N573" s="7">
        <f t="shared" si="72"/>
        <v>0</v>
      </c>
      <c r="O573" s="7">
        <f t="shared" si="73"/>
        <v>0</v>
      </c>
    </row>
    <row r="574" spans="3:15" x14ac:dyDescent="0.2">
      <c r="C574">
        <v>555</v>
      </c>
      <c r="D574" s="7">
        <v>2910.7959583306606</v>
      </c>
      <c r="E574" s="7">
        <f t="shared" si="66"/>
        <v>87.045333682136985</v>
      </c>
      <c r="F574" s="7">
        <f t="shared" si="67"/>
        <v>235.05404524605862</v>
      </c>
      <c r="G574">
        <v>0</v>
      </c>
      <c r="H574" s="7">
        <f t="shared" si="68"/>
        <v>0</v>
      </c>
      <c r="I574" s="7">
        <f t="shared" si="69"/>
        <v>0</v>
      </c>
      <c r="J574" s="7">
        <v>0</v>
      </c>
      <c r="K574" s="7">
        <f t="shared" si="70"/>
        <v>0</v>
      </c>
      <c r="L574" s="7">
        <f t="shared" si="71"/>
        <v>0</v>
      </c>
      <c r="M574" s="7">
        <v>0</v>
      </c>
      <c r="N574" s="7">
        <f t="shared" si="72"/>
        <v>0</v>
      </c>
      <c r="O574" s="7">
        <f t="shared" si="73"/>
        <v>0</v>
      </c>
    </row>
    <row r="575" spans="3:15" x14ac:dyDescent="0.2">
      <c r="C575">
        <v>556</v>
      </c>
      <c r="D575" s="7">
        <v>2925.5021438952303</v>
      </c>
      <c r="E575" s="7">
        <f t="shared" si="66"/>
        <v>87.485111958589428</v>
      </c>
      <c r="F575" s="7">
        <f t="shared" si="67"/>
        <v>236.24160646868506</v>
      </c>
      <c r="G575">
        <v>0</v>
      </c>
      <c r="H575" s="7">
        <f t="shared" si="68"/>
        <v>0</v>
      </c>
      <c r="I575" s="7">
        <f t="shared" si="69"/>
        <v>0</v>
      </c>
      <c r="J575" s="7">
        <v>156.51710610194004</v>
      </c>
      <c r="K575" s="7">
        <f t="shared" si="70"/>
        <v>2.4962855837629991</v>
      </c>
      <c r="L575" s="7">
        <f t="shared" si="71"/>
        <v>9.3960478588169032</v>
      </c>
      <c r="M575" s="7">
        <v>0</v>
      </c>
      <c r="N575" s="7">
        <f t="shared" si="72"/>
        <v>0</v>
      </c>
      <c r="O575" s="7">
        <f t="shared" si="73"/>
        <v>0</v>
      </c>
    </row>
    <row r="576" spans="3:15" x14ac:dyDescent="0.2">
      <c r="C576">
        <v>557</v>
      </c>
      <c r="D576" s="7">
        <v>2926.3450892299638</v>
      </c>
      <c r="E576" s="7">
        <f t="shared" si="66"/>
        <v>87.510319654006096</v>
      </c>
      <c r="F576" s="7">
        <f t="shared" si="67"/>
        <v>236.30967641027041</v>
      </c>
      <c r="G576">
        <v>0</v>
      </c>
      <c r="H576" s="7">
        <f t="shared" si="68"/>
        <v>0</v>
      </c>
      <c r="I576" s="7">
        <f t="shared" si="69"/>
        <v>0</v>
      </c>
      <c r="J576" s="7">
        <v>524.46278897199591</v>
      </c>
      <c r="K576" s="7">
        <f t="shared" si="70"/>
        <v>8.3646377826474634</v>
      </c>
      <c r="L576" s="7">
        <f t="shared" si="71"/>
        <v>31.484593525131515</v>
      </c>
      <c r="M576" s="7">
        <v>0</v>
      </c>
      <c r="N576" s="7">
        <f t="shared" si="72"/>
        <v>0</v>
      </c>
      <c r="O576" s="7">
        <f t="shared" si="73"/>
        <v>0</v>
      </c>
    </row>
    <row r="577" spans="3:15" x14ac:dyDescent="0.2">
      <c r="C577">
        <v>558</v>
      </c>
      <c r="D577" s="7">
        <v>2927.1918292993646</v>
      </c>
      <c r="E577" s="7">
        <f t="shared" si="66"/>
        <v>87.535640828330287</v>
      </c>
      <c r="F577" s="7">
        <f t="shared" si="67"/>
        <v>236.37805278615994</v>
      </c>
      <c r="G577">
        <v>0</v>
      </c>
      <c r="H577" s="7">
        <f t="shared" si="68"/>
        <v>0</v>
      </c>
      <c r="I577" s="7">
        <f t="shared" si="69"/>
        <v>0</v>
      </c>
      <c r="J577" s="7">
        <v>760.69445274853115</v>
      </c>
      <c r="K577" s="7">
        <f t="shared" si="70"/>
        <v>12.132287922624101</v>
      </c>
      <c r="L577" s="7">
        <f t="shared" si="71"/>
        <v>45.66607230334639</v>
      </c>
      <c r="M577" s="7">
        <v>0</v>
      </c>
      <c r="N577" s="7">
        <f t="shared" si="72"/>
        <v>0</v>
      </c>
      <c r="O577" s="7">
        <f t="shared" si="73"/>
        <v>0</v>
      </c>
    </row>
    <row r="578" spans="3:15" x14ac:dyDescent="0.2">
      <c r="C578">
        <v>559</v>
      </c>
      <c r="D578" s="7">
        <v>2928.0423413532562</v>
      </c>
      <c r="E578" s="7">
        <f t="shared" si="66"/>
        <v>87.561074801233744</v>
      </c>
      <c r="F578" s="7">
        <f t="shared" si="67"/>
        <v>236.44673375922011</v>
      </c>
      <c r="G578">
        <v>0</v>
      </c>
      <c r="H578" s="7">
        <f t="shared" si="68"/>
        <v>0</v>
      </c>
      <c r="I578" s="7">
        <f t="shared" si="69"/>
        <v>0</v>
      </c>
      <c r="J578" s="7">
        <v>996.92234454057507</v>
      </c>
      <c r="K578" s="7">
        <f t="shared" si="70"/>
        <v>15.899877903358455</v>
      </c>
      <c r="L578" s="7">
        <f t="shared" si="71"/>
        <v>59.847324641476305</v>
      </c>
      <c r="M578" s="7">
        <v>680.37424334317575</v>
      </c>
      <c r="N578" s="7">
        <f t="shared" si="72"/>
        <v>54.256319245867289</v>
      </c>
      <c r="O578" s="7">
        <f t="shared" si="73"/>
        <v>20.537914935102574</v>
      </c>
    </row>
    <row r="579" spans="3:15" x14ac:dyDescent="0.2">
      <c r="C579">
        <v>560</v>
      </c>
      <c r="D579" s="7">
        <v>2928.8966027219312</v>
      </c>
      <c r="E579" s="7">
        <f t="shared" si="66"/>
        <v>87.586620894794606</v>
      </c>
      <c r="F579" s="7">
        <f t="shared" si="67"/>
        <v>236.51571749881541</v>
      </c>
      <c r="G579">
        <v>0</v>
      </c>
      <c r="H579" s="7">
        <f t="shared" si="68"/>
        <v>0</v>
      </c>
      <c r="I579" s="7">
        <f t="shared" si="69"/>
        <v>0</v>
      </c>
      <c r="J579" s="7">
        <v>1233.1464870178361</v>
      </c>
      <c r="K579" s="7">
        <f t="shared" si="70"/>
        <v>19.667408086408869</v>
      </c>
      <c r="L579" s="7">
        <f t="shared" si="71"/>
        <v>74.028351900431076</v>
      </c>
      <c r="M579" s="7">
        <v>680.37424334317575</v>
      </c>
      <c r="N579" s="7">
        <f t="shared" si="72"/>
        <v>54.256319245867289</v>
      </c>
      <c r="O579" s="7">
        <f t="shared" si="73"/>
        <v>20.537914935102574</v>
      </c>
    </row>
    <row r="580" spans="3:15" x14ac:dyDescent="0.2">
      <c r="C580">
        <v>561</v>
      </c>
      <c r="D580" s="7">
        <v>2929.7545908159177</v>
      </c>
      <c r="E580" s="7">
        <f t="shared" si="66"/>
        <v>87.612278433490374</v>
      </c>
      <c r="F580" s="7">
        <f t="shared" si="67"/>
        <v>236.58500218078953</v>
      </c>
      <c r="G580">
        <v>0</v>
      </c>
      <c r="H580" s="7">
        <f t="shared" si="68"/>
        <v>0</v>
      </c>
      <c r="I580" s="7">
        <f t="shared" si="69"/>
        <v>0</v>
      </c>
      <c r="J580" s="7">
        <v>1469.3669027697856</v>
      </c>
      <c r="K580" s="7">
        <f t="shared" si="70"/>
        <v>23.434878832054</v>
      </c>
      <c r="L580" s="7">
        <f t="shared" si="71"/>
        <v>88.209155436303732</v>
      </c>
      <c r="M580" s="7">
        <v>0</v>
      </c>
      <c r="N580" s="7">
        <f t="shared" si="72"/>
        <v>0</v>
      </c>
      <c r="O580" s="7">
        <f t="shared" si="73"/>
        <v>0</v>
      </c>
    </row>
    <row r="581" spans="3:15" x14ac:dyDescent="0.2">
      <c r="C581">
        <v>562</v>
      </c>
      <c r="D581" s="7">
        <v>2930.6162831257616</v>
      </c>
      <c r="E581" s="7">
        <f t="shared" si="66"/>
        <v>87.638046744191442</v>
      </c>
      <c r="F581" s="7">
        <f t="shared" si="67"/>
        <v>236.6545859874478</v>
      </c>
      <c r="G581">
        <v>0</v>
      </c>
      <c r="H581" s="7">
        <f t="shared" si="68"/>
        <v>0</v>
      </c>
      <c r="I581" s="7">
        <f t="shared" si="69"/>
        <v>0</v>
      </c>
      <c r="J581" s="7">
        <v>1705.5836143058777</v>
      </c>
      <c r="K581" s="7">
        <f t="shared" si="70"/>
        <v>27.202290499296296</v>
      </c>
      <c r="L581" s="7">
        <f t="shared" si="71"/>
        <v>102.38973660038363</v>
      </c>
      <c r="M581" s="7">
        <v>0</v>
      </c>
      <c r="N581" s="7">
        <f t="shared" si="72"/>
        <v>0</v>
      </c>
      <c r="O581" s="7">
        <f t="shared" si="73"/>
        <v>0</v>
      </c>
    </row>
    <row r="582" spans="3:15" x14ac:dyDescent="0.2">
      <c r="C582">
        <v>563</v>
      </c>
      <c r="D582" s="7">
        <v>2931.4816572217937</v>
      </c>
      <c r="E582" s="7">
        <f t="shared" si="66"/>
        <v>87.663925156154122</v>
      </c>
      <c r="F582" s="7">
        <f t="shared" si="67"/>
        <v>236.72446710753846</v>
      </c>
      <c r="G582">
        <v>0</v>
      </c>
      <c r="H582" s="7">
        <f t="shared" si="68"/>
        <v>0</v>
      </c>
      <c r="I582" s="7">
        <f t="shared" si="69"/>
        <v>0</v>
      </c>
      <c r="J582" s="7">
        <v>1941.7966440557825</v>
      </c>
      <c r="K582" s="7">
        <f t="shared" si="70"/>
        <v>30.969643445865753</v>
      </c>
      <c r="L582" s="7">
        <f t="shared" si="71"/>
        <v>116.57009673917064</v>
      </c>
      <c r="M582" s="7">
        <v>0</v>
      </c>
      <c r="N582" s="7">
        <f t="shared" si="72"/>
        <v>0</v>
      </c>
      <c r="O582" s="7">
        <f t="shared" si="73"/>
        <v>0</v>
      </c>
    </row>
    <row r="583" spans="3:15" x14ac:dyDescent="0.2">
      <c r="C583">
        <v>564</v>
      </c>
      <c r="D583" s="7">
        <v>2932.3506907539186</v>
      </c>
      <c r="E583" s="7">
        <f t="shared" si="66"/>
        <v>87.689913001014318</v>
      </c>
      <c r="F583" s="7">
        <f t="shared" si="67"/>
        <v>236.79464373623543</v>
      </c>
      <c r="G583">
        <v>0</v>
      </c>
      <c r="H583" s="7">
        <f t="shared" si="68"/>
        <v>0</v>
      </c>
      <c r="I583" s="7">
        <f t="shared" si="69"/>
        <v>0</v>
      </c>
      <c r="J583" s="7">
        <v>2178.0060143695937</v>
      </c>
      <c r="K583" s="7">
        <f t="shared" si="70"/>
        <v>34.736938028223186</v>
      </c>
      <c r="L583" s="7">
        <f t="shared" si="71"/>
        <v>130.75023719438738</v>
      </c>
      <c r="M583" s="7">
        <v>0</v>
      </c>
      <c r="N583" s="7">
        <f t="shared" si="72"/>
        <v>0</v>
      </c>
      <c r="O583" s="7">
        <f t="shared" si="73"/>
        <v>0</v>
      </c>
    </row>
    <row r="584" spans="3:15" x14ac:dyDescent="0.2">
      <c r="C584">
        <v>565</v>
      </c>
      <c r="D584" s="7">
        <v>2933.2233614513775</v>
      </c>
      <c r="E584" s="7">
        <f t="shared" si="66"/>
        <v>87.716009612780439</v>
      </c>
      <c r="F584" s="7">
        <f t="shared" si="67"/>
        <v>236.86511407511932</v>
      </c>
      <c r="G584">
        <v>0</v>
      </c>
      <c r="H584" s="7">
        <f t="shared" si="68"/>
        <v>0</v>
      </c>
      <c r="I584" s="7">
        <f t="shared" si="69"/>
        <v>0</v>
      </c>
      <c r="J584" s="7">
        <v>2414.2117475180698</v>
      </c>
      <c r="K584" s="7">
        <f t="shared" si="70"/>
        <v>38.504174601564117</v>
      </c>
      <c r="L584" s="7">
        <f t="shared" si="71"/>
        <v>144.93015930299396</v>
      </c>
      <c r="M584" s="7">
        <v>0</v>
      </c>
      <c r="N584" s="7">
        <f t="shared" si="72"/>
        <v>0</v>
      </c>
      <c r="O584" s="7">
        <f t="shared" si="73"/>
        <v>0</v>
      </c>
    </row>
    <row r="585" spans="3:15" x14ac:dyDescent="0.2">
      <c r="C585">
        <v>566</v>
      </c>
      <c r="D585" s="7">
        <v>2934.0996471225362</v>
      </c>
      <c r="E585" s="7">
        <f t="shared" si="66"/>
        <v>87.742214327827043</v>
      </c>
      <c r="F585" s="7">
        <f t="shared" si="67"/>
        <v>236.93587633216023</v>
      </c>
      <c r="G585">
        <v>0</v>
      </c>
      <c r="H585" s="7">
        <f t="shared" si="68"/>
        <v>0</v>
      </c>
      <c r="I585" s="7">
        <f t="shared" si="69"/>
        <v>0</v>
      </c>
      <c r="J585" s="7">
        <v>2650.413865692848</v>
      </c>
      <c r="K585" s="7">
        <f t="shared" si="70"/>
        <v>42.271353519822142</v>
      </c>
      <c r="L585" s="7">
        <f t="shared" si="71"/>
        <v>159.10986439720048</v>
      </c>
      <c r="M585" s="7">
        <v>0</v>
      </c>
      <c r="N585" s="7">
        <f t="shared" si="72"/>
        <v>0</v>
      </c>
      <c r="O585" s="7">
        <f t="shared" si="73"/>
        <v>0</v>
      </c>
    </row>
    <row r="586" spans="3:15" x14ac:dyDescent="0.2">
      <c r="C586">
        <v>567</v>
      </c>
      <c r="D586" s="7">
        <v>2934.9795256546577</v>
      </c>
      <c r="E586" s="7">
        <f t="shared" si="66"/>
        <v>87.768526484888099</v>
      </c>
      <c r="F586" s="7">
        <f t="shared" si="67"/>
        <v>237.00692872169938</v>
      </c>
      <c r="G586">
        <v>0</v>
      </c>
      <c r="H586" s="7">
        <f t="shared" si="68"/>
        <v>0</v>
      </c>
      <c r="I586" s="7">
        <f t="shared" si="69"/>
        <v>0</v>
      </c>
      <c r="J586" s="7">
        <v>2886.6123910066635</v>
      </c>
      <c r="K586" s="7">
        <f t="shared" si="70"/>
        <v>46.038475135672471</v>
      </c>
      <c r="L586" s="7">
        <f t="shared" si="71"/>
        <v>173.28935380448053</v>
      </c>
      <c r="M586" s="7">
        <v>0</v>
      </c>
      <c r="N586" s="7">
        <f t="shared" si="72"/>
        <v>0</v>
      </c>
      <c r="O586" s="7">
        <f t="shared" si="73"/>
        <v>0</v>
      </c>
    </row>
    <row r="587" spans="3:15" x14ac:dyDescent="0.2">
      <c r="C587">
        <v>568</v>
      </c>
      <c r="D587" s="7">
        <v>2935.8629750136752</v>
      </c>
      <c r="E587" s="7">
        <f t="shared" si="66"/>
        <v>87.794945425050102</v>
      </c>
      <c r="F587" s="7">
        <f t="shared" si="67"/>
        <v>237.07826946443086</v>
      </c>
      <c r="G587">
        <v>0</v>
      </c>
      <c r="H587" s="7">
        <f t="shared" si="68"/>
        <v>0</v>
      </c>
      <c r="I587" s="7">
        <f t="shared" si="69"/>
        <v>0</v>
      </c>
      <c r="J587" s="7">
        <v>2714.5056499811362</v>
      </c>
      <c r="K587" s="7">
        <f t="shared" si="70"/>
        <v>43.293551036381764</v>
      </c>
      <c r="L587" s="7">
        <f t="shared" si="71"/>
        <v>162.95742769253451</v>
      </c>
      <c r="M587" s="7">
        <v>680.37424334317575</v>
      </c>
      <c r="N587" s="7">
        <f t="shared" si="72"/>
        <v>54.256319245867289</v>
      </c>
      <c r="O587" s="7">
        <f t="shared" si="73"/>
        <v>20.537914935102574</v>
      </c>
    </row>
    <row r="588" spans="3:15" x14ac:dyDescent="0.2">
      <c r="C588">
        <v>569</v>
      </c>
      <c r="D588" s="7">
        <v>2936.7499732439778</v>
      </c>
      <c r="E588" s="7">
        <f t="shared" si="66"/>
        <v>87.821470491745757</v>
      </c>
      <c r="F588" s="7">
        <f t="shared" si="67"/>
        <v>237.14989678738425</v>
      </c>
      <c r="G588">
        <v>0</v>
      </c>
      <c r="H588" s="7">
        <f t="shared" si="68"/>
        <v>0</v>
      </c>
      <c r="I588" s="7">
        <f t="shared" si="69"/>
        <v>0</v>
      </c>
      <c r="J588" s="7">
        <v>3021.820576750551</v>
      </c>
      <c r="K588" s="7">
        <f t="shared" si="70"/>
        <v>48.194905530311821</v>
      </c>
      <c r="L588" s="7">
        <f t="shared" si="71"/>
        <v>181.40618279393257</v>
      </c>
      <c r="M588" s="7">
        <v>680.37424334317575</v>
      </c>
      <c r="N588" s="7">
        <f t="shared" si="72"/>
        <v>54.256319245867289</v>
      </c>
      <c r="O588" s="7">
        <f t="shared" si="73"/>
        <v>20.537914935102574</v>
      </c>
    </row>
    <row r="589" spans="3:15" x14ac:dyDescent="0.2">
      <c r="C589">
        <v>570</v>
      </c>
      <c r="D589" s="7">
        <v>2937.6404984681881</v>
      </c>
      <c r="E589" s="7">
        <f t="shared" si="66"/>
        <v>87.848101030747259</v>
      </c>
      <c r="F589" s="7">
        <f t="shared" si="67"/>
        <v>237.22180892390662</v>
      </c>
      <c r="G589">
        <v>0</v>
      </c>
      <c r="H589" s="7">
        <f t="shared" si="68"/>
        <v>0</v>
      </c>
      <c r="I589" s="7">
        <f t="shared" si="69"/>
        <v>0</v>
      </c>
      <c r="J589" s="7">
        <v>3329.1319765260582</v>
      </c>
      <c r="K589" s="7">
        <f t="shared" si="70"/>
        <v>53.096203772345433</v>
      </c>
      <c r="L589" s="7">
        <f t="shared" si="71"/>
        <v>199.85472616254071</v>
      </c>
      <c r="M589" s="7">
        <v>680.37424334317575</v>
      </c>
      <c r="N589" s="7">
        <f t="shared" si="72"/>
        <v>54.256319245867289</v>
      </c>
      <c r="O589" s="7">
        <f t="shared" si="73"/>
        <v>20.537914935102574</v>
      </c>
    </row>
    <row r="590" spans="3:15" x14ac:dyDescent="0.2">
      <c r="C590">
        <v>571</v>
      </c>
      <c r="D590" s="7">
        <v>2938.5345288869476</v>
      </c>
      <c r="E590" s="7">
        <f t="shared" si="66"/>
        <v>87.874836390159928</v>
      </c>
      <c r="F590" s="7">
        <f t="shared" si="67"/>
        <v>237.29400411364537</v>
      </c>
      <c r="G590">
        <v>0</v>
      </c>
      <c r="H590" s="7">
        <f t="shared" si="68"/>
        <v>0</v>
      </c>
      <c r="I590" s="7">
        <f t="shared" si="69"/>
        <v>0</v>
      </c>
      <c r="J590" s="7">
        <v>3910.3971377734306</v>
      </c>
      <c r="K590" s="7">
        <f t="shared" si="70"/>
        <v>62.36678050675328</v>
      </c>
      <c r="L590" s="7">
        <f t="shared" si="71"/>
        <v>234.74928439815031</v>
      </c>
      <c r="M590" s="7">
        <v>680.37424334317575</v>
      </c>
      <c r="N590" s="7">
        <f t="shared" si="72"/>
        <v>54.256319245867289</v>
      </c>
      <c r="O590" s="7">
        <f t="shared" si="73"/>
        <v>20.537914935102574</v>
      </c>
    </row>
    <row r="591" spans="3:15" x14ac:dyDescent="0.2">
      <c r="C591">
        <v>572</v>
      </c>
      <c r="D591" s="7">
        <v>2939.4320427786788</v>
      </c>
      <c r="E591" s="7">
        <f t="shared" si="66"/>
        <v>87.901675920415045</v>
      </c>
      <c r="F591" s="7">
        <f t="shared" si="67"/>
        <v>237.36648060252884</v>
      </c>
      <c r="G591">
        <v>0</v>
      </c>
      <c r="H591" s="7">
        <f t="shared" si="68"/>
        <v>0</v>
      </c>
      <c r="I591" s="7">
        <f t="shared" si="69"/>
        <v>0</v>
      </c>
      <c r="J591" s="7">
        <v>3909.4996238816993</v>
      </c>
      <c r="K591" s="7">
        <f t="shared" si="70"/>
        <v>62.35246609061722</v>
      </c>
      <c r="L591" s="7">
        <f t="shared" si="71"/>
        <v>234.69540476996983</v>
      </c>
      <c r="M591" s="7">
        <v>680.37424334317575</v>
      </c>
      <c r="N591" s="7">
        <f t="shared" si="72"/>
        <v>54.256319245867289</v>
      </c>
      <c r="O591" s="7">
        <f t="shared" si="73"/>
        <v>20.537914935102574</v>
      </c>
    </row>
    <row r="592" spans="3:15" x14ac:dyDescent="0.2">
      <c r="C592">
        <v>573</v>
      </c>
      <c r="D592" s="7">
        <v>2940.333018499382</v>
      </c>
      <c r="E592" s="7">
        <f t="shared" si="66"/>
        <v>87.928618974263827</v>
      </c>
      <c r="F592" s="7">
        <f t="shared" si="67"/>
        <v>237.43923664274993</v>
      </c>
      <c r="G592">
        <v>0</v>
      </c>
      <c r="H592" s="7">
        <f t="shared" si="68"/>
        <v>0</v>
      </c>
      <c r="I592" s="7">
        <f t="shared" si="69"/>
        <v>0</v>
      </c>
      <c r="J592" s="7">
        <v>4251.0452314940148</v>
      </c>
      <c r="K592" s="7">
        <f t="shared" si="70"/>
        <v>67.799764457639796</v>
      </c>
      <c r="L592" s="7">
        <f t="shared" si="71"/>
        <v>255.19909893489944</v>
      </c>
      <c r="M592" s="7">
        <v>680.37424334317575</v>
      </c>
      <c r="N592" s="7">
        <f t="shared" si="72"/>
        <v>54.256319245867289</v>
      </c>
      <c r="O592" s="7">
        <f t="shared" si="73"/>
        <v>20.537914935102574</v>
      </c>
    </row>
    <row r="593" spans="3:15" x14ac:dyDescent="0.2">
      <c r="C593">
        <v>574</v>
      </c>
      <c r="D593" s="7">
        <v>2941.2374344824166</v>
      </c>
      <c r="E593" s="7">
        <f t="shared" si="66"/>
        <v>87.955664906770835</v>
      </c>
      <c r="F593" s="7">
        <f t="shared" si="67"/>
        <v>237.51227049274863</v>
      </c>
      <c r="G593">
        <v>0</v>
      </c>
      <c r="H593" s="7">
        <f t="shared" si="68"/>
        <v>0</v>
      </c>
      <c r="I593" s="7">
        <f t="shared" si="69"/>
        <v>0</v>
      </c>
      <c r="J593" s="7">
        <v>3359.7796988451319</v>
      </c>
      <c r="K593" s="7">
        <f t="shared" si="70"/>
        <v>53.585003171373721</v>
      </c>
      <c r="L593" s="7">
        <f t="shared" si="71"/>
        <v>201.69457276362846</v>
      </c>
      <c r="M593" s="7">
        <v>680.37424334317575</v>
      </c>
      <c r="N593" s="7">
        <f t="shared" si="72"/>
        <v>54.256319245867289</v>
      </c>
      <c r="O593" s="7">
        <f t="shared" si="73"/>
        <v>20.537914935102574</v>
      </c>
    </row>
    <row r="594" spans="3:15" x14ac:dyDescent="0.2">
      <c r="C594">
        <v>575</v>
      </c>
      <c r="D594" s="7">
        <v>2942.1452692382704</v>
      </c>
      <c r="E594" s="7">
        <f t="shared" si="66"/>
        <v>87.982813075307135</v>
      </c>
      <c r="F594" s="7">
        <f t="shared" si="67"/>
        <v>237.58558041719306</v>
      </c>
      <c r="G594">
        <v>0</v>
      </c>
      <c r="H594" s="7">
        <f t="shared" si="68"/>
        <v>0</v>
      </c>
      <c r="I594" s="7">
        <f t="shared" si="69"/>
        <v>0</v>
      </c>
      <c r="J594" s="7">
        <v>2468.5107474234287</v>
      </c>
      <c r="K594" s="7">
        <f t="shared" si="70"/>
        <v>39.370187359225341</v>
      </c>
      <c r="L594" s="7">
        <f t="shared" si="71"/>
        <v>148.18984135630481</v>
      </c>
      <c r="M594" s="7">
        <v>0</v>
      </c>
      <c r="N594" s="7">
        <f t="shared" si="72"/>
        <v>0</v>
      </c>
      <c r="O594" s="7">
        <f t="shared" si="73"/>
        <v>0</v>
      </c>
    </row>
    <row r="595" spans="3:15" x14ac:dyDescent="0.2">
      <c r="C595">
        <v>576</v>
      </c>
      <c r="D595" s="7">
        <v>2943.0565013543578</v>
      </c>
      <c r="E595" s="7">
        <f t="shared" si="66"/>
        <v>88.010062839544204</v>
      </c>
      <c r="F595" s="7">
        <f t="shared" si="67"/>
        <v>237.65916468696349</v>
      </c>
      <c r="G595">
        <v>0</v>
      </c>
      <c r="H595" s="7">
        <f t="shared" si="68"/>
        <v>0</v>
      </c>
      <c r="I595" s="7">
        <f t="shared" si="69"/>
        <v>0</v>
      </c>
      <c r="J595" s="7">
        <v>1577.2383986414911</v>
      </c>
      <c r="K595" s="7">
        <f t="shared" si="70"/>
        <v>25.155317362703208</v>
      </c>
      <c r="L595" s="7">
        <f t="shared" si="71"/>
        <v>94.684905998370567</v>
      </c>
      <c r="M595" s="7">
        <v>0</v>
      </c>
      <c r="N595" s="7">
        <f t="shared" si="72"/>
        <v>0</v>
      </c>
      <c r="O595" s="7">
        <f t="shared" si="73"/>
        <v>0</v>
      </c>
    </row>
    <row r="596" spans="3:15" x14ac:dyDescent="0.2">
      <c r="C596">
        <v>577</v>
      </c>
      <c r="D596" s="7">
        <v>2910.7959583306606</v>
      </c>
      <c r="E596" s="7">
        <f t="shared" si="66"/>
        <v>87.045333682136985</v>
      </c>
      <c r="F596" s="7">
        <f t="shared" si="67"/>
        <v>235.05404524605862</v>
      </c>
      <c r="G596">
        <v>0</v>
      </c>
      <c r="H596" s="7">
        <f t="shared" si="68"/>
        <v>0</v>
      </c>
      <c r="I596" s="7">
        <f t="shared" si="69"/>
        <v>0</v>
      </c>
      <c r="J596" s="7">
        <v>0</v>
      </c>
      <c r="K596" s="7">
        <f t="shared" si="70"/>
        <v>0</v>
      </c>
      <c r="L596" s="7">
        <f t="shared" si="71"/>
        <v>0</v>
      </c>
      <c r="M596" s="7">
        <v>0</v>
      </c>
      <c r="N596" s="7">
        <f t="shared" si="72"/>
        <v>0</v>
      </c>
      <c r="O596" s="7">
        <f t="shared" si="73"/>
        <v>0</v>
      </c>
    </row>
    <row r="597" spans="3:15" x14ac:dyDescent="0.2">
      <c r="C597">
        <v>578</v>
      </c>
      <c r="D597" s="7">
        <v>2739.5726666641513</v>
      </c>
      <c r="E597" s="7">
        <f t="shared" ref="E597:E660" si="74">D597/($C$3*($D$8-$D$6))</f>
        <v>81.925019936128933</v>
      </c>
      <c r="F597" s="7">
        <f t="shared" ref="F597:F660" si="75">E597*$C$3*((($D$8)-($D$6))-$C$2*LN(($D$8)/($D$6)))</f>
        <v>221.22733670217281</v>
      </c>
      <c r="G597">
        <v>0</v>
      </c>
      <c r="H597" s="7">
        <f t="shared" ref="H597:H660" si="76">G597/($C$3*($D$6-$D$9))</f>
        <v>0</v>
      </c>
      <c r="I597" s="7">
        <f t="shared" ref="I597:I660" si="77">ABS(H597*$C$3*(($D$9-$D$6)-$C$2*(LN($D$9/$D$6))))</f>
        <v>0</v>
      </c>
      <c r="J597" s="7">
        <v>0</v>
      </c>
      <c r="K597" s="7">
        <f t="shared" ref="K597:K660" si="78">J597/($C$3*($D$10-$D$7))</f>
        <v>0</v>
      </c>
      <c r="L597" s="7">
        <f t="shared" ref="L597:L660" si="79">K597*$C$3*(($D$10-$D$7)-$C$2*LN($D$10/$D$7))</f>
        <v>0</v>
      </c>
      <c r="M597" s="7">
        <v>0</v>
      </c>
      <c r="N597" s="7">
        <f t="shared" ref="N597:N660" si="80">M597/($C$3*($D$7-$D$11))</f>
        <v>0</v>
      </c>
      <c r="O597" s="7">
        <f t="shared" ref="O597:O660" si="81">ABS(N597*$C$3*(($D$11-$D$7)-$C$2*LN($D$11/$D$7)))</f>
        <v>0</v>
      </c>
    </row>
    <row r="598" spans="3:15" x14ac:dyDescent="0.2">
      <c r="C598">
        <v>579</v>
      </c>
      <c r="D598" s="7">
        <v>2910.7959583306606</v>
      </c>
      <c r="E598" s="7">
        <f t="shared" si="74"/>
        <v>87.045333682136985</v>
      </c>
      <c r="F598" s="7">
        <f t="shared" si="75"/>
        <v>235.05404524605862</v>
      </c>
      <c r="G598">
        <v>0</v>
      </c>
      <c r="H598" s="7">
        <f t="shared" si="76"/>
        <v>0</v>
      </c>
      <c r="I598" s="7">
        <f t="shared" si="77"/>
        <v>0</v>
      </c>
      <c r="J598" s="7">
        <v>0</v>
      </c>
      <c r="K598" s="7">
        <f t="shared" si="78"/>
        <v>0</v>
      </c>
      <c r="L598" s="7">
        <f t="shared" si="79"/>
        <v>0</v>
      </c>
      <c r="M598" s="7">
        <v>0</v>
      </c>
      <c r="N598" s="7">
        <f t="shared" si="80"/>
        <v>0</v>
      </c>
      <c r="O598" s="7">
        <f t="shared" si="81"/>
        <v>0</v>
      </c>
    </row>
    <row r="599" spans="3:15" x14ac:dyDescent="0.2">
      <c r="C599">
        <v>580</v>
      </c>
      <c r="D599" s="7">
        <v>2947.2782650497115</v>
      </c>
      <c r="E599" s="7">
        <f t="shared" si="74"/>
        <v>88.136311753878942</v>
      </c>
      <c r="F599" s="7">
        <f t="shared" si="75"/>
        <v>238.00008265197087</v>
      </c>
      <c r="G599">
        <v>0</v>
      </c>
      <c r="H599" s="7">
        <f t="shared" si="76"/>
        <v>0</v>
      </c>
      <c r="I599" s="7">
        <f t="shared" si="77"/>
        <v>0</v>
      </c>
      <c r="J599" s="7">
        <v>134.74098494745886</v>
      </c>
      <c r="K599" s="7">
        <f t="shared" si="78"/>
        <v>2.1489790262752608</v>
      </c>
      <c r="L599" s="7">
        <f t="shared" si="79"/>
        <v>8.0887819525993567</v>
      </c>
      <c r="M599" s="7">
        <v>0</v>
      </c>
      <c r="N599" s="7">
        <f t="shared" si="80"/>
        <v>0</v>
      </c>
      <c r="O599" s="7">
        <f t="shared" si="81"/>
        <v>0</v>
      </c>
    </row>
    <row r="600" spans="3:15" x14ac:dyDescent="0.2">
      <c r="C600">
        <v>581</v>
      </c>
      <c r="D600" s="7">
        <v>2948.2036660101799</v>
      </c>
      <c r="E600" s="7">
        <f t="shared" si="74"/>
        <v>88.163985227577157</v>
      </c>
      <c r="F600" s="7">
        <f t="shared" si="75"/>
        <v>238.07481109132098</v>
      </c>
      <c r="G600">
        <v>0</v>
      </c>
      <c r="H600" s="7">
        <f t="shared" si="76"/>
        <v>0</v>
      </c>
      <c r="I600" s="7">
        <f t="shared" si="77"/>
        <v>0</v>
      </c>
      <c r="J600" s="7">
        <v>476.26216732000921</v>
      </c>
      <c r="K600" s="7">
        <f t="shared" si="78"/>
        <v>7.5958878360448043</v>
      </c>
      <c r="L600" s="7">
        <f t="shared" si="79"/>
        <v>28.5910098195152</v>
      </c>
      <c r="M600" s="7">
        <v>0</v>
      </c>
      <c r="N600" s="7">
        <f t="shared" si="80"/>
        <v>0</v>
      </c>
      <c r="O600" s="7">
        <f t="shared" si="81"/>
        <v>0</v>
      </c>
    </row>
    <row r="601" spans="3:15" x14ac:dyDescent="0.2">
      <c r="C601">
        <v>582</v>
      </c>
      <c r="D601" s="7">
        <v>2949.1323455000647</v>
      </c>
      <c r="E601" s="7">
        <f t="shared" si="74"/>
        <v>88.191756743422999</v>
      </c>
      <c r="F601" s="7">
        <f t="shared" si="75"/>
        <v>238.14980428011177</v>
      </c>
      <c r="G601">
        <v>0</v>
      </c>
      <c r="H601" s="7">
        <f t="shared" si="76"/>
        <v>0</v>
      </c>
      <c r="I601" s="7">
        <f t="shared" si="77"/>
        <v>0</v>
      </c>
      <c r="J601" s="7">
        <v>703.63121005213634</v>
      </c>
      <c r="K601" s="7">
        <f t="shared" si="78"/>
        <v>11.2221883580883</v>
      </c>
      <c r="L601" s="7">
        <f t="shared" si="79"/>
        <v>42.240446998177497</v>
      </c>
      <c r="M601" s="7">
        <v>0</v>
      </c>
      <c r="N601" s="7">
        <f t="shared" si="80"/>
        <v>0</v>
      </c>
      <c r="O601" s="7">
        <f t="shared" si="81"/>
        <v>0</v>
      </c>
    </row>
    <row r="602" spans="3:15" x14ac:dyDescent="0.2">
      <c r="C602">
        <v>583</v>
      </c>
      <c r="D602" s="7">
        <v>2950.0642826180251</v>
      </c>
      <c r="E602" s="7">
        <f t="shared" si="74"/>
        <v>88.219625676376353</v>
      </c>
      <c r="F602" s="7">
        <f t="shared" si="75"/>
        <v>238.22506053050768</v>
      </c>
      <c r="G602">
        <v>0</v>
      </c>
      <c r="H602" s="7">
        <f t="shared" si="76"/>
        <v>0</v>
      </c>
      <c r="I602" s="7">
        <f t="shared" si="77"/>
        <v>0</v>
      </c>
      <c r="J602" s="7">
        <v>930.99699515618886</v>
      </c>
      <c r="K602" s="7">
        <f t="shared" si="78"/>
        <v>14.848436924341131</v>
      </c>
      <c r="L602" s="7">
        <f t="shared" si="79"/>
        <v>55.889688614641791</v>
      </c>
      <c r="M602" s="7">
        <v>680.37424334317575</v>
      </c>
      <c r="N602" s="7">
        <f t="shared" si="80"/>
        <v>54.256319245867289</v>
      </c>
      <c r="O602" s="7">
        <f t="shared" si="81"/>
        <v>20.537914935102574</v>
      </c>
    </row>
    <row r="603" spans="3:15" x14ac:dyDescent="0.2">
      <c r="C603">
        <v>584</v>
      </c>
      <c r="D603" s="7">
        <v>2950.999456537957</v>
      </c>
      <c r="E603" s="7">
        <f t="shared" si="74"/>
        <v>88.24759140364705</v>
      </c>
      <c r="F603" s="7">
        <f t="shared" si="75"/>
        <v>238.30057816074881</v>
      </c>
      <c r="G603">
        <v>0</v>
      </c>
      <c r="H603" s="7">
        <f t="shared" si="76"/>
        <v>0</v>
      </c>
      <c r="I603" s="7">
        <f t="shared" si="77"/>
        <v>0</v>
      </c>
      <c r="J603" s="7">
        <v>1158.3595434582689</v>
      </c>
      <c r="K603" s="7">
        <f t="shared" si="78"/>
        <v>18.47463386695804</v>
      </c>
      <c r="L603" s="7">
        <f t="shared" si="79"/>
        <v>69.538735919142368</v>
      </c>
      <c r="M603" s="7">
        <v>680.37424334317575</v>
      </c>
      <c r="N603" s="7">
        <f t="shared" si="80"/>
        <v>54.256319245867289</v>
      </c>
      <c r="O603" s="7">
        <f t="shared" si="81"/>
        <v>20.537914935102574</v>
      </c>
    </row>
    <row r="604" spans="3:15" x14ac:dyDescent="0.2">
      <c r="C604">
        <v>585</v>
      </c>
      <c r="D604" s="7">
        <v>2951.937846508788</v>
      </c>
      <c r="E604" s="7">
        <f t="shared" si="74"/>
        <v>88.275653304688646</v>
      </c>
      <c r="F604" s="7">
        <f t="shared" si="75"/>
        <v>238.37635549513422</v>
      </c>
      <c r="G604">
        <v>0</v>
      </c>
      <c r="H604" s="7">
        <f t="shared" si="76"/>
        <v>0</v>
      </c>
      <c r="I604" s="7">
        <f t="shared" si="77"/>
        <v>0</v>
      </c>
      <c r="J604" s="7">
        <v>1385.7188757094514</v>
      </c>
      <c r="K604" s="7">
        <f t="shared" si="78"/>
        <v>22.100779516897152</v>
      </c>
      <c r="L604" s="7">
        <f t="shared" si="79"/>
        <v>83.187590157409446</v>
      </c>
      <c r="M604" s="7">
        <v>680.37424334317575</v>
      </c>
      <c r="N604" s="7">
        <f t="shared" si="80"/>
        <v>54.256319245867289</v>
      </c>
      <c r="O604" s="7">
        <f t="shared" si="81"/>
        <v>20.537914935102574</v>
      </c>
    </row>
    <row r="605" spans="3:15" x14ac:dyDescent="0.2">
      <c r="C605">
        <v>586</v>
      </c>
      <c r="D605" s="7">
        <v>2952.8794318542568</v>
      </c>
      <c r="E605" s="7">
        <f t="shared" si="74"/>
        <v>88.303810761191897</v>
      </c>
      <c r="F605" s="7">
        <f t="shared" si="75"/>
        <v>238.4523908640042</v>
      </c>
      <c r="G605">
        <v>0</v>
      </c>
      <c r="H605" s="7">
        <f t="shared" si="76"/>
        <v>0</v>
      </c>
      <c r="I605" s="7">
        <f t="shared" si="77"/>
        <v>0</v>
      </c>
      <c r="J605" s="7">
        <v>1613.075012585995</v>
      </c>
      <c r="K605" s="7">
        <f t="shared" si="78"/>
        <v>25.726874203923366</v>
      </c>
      <c r="L605" s="7">
        <f t="shared" si="79"/>
        <v>96.836252570681921</v>
      </c>
      <c r="M605" s="7">
        <v>680.37424334317575</v>
      </c>
      <c r="N605" s="7">
        <f t="shared" si="80"/>
        <v>54.256319245867289</v>
      </c>
      <c r="O605" s="7">
        <f t="shared" si="81"/>
        <v>20.537914935102574</v>
      </c>
    </row>
    <row r="606" spans="3:15" x14ac:dyDescent="0.2">
      <c r="C606">
        <v>587</v>
      </c>
      <c r="D606" s="7">
        <v>2953.8241919727038</v>
      </c>
      <c r="E606" s="7">
        <f t="shared" si="74"/>
        <v>88.332063157078466</v>
      </c>
      <c r="F606" s="7">
        <f t="shared" si="75"/>
        <v>238.52868260372321</v>
      </c>
      <c r="G606">
        <v>0</v>
      </c>
      <c r="H606" s="7">
        <f t="shared" si="76"/>
        <v>0</v>
      </c>
      <c r="I606" s="7">
        <f t="shared" si="77"/>
        <v>0</v>
      </c>
      <c r="J606" s="7">
        <v>1840.4279746895604</v>
      </c>
      <c r="K606" s="7">
        <f t="shared" si="78"/>
        <v>29.352918256611812</v>
      </c>
      <c r="L606" s="7">
        <f t="shared" si="79"/>
        <v>110.48472439572041</v>
      </c>
      <c r="M606" s="7">
        <v>680.37424334317575</v>
      </c>
      <c r="N606" s="7">
        <f t="shared" si="80"/>
        <v>54.256319245867289</v>
      </c>
      <c r="O606" s="7">
        <f t="shared" si="81"/>
        <v>20.537914935102574</v>
      </c>
    </row>
    <row r="607" spans="3:15" x14ac:dyDescent="0.2">
      <c r="C607">
        <v>588</v>
      </c>
      <c r="D607" s="7">
        <v>2954.7721063368604</v>
      </c>
      <c r="E607" s="7">
        <f t="shared" si="74"/>
        <v>88.360409878494636</v>
      </c>
      <c r="F607" s="7">
        <f t="shared" si="75"/>
        <v>238.60522905666303</v>
      </c>
      <c r="G607">
        <v>0</v>
      </c>
      <c r="H607" s="7">
        <f t="shared" si="76"/>
        <v>0</v>
      </c>
      <c r="I607" s="7">
        <f t="shared" si="77"/>
        <v>0</v>
      </c>
      <c r="J607" s="7">
        <v>2067.7777825474163</v>
      </c>
      <c r="K607" s="7">
        <f t="shared" si="78"/>
        <v>32.978912002351137</v>
      </c>
      <c r="L607" s="7">
        <f t="shared" si="79"/>
        <v>124.13300686481955</v>
      </c>
      <c r="M607" s="7">
        <v>680.37424334317575</v>
      </c>
      <c r="N607" s="7">
        <f t="shared" si="80"/>
        <v>54.256319245867289</v>
      </c>
      <c r="O607" s="7">
        <f t="shared" si="81"/>
        <v>20.537914935102574</v>
      </c>
    </row>
    <row r="608" spans="3:15" x14ac:dyDescent="0.2">
      <c r="C608">
        <v>589</v>
      </c>
      <c r="D608" s="7">
        <v>2955.7231544936312</v>
      </c>
      <c r="E608" s="7">
        <f t="shared" si="74"/>
        <v>88.388850313804767</v>
      </c>
      <c r="F608" s="7">
        <f t="shared" si="75"/>
        <v>238.68202857118519</v>
      </c>
      <c r="G608">
        <v>0</v>
      </c>
      <c r="H608" s="7">
        <f t="shared" si="76"/>
        <v>0</v>
      </c>
      <c r="I608" s="7">
        <f t="shared" si="77"/>
        <v>0</v>
      </c>
      <c r="J608" s="7">
        <v>2295.1244566126579</v>
      </c>
      <c r="K608" s="7">
        <f t="shared" si="78"/>
        <v>36.604855767347019</v>
      </c>
      <c r="L608" s="7">
        <f t="shared" si="79"/>
        <v>137.7811012058213</v>
      </c>
      <c r="M608" s="7">
        <v>680.37424334317575</v>
      </c>
      <c r="N608" s="7">
        <f t="shared" si="80"/>
        <v>54.256319245867289</v>
      </c>
      <c r="O608" s="7">
        <f t="shared" si="81"/>
        <v>20.537914935102574</v>
      </c>
    </row>
    <row r="609" spans="3:15" x14ac:dyDescent="0.2">
      <c r="C609">
        <v>590</v>
      </c>
      <c r="D609" s="7">
        <v>2956.677316063895</v>
      </c>
      <c r="E609" s="7">
        <f t="shared" si="74"/>
        <v>88.417383853585378</v>
      </c>
      <c r="F609" s="7">
        <f t="shared" si="75"/>
        <v>238.75907950162465</v>
      </c>
      <c r="G609">
        <v>0</v>
      </c>
      <c r="H609" s="7">
        <f t="shared" si="76"/>
        <v>0</v>
      </c>
      <c r="I609" s="7">
        <f t="shared" si="77"/>
        <v>0</v>
      </c>
      <c r="J609" s="7">
        <v>2522.4680172644075</v>
      </c>
      <c r="K609" s="7">
        <f t="shared" si="78"/>
        <v>40.230749876625325</v>
      </c>
      <c r="L609" s="7">
        <f t="shared" si="79"/>
        <v>151.42900864212683</v>
      </c>
      <c r="M609" s="7">
        <v>680.37424334317575</v>
      </c>
      <c r="N609" s="7">
        <f t="shared" si="80"/>
        <v>54.256319245867289</v>
      </c>
      <c r="O609" s="7">
        <f t="shared" si="81"/>
        <v>20.537914935102574</v>
      </c>
    </row>
    <row r="610" spans="3:15" x14ac:dyDescent="0.2">
      <c r="C610">
        <v>591</v>
      </c>
      <c r="D610" s="7">
        <v>2957.6345707422893</v>
      </c>
      <c r="E610" s="7">
        <f t="shared" si="74"/>
        <v>88.446009890618711</v>
      </c>
      <c r="F610" s="7">
        <f t="shared" si="75"/>
        <v>238.83638020827274</v>
      </c>
      <c r="G610">
        <v>0</v>
      </c>
      <c r="H610" s="7">
        <f t="shared" si="76"/>
        <v>0</v>
      </c>
      <c r="I610" s="7">
        <f t="shared" si="77"/>
        <v>0</v>
      </c>
      <c r="J610" s="7">
        <v>2350.2874709195025</v>
      </c>
      <c r="K610" s="7">
        <f t="shared" si="78"/>
        <v>37.484648659003234</v>
      </c>
      <c r="L610" s="7">
        <f t="shared" si="79"/>
        <v>141.09265184314359</v>
      </c>
      <c r="M610" s="7">
        <v>680.37424334317575</v>
      </c>
      <c r="N610" s="7">
        <f t="shared" si="80"/>
        <v>54.256319245867289</v>
      </c>
      <c r="O610" s="7">
        <f t="shared" si="81"/>
        <v>20.537914935102574</v>
      </c>
    </row>
    <row r="611" spans="3:15" x14ac:dyDescent="0.2">
      <c r="C611">
        <v>592</v>
      </c>
      <c r="D611" s="7">
        <v>2958.5948982969876</v>
      </c>
      <c r="E611" s="7">
        <f t="shared" si="74"/>
        <v>88.474727819885999</v>
      </c>
      <c r="F611" s="7">
        <f t="shared" si="75"/>
        <v>238.91392905735884</v>
      </c>
      <c r="G611">
        <v>0</v>
      </c>
      <c r="H611" s="7">
        <f t="shared" si="76"/>
        <v>0</v>
      </c>
      <c r="I611" s="7">
        <f t="shared" si="77"/>
        <v>0</v>
      </c>
      <c r="J611" s="7">
        <v>2748.8481572533274</v>
      </c>
      <c r="K611" s="7">
        <f t="shared" si="78"/>
        <v>43.841278425092945</v>
      </c>
      <c r="L611" s="7">
        <f t="shared" si="79"/>
        <v>165.01907992951817</v>
      </c>
      <c r="M611" s="7">
        <v>680.37424334317575</v>
      </c>
      <c r="N611" s="7">
        <f t="shared" si="80"/>
        <v>54.256319245867289</v>
      </c>
      <c r="O611" s="7">
        <f t="shared" si="81"/>
        <v>20.537914935102574</v>
      </c>
    </row>
    <row r="612" spans="3:15" x14ac:dyDescent="0.2">
      <c r="C612">
        <v>593</v>
      </c>
      <c r="D612" s="7">
        <v>2959.5582785695133</v>
      </c>
      <c r="E612" s="7">
        <f t="shared" si="74"/>
        <v>88.503537038562001</v>
      </c>
      <c r="F612" s="7">
        <f t="shared" si="75"/>
        <v>238.99172442103568</v>
      </c>
      <c r="G612">
        <v>0</v>
      </c>
      <c r="H612" s="7">
        <f t="shared" si="76"/>
        <v>0</v>
      </c>
      <c r="I612" s="7">
        <f t="shared" si="77"/>
        <v>0</v>
      </c>
      <c r="J612" s="7">
        <v>3147.4057908693239</v>
      </c>
      <c r="K612" s="7">
        <f t="shared" si="78"/>
        <v>50.197859503497995</v>
      </c>
      <c r="L612" s="7">
        <f t="shared" si="79"/>
        <v>188.94532475488361</v>
      </c>
      <c r="M612" s="7">
        <v>680.37424334317575</v>
      </c>
      <c r="N612" s="7">
        <f t="shared" si="80"/>
        <v>54.256319245867289</v>
      </c>
      <c r="O612" s="7">
        <f t="shared" si="81"/>
        <v>20.537914935102574</v>
      </c>
    </row>
    <row r="613" spans="3:15" x14ac:dyDescent="0.2">
      <c r="C613">
        <v>594</v>
      </c>
      <c r="D613" s="7">
        <v>2960.5246914745153</v>
      </c>
      <c r="E613" s="7">
        <f t="shared" si="74"/>
        <v>88.532436946008232</v>
      </c>
      <c r="F613" s="7">
        <f t="shared" si="75"/>
        <v>239.06976467736095</v>
      </c>
      <c r="G613">
        <v>0</v>
      </c>
      <c r="H613" s="7">
        <f t="shared" si="76"/>
        <v>0</v>
      </c>
      <c r="I613" s="7">
        <f t="shared" si="77"/>
        <v>0</v>
      </c>
      <c r="J613" s="7">
        <v>3545.9603918528433</v>
      </c>
      <c r="K613" s="7">
        <f t="shared" si="78"/>
        <v>56.554392214558909</v>
      </c>
      <c r="L613" s="7">
        <f t="shared" si="79"/>
        <v>212.87138752500536</v>
      </c>
      <c r="M613" s="7">
        <v>680.37424334317575</v>
      </c>
      <c r="N613" s="7">
        <f t="shared" si="80"/>
        <v>54.256319245867289</v>
      </c>
      <c r="O613" s="7">
        <f t="shared" si="81"/>
        <v>20.537914935102574</v>
      </c>
    </row>
    <row r="614" spans="3:15" x14ac:dyDescent="0.2">
      <c r="C614">
        <v>595</v>
      </c>
      <c r="D614" s="7">
        <v>2961.4941169995614</v>
      </c>
      <c r="E614" s="7">
        <f t="shared" si="74"/>
        <v>88.56142694376679</v>
      </c>
      <c r="F614" s="7">
        <f t="shared" si="75"/>
        <v>239.14804821028079</v>
      </c>
      <c r="G614">
        <v>0</v>
      </c>
      <c r="H614" s="7">
        <f t="shared" si="76"/>
        <v>0</v>
      </c>
      <c r="I614" s="7">
        <f t="shared" si="77"/>
        <v>0</v>
      </c>
      <c r="J614" s="7">
        <v>3074.1269142448969</v>
      </c>
      <c r="K614" s="7">
        <f t="shared" si="78"/>
        <v>49.029137388275871</v>
      </c>
      <c r="L614" s="7">
        <f t="shared" si="79"/>
        <v>184.54624117257526</v>
      </c>
      <c r="M614" s="7">
        <v>680.37424334317575</v>
      </c>
      <c r="N614" s="7">
        <f t="shared" si="80"/>
        <v>54.256319245867289</v>
      </c>
      <c r="O614" s="7">
        <f t="shared" si="81"/>
        <v>20.537914935102574</v>
      </c>
    </row>
    <row r="615" spans="3:15" x14ac:dyDescent="0.2">
      <c r="C615">
        <v>596</v>
      </c>
      <c r="D615" s="7">
        <v>2962.4665352049351</v>
      </c>
      <c r="E615" s="7">
        <f t="shared" si="74"/>
        <v>88.590506435554289</v>
      </c>
      <c r="F615" s="7">
        <f t="shared" si="75"/>
        <v>239.22657340961325</v>
      </c>
      <c r="G615">
        <v>0</v>
      </c>
      <c r="H615" s="7">
        <f t="shared" si="76"/>
        <v>0</v>
      </c>
      <c r="I615" s="7">
        <f t="shared" si="77"/>
        <v>0</v>
      </c>
      <c r="J615" s="7">
        <v>2602.2904439566219</v>
      </c>
      <c r="K615" s="7">
        <f t="shared" si="78"/>
        <v>41.503834831844053</v>
      </c>
      <c r="L615" s="7">
        <f t="shared" si="79"/>
        <v>156.22091516331218</v>
      </c>
      <c r="M615" s="7">
        <v>680.37424334317575</v>
      </c>
      <c r="N615" s="7">
        <f t="shared" si="80"/>
        <v>54.256319245867289</v>
      </c>
      <c r="O615" s="7">
        <f t="shared" si="81"/>
        <v>20.537914935102574</v>
      </c>
    </row>
    <row r="616" spans="3:15" x14ac:dyDescent="0.2">
      <c r="C616">
        <v>597</v>
      </c>
      <c r="D616" s="7">
        <v>2963.4419262234251</v>
      </c>
      <c r="E616" s="7">
        <f t="shared" si="74"/>
        <v>88.619674827255537</v>
      </c>
      <c r="F616" s="7">
        <f t="shared" si="75"/>
        <v>239.30533867103136</v>
      </c>
      <c r="G616">
        <v>0</v>
      </c>
      <c r="H616" s="7">
        <f t="shared" si="76"/>
        <v>0</v>
      </c>
      <c r="I616" s="7">
        <f t="shared" si="77"/>
        <v>0</v>
      </c>
      <c r="J616" s="7">
        <v>2130.4510008552306</v>
      </c>
      <c r="K616" s="7">
        <f t="shared" si="78"/>
        <v>33.978484862124894</v>
      </c>
      <c r="L616" s="7">
        <f t="shared" si="79"/>
        <v>127.89541068988622</v>
      </c>
      <c r="M616" s="7">
        <v>680.37424334317575</v>
      </c>
      <c r="N616" s="7">
        <f t="shared" si="80"/>
        <v>54.256319245867289</v>
      </c>
      <c r="O616" s="7">
        <f t="shared" si="81"/>
        <v>20.537914935102574</v>
      </c>
    </row>
    <row r="617" spans="3:15" x14ac:dyDescent="0.2">
      <c r="C617">
        <v>598</v>
      </c>
      <c r="D617" s="7">
        <v>2964.4202702601156</v>
      </c>
      <c r="E617" s="7">
        <f t="shared" si="74"/>
        <v>88.648931526917337</v>
      </c>
      <c r="F617" s="7">
        <f t="shared" si="75"/>
        <v>239.38434239604626</v>
      </c>
      <c r="G617">
        <v>0</v>
      </c>
      <c r="H617" s="7">
        <f t="shared" si="76"/>
        <v>0</v>
      </c>
      <c r="I617" s="7">
        <f t="shared" si="77"/>
        <v>0</v>
      </c>
      <c r="J617" s="7">
        <v>1658.6086047356398</v>
      </c>
      <c r="K617" s="7">
        <f t="shared" si="78"/>
        <v>26.453087794826793</v>
      </c>
      <c r="L617" s="7">
        <f t="shared" si="79"/>
        <v>99.569728940627471</v>
      </c>
      <c r="M617" s="7">
        <v>680.37424334317575</v>
      </c>
      <c r="N617" s="7">
        <f t="shared" si="80"/>
        <v>54.256319245867289</v>
      </c>
      <c r="O617" s="7">
        <f t="shared" si="81"/>
        <v>20.537914935102574</v>
      </c>
    </row>
    <row r="618" spans="3:15" x14ac:dyDescent="0.2">
      <c r="C618">
        <v>599</v>
      </c>
      <c r="D618" s="7">
        <v>2965.4015475921879</v>
      </c>
      <c r="E618" s="7">
        <f t="shared" si="74"/>
        <v>88.678275944742467</v>
      </c>
      <c r="F618" s="7">
        <f t="shared" si="75"/>
        <v>239.46358299199107</v>
      </c>
      <c r="G618">
        <v>0</v>
      </c>
      <c r="H618" s="7">
        <f t="shared" si="76"/>
        <v>0</v>
      </c>
      <c r="I618" s="7">
        <f t="shared" si="77"/>
        <v>0</v>
      </c>
      <c r="J618" s="7">
        <v>1186.7632753206663</v>
      </c>
      <c r="K618" s="7">
        <f t="shared" si="78"/>
        <v>18.927643944508237</v>
      </c>
      <c r="L618" s="7">
        <f t="shared" si="79"/>
        <v>71.243871099537714</v>
      </c>
      <c r="M618" s="7">
        <v>0</v>
      </c>
      <c r="N618" s="7">
        <f t="shared" si="80"/>
        <v>0</v>
      </c>
      <c r="O618" s="7">
        <f t="shared" si="81"/>
        <v>0</v>
      </c>
    </row>
    <row r="619" spans="3:15" x14ac:dyDescent="0.2">
      <c r="C619">
        <v>600</v>
      </c>
      <c r="D619" s="7">
        <v>2966.3857385687102</v>
      </c>
      <c r="E619" s="7">
        <f t="shared" si="74"/>
        <v>88.707707493083447</v>
      </c>
      <c r="F619" s="7">
        <f t="shared" si="75"/>
        <v>239.54305887200394</v>
      </c>
      <c r="G619">
        <v>0</v>
      </c>
      <c r="H619" s="7">
        <f t="shared" si="76"/>
        <v>0</v>
      </c>
      <c r="I619" s="7">
        <f t="shared" si="77"/>
        <v>0</v>
      </c>
      <c r="J619" s="7">
        <v>458.0800947614789</v>
      </c>
      <c r="K619" s="7">
        <f t="shared" si="78"/>
        <v>7.3059026277747838</v>
      </c>
      <c r="L619" s="7">
        <f t="shared" si="79"/>
        <v>27.499502135868379</v>
      </c>
      <c r="M619" s="7">
        <v>0</v>
      </c>
      <c r="N619" s="7">
        <f t="shared" si="80"/>
        <v>0</v>
      </c>
      <c r="O619" s="7">
        <f t="shared" si="81"/>
        <v>0</v>
      </c>
    </row>
    <row r="620" spans="3:15" x14ac:dyDescent="0.2">
      <c r="C620">
        <v>601</v>
      </c>
      <c r="D620" s="7">
        <v>2910.7959583306606</v>
      </c>
      <c r="E620" s="7">
        <f t="shared" si="74"/>
        <v>87.045333682136985</v>
      </c>
      <c r="F620" s="7">
        <f t="shared" si="75"/>
        <v>235.05404524605862</v>
      </c>
      <c r="G620">
        <v>0</v>
      </c>
      <c r="H620" s="7">
        <f t="shared" si="76"/>
        <v>0</v>
      </c>
      <c r="I620" s="7">
        <f t="shared" si="77"/>
        <v>0</v>
      </c>
      <c r="J620" s="7">
        <v>0</v>
      </c>
      <c r="K620" s="7">
        <f t="shared" si="78"/>
        <v>0</v>
      </c>
      <c r="L620" s="7">
        <f t="shared" si="79"/>
        <v>0</v>
      </c>
      <c r="M620" s="7">
        <v>0</v>
      </c>
      <c r="N620" s="7">
        <f t="shared" si="80"/>
        <v>0</v>
      </c>
      <c r="O620" s="7">
        <f t="shared" si="81"/>
        <v>0</v>
      </c>
    </row>
    <row r="621" spans="3:15" x14ac:dyDescent="0.2">
      <c r="C621">
        <v>602</v>
      </c>
      <c r="D621" s="7">
        <v>2739.5726666641513</v>
      </c>
      <c r="E621" s="7">
        <f t="shared" si="74"/>
        <v>81.925019936128933</v>
      </c>
      <c r="F621" s="7">
        <f t="shared" si="75"/>
        <v>221.22733670217281</v>
      </c>
      <c r="G621">
        <v>0</v>
      </c>
      <c r="H621" s="7">
        <f t="shared" si="76"/>
        <v>0</v>
      </c>
      <c r="I621" s="7">
        <f t="shared" si="77"/>
        <v>0</v>
      </c>
      <c r="J621" s="7">
        <v>0</v>
      </c>
      <c r="K621" s="7">
        <f t="shared" si="78"/>
        <v>0</v>
      </c>
      <c r="L621" s="7">
        <f t="shared" si="79"/>
        <v>0</v>
      </c>
      <c r="M621" s="7">
        <v>0</v>
      </c>
      <c r="N621" s="7">
        <f t="shared" si="80"/>
        <v>0</v>
      </c>
      <c r="O621" s="7">
        <f t="shared" si="81"/>
        <v>0</v>
      </c>
    </row>
    <row r="622" spans="3:15" x14ac:dyDescent="0.2">
      <c r="C622">
        <v>603</v>
      </c>
      <c r="D622" s="7">
        <v>2910.7959583306606</v>
      </c>
      <c r="E622" s="7">
        <f t="shared" si="74"/>
        <v>87.045333682136985</v>
      </c>
      <c r="F622" s="7">
        <f t="shared" si="75"/>
        <v>235.05404524605862</v>
      </c>
      <c r="G622">
        <v>0</v>
      </c>
      <c r="H622" s="7">
        <f t="shared" si="76"/>
        <v>0</v>
      </c>
      <c r="I622" s="7">
        <f t="shared" si="77"/>
        <v>0</v>
      </c>
      <c r="J622" s="7">
        <v>0</v>
      </c>
      <c r="K622" s="7">
        <f t="shared" si="78"/>
        <v>0</v>
      </c>
      <c r="L622" s="7">
        <f t="shared" si="79"/>
        <v>0</v>
      </c>
      <c r="M622" s="7">
        <v>0</v>
      </c>
      <c r="N622" s="7">
        <f t="shared" si="80"/>
        <v>0</v>
      </c>
      <c r="O622" s="7">
        <f t="shared" si="81"/>
        <v>0</v>
      </c>
    </row>
    <row r="623" spans="3:15" x14ac:dyDescent="0.2">
      <c r="C623">
        <v>604</v>
      </c>
      <c r="D623" s="7">
        <v>2971.0212387813831</v>
      </c>
      <c r="E623" s="7">
        <f t="shared" si="74"/>
        <v>88.84632891092653</v>
      </c>
      <c r="F623" s="7">
        <f t="shared" si="75"/>
        <v>239.9173870943616</v>
      </c>
      <c r="G623">
        <v>0</v>
      </c>
      <c r="H623" s="7">
        <f t="shared" si="76"/>
        <v>0</v>
      </c>
      <c r="I623" s="7">
        <f t="shared" si="77"/>
        <v>0</v>
      </c>
      <c r="J623" s="7">
        <v>110.9980112157873</v>
      </c>
      <c r="K623" s="7">
        <f t="shared" si="78"/>
        <v>1.7703032091832107</v>
      </c>
      <c r="L623" s="7">
        <f t="shared" si="79"/>
        <v>6.6634417897923655</v>
      </c>
      <c r="M623" s="7">
        <v>0</v>
      </c>
      <c r="N623" s="7">
        <f t="shared" si="80"/>
        <v>0</v>
      </c>
      <c r="O623" s="7">
        <f t="shared" si="81"/>
        <v>0</v>
      </c>
    </row>
    <row r="624" spans="3:15" x14ac:dyDescent="0.2">
      <c r="C624">
        <v>605</v>
      </c>
      <c r="D624" s="7">
        <v>2972.0166234093035</v>
      </c>
      <c r="E624" s="7">
        <f t="shared" si="74"/>
        <v>88.876095197646649</v>
      </c>
      <c r="F624" s="7">
        <f t="shared" si="75"/>
        <v>239.99776688968831</v>
      </c>
      <c r="G624">
        <v>0</v>
      </c>
      <c r="H624" s="7">
        <f t="shared" si="76"/>
        <v>0</v>
      </c>
      <c r="I624" s="7">
        <f t="shared" si="77"/>
        <v>0</v>
      </c>
      <c r="J624" s="7">
        <v>421.31770234515625</v>
      </c>
      <c r="K624" s="7">
        <f t="shared" si="78"/>
        <v>6.7195805796675643</v>
      </c>
      <c r="L624" s="7">
        <f t="shared" si="79"/>
        <v>25.292579153766976</v>
      </c>
      <c r="M624" s="7">
        <v>0</v>
      </c>
      <c r="N624" s="7">
        <f t="shared" si="80"/>
        <v>0</v>
      </c>
      <c r="O624" s="7">
        <f t="shared" si="81"/>
        <v>0</v>
      </c>
    </row>
    <row r="625" spans="3:15" x14ac:dyDescent="0.2">
      <c r="C625">
        <v>606</v>
      </c>
      <c r="D625" s="7">
        <v>2973.0148151910025</v>
      </c>
      <c r="E625" s="7">
        <f t="shared" si="74"/>
        <v>88.905945430352958</v>
      </c>
      <c r="F625" s="7">
        <f t="shared" si="75"/>
        <v>240.07837336969533</v>
      </c>
      <c r="G625">
        <v>0</v>
      </c>
      <c r="H625" s="7">
        <f t="shared" si="76"/>
        <v>0</v>
      </c>
      <c r="I625" s="7">
        <f t="shared" si="77"/>
        <v>0</v>
      </c>
      <c r="J625" s="7">
        <v>638.24006359356008</v>
      </c>
      <c r="K625" s="7">
        <f t="shared" si="78"/>
        <v>10.179267361938757</v>
      </c>
      <c r="L625" s="7">
        <f t="shared" si="79"/>
        <v>38.314880285568364</v>
      </c>
      <c r="M625" s="7">
        <v>0</v>
      </c>
      <c r="N625" s="7">
        <f t="shared" si="80"/>
        <v>0</v>
      </c>
      <c r="O625" s="7">
        <f t="shared" si="81"/>
        <v>0</v>
      </c>
    </row>
    <row r="626" spans="3:15" x14ac:dyDescent="0.2">
      <c r="C626">
        <v>607</v>
      </c>
      <c r="D626" s="7">
        <v>2974.0157949469867</v>
      </c>
      <c r="E626" s="7">
        <f t="shared" si="74"/>
        <v>88.935879035496015</v>
      </c>
      <c r="F626" s="7">
        <f t="shared" si="75"/>
        <v>240.15920498559069</v>
      </c>
      <c r="G626">
        <v>0</v>
      </c>
      <c r="H626" s="7">
        <f t="shared" si="76"/>
        <v>0</v>
      </c>
      <c r="I626" s="7">
        <f t="shared" si="77"/>
        <v>0</v>
      </c>
      <c r="J626" s="7">
        <v>855.15963686767918</v>
      </c>
      <c r="K626" s="7">
        <f t="shared" si="78"/>
        <v>13.638909678910355</v>
      </c>
      <c r="L626" s="7">
        <f t="shared" si="79"/>
        <v>51.337014049466902</v>
      </c>
      <c r="M626" s="7">
        <v>680.37424334317575</v>
      </c>
      <c r="N626" s="7">
        <f t="shared" si="80"/>
        <v>54.256319245867289</v>
      </c>
      <c r="O626" s="7">
        <f t="shared" si="81"/>
        <v>20.537914935102574</v>
      </c>
    </row>
    <row r="627" spans="3:15" x14ac:dyDescent="0.2">
      <c r="C627">
        <v>608</v>
      </c>
      <c r="D627" s="7">
        <v>2975.0195435680689</v>
      </c>
      <c r="E627" s="7">
        <f t="shared" si="74"/>
        <v>88.965895441628859</v>
      </c>
      <c r="F627" s="7">
        <f t="shared" si="75"/>
        <v>240.24026019425972</v>
      </c>
      <c r="G627">
        <v>0</v>
      </c>
      <c r="H627" s="7">
        <f t="shared" si="76"/>
        <v>0</v>
      </c>
      <c r="I627" s="7">
        <f t="shared" si="77"/>
        <v>0</v>
      </c>
      <c r="J627" s="7">
        <v>1072.0764412767003</v>
      </c>
      <c r="K627" s="7">
        <f t="shared" si="78"/>
        <v>17.098507835354074</v>
      </c>
      <c r="L627" s="7">
        <f t="shared" si="79"/>
        <v>64.358981592626876</v>
      </c>
      <c r="M627" s="7">
        <v>680.37424334317575</v>
      </c>
      <c r="N627" s="7">
        <f t="shared" si="80"/>
        <v>54.256319245867289</v>
      </c>
      <c r="O627" s="7">
        <f t="shared" si="81"/>
        <v>20.537914935102574</v>
      </c>
    </row>
    <row r="628" spans="3:15" x14ac:dyDescent="0.2">
      <c r="C628">
        <v>609</v>
      </c>
      <c r="D628" s="7">
        <v>2976.0260420151776</v>
      </c>
      <c r="E628" s="7">
        <f t="shared" si="74"/>
        <v>88.995994079401257</v>
      </c>
      <c r="F628" s="7">
        <f t="shared" si="75"/>
        <v>240.32153745824991</v>
      </c>
      <c r="G628">
        <v>0</v>
      </c>
      <c r="H628" s="7">
        <f t="shared" si="76"/>
        <v>0</v>
      </c>
      <c r="I628" s="7">
        <f t="shared" si="77"/>
        <v>0</v>
      </c>
      <c r="J628" s="7">
        <v>1288.990495859694</v>
      </c>
      <c r="K628" s="7">
        <f t="shared" si="78"/>
        <v>20.55806213492335</v>
      </c>
      <c r="L628" s="7">
        <f t="shared" si="79"/>
        <v>77.380784058003314</v>
      </c>
      <c r="M628" s="7">
        <v>680.37424334317575</v>
      </c>
      <c r="N628" s="7">
        <f t="shared" si="80"/>
        <v>54.256319245867289</v>
      </c>
      <c r="O628" s="7">
        <f t="shared" si="81"/>
        <v>20.537914935102574</v>
      </c>
    </row>
    <row r="629" spans="3:15" x14ac:dyDescent="0.2">
      <c r="C629">
        <v>610</v>
      </c>
      <c r="D629" s="7">
        <v>2977.0352713191514</v>
      </c>
      <c r="E629" s="7">
        <f t="shared" si="74"/>
        <v>89.026174381553574</v>
      </c>
      <c r="F629" s="7">
        <f t="shared" si="75"/>
        <v>240.40303524575404</v>
      </c>
      <c r="G629">
        <v>0</v>
      </c>
      <c r="H629" s="7">
        <f t="shared" si="76"/>
        <v>0</v>
      </c>
      <c r="I629" s="7">
        <f t="shared" si="77"/>
        <v>0</v>
      </c>
      <c r="J629" s="7">
        <v>1505.9018195858234</v>
      </c>
      <c r="K629" s="7">
        <f t="shared" si="78"/>
        <v>24.017572880156674</v>
      </c>
      <c r="L629" s="7">
        <f t="shared" si="79"/>
        <v>90.402422584354639</v>
      </c>
      <c r="M629" s="7">
        <v>680.37424334317575</v>
      </c>
      <c r="N629" s="7">
        <f t="shared" si="80"/>
        <v>54.256319245867289</v>
      </c>
      <c r="O629" s="7">
        <f t="shared" si="81"/>
        <v>20.537914935102574</v>
      </c>
    </row>
    <row r="630" spans="3:15" x14ac:dyDescent="0.2">
      <c r="C630">
        <v>611</v>
      </c>
      <c r="D630" s="7">
        <v>2978.0472125805386</v>
      </c>
      <c r="E630" s="7">
        <f t="shared" si="74"/>
        <v>89.056435782910853</v>
      </c>
      <c r="F630" s="7">
        <f t="shared" si="75"/>
        <v>240.48475203059417</v>
      </c>
      <c r="G630">
        <v>0</v>
      </c>
      <c r="H630" s="7">
        <f t="shared" si="76"/>
        <v>0</v>
      </c>
      <c r="I630" s="7">
        <f t="shared" si="77"/>
        <v>0</v>
      </c>
      <c r="J630" s="7">
        <v>1722.8104313545396</v>
      </c>
      <c r="K630" s="7">
        <f t="shared" si="78"/>
        <v>27.477040372480698</v>
      </c>
      <c r="L630" s="7">
        <f t="shared" si="79"/>
        <v>103.42389830625422</v>
      </c>
      <c r="M630" s="7">
        <v>680.37424334317575</v>
      </c>
      <c r="N630" s="7">
        <f t="shared" si="80"/>
        <v>54.256319245867289</v>
      </c>
      <c r="O630" s="7">
        <f t="shared" si="81"/>
        <v>20.537914935102574</v>
      </c>
    </row>
    <row r="631" spans="3:15" x14ac:dyDescent="0.2">
      <c r="C631">
        <v>612</v>
      </c>
      <c r="D631" s="7">
        <v>2979.0618469694009</v>
      </c>
      <c r="E631" s="7">
        <f t="shared" si="74"/>
        <v>89.08677772037683</v>
      </c>
      <c r="F631" s="7">
        <f t="shared" si="75"/>
        <v>240.56668629220576</v>
      </c>
      <c r="G631">
        <v>0</v>
      </c>
      <c r="H631" s="7">
        <f t="shared" si="76"/>
        <v>0</v>
      </c>
      <c r="I631" s="7">
        <f t="shared" si="77"/>
        <v>0</v>
      </c>
      <c r="J631" s="7">
        <v>1939.7163499957805</v>
      </c>
      <c r="K631" s="7">
        <f t="shared" si="78"/>
        <v>30.93646491221341</v>
      </c>
      <c r="L631" s="7">
        <f t="shared" si="79"/>
        <v>116.44521235410247</v>
      </c>
      <c r="M631" s="7">
        <v>680.37424334317575</v>
      </c>
      <c r="N631" s="7">
        <f t="shared" si="80"/>
        <v>54.256319245867289</v>
      </c>
      <c r="O631" s="7">
        <f t="shared" si="81"/>
        <v>20.537914935102574</v>
      </c>
    </row>
    <row r="632" spans="3:15" x14ac:dyDescent="0.2">
      <c r="C632">
        <v>613</v>
      </c>
      <c r="D632" s="7">
        <v>2980.0791557251096</v>
      </c>
      <c r="E632" s="7">
        <f t="shared" si="74"/>
        <v>89.117199632927921</v>
      </c>
      <c r="F632" s="7">
        <f t="shared" si="75"/>
        <v>240.64883651562118</v>
      </c>
      <c r="G632">
        <v>0</v>
      </c>
      <c r="H632" s="7">
        <f t="shared" si="76"/>
        <v>0</v>
      </c>
      <c r="I632" s="7">
        <f t="shared" si="77"/>
        <v>0</v>
      </c>
      <c r="J632" s="7">
        <v>2156.6195942701743</v>
      </c>
      <c r="K632" s="7">
        <f t="shared" si="78"/>
        <v>34.395846798567376</v>
      </c>
      <c r="L632" s="7">
        <f t="shared" si="79"/>
        <v>129.46636585413896</v>
      </c>
      <c r="M632" s="7">
        <v>680.37424334317575</v>
      </c>
      <c r="N632" s="7">
        <f t="shared" si="80"/>
        <v>54.256319245867289</v>
      </c>
      <c r="O632" s="7">
        <f t="shared" si="81"/>
        <v>20.537914935102574</v>
      </c>
    </row>
    <row r="633" spans="3:15" x14ac:dyDescent="0.2">
      <c r="C633">
        <v>614</v>
      </c>
      <c r="D633" s="7">
        <v>2981.099120156146</v>
      </c>
      <c r="E633" s="7">
        <f t="shared" si="74"/>
        <v>89.147700961607242</v>
      </c>
      <c r="F633" s="7">
        <f t="shared" si="75"/>
        <v>240.73120119145361</v>
      </c>
      <c r="G633">
        <v>0</v>
      </c>
      <c r="H633" s="7">
        <f t="shared" si="76"/>
        <v>0</v>
      </c>
      <c r="I633" s="7">
        <f t="shared" si="77"/>
        <v>0</v>
      </c>
      <c r="J633" s="7">
        <v>2057.7577488868469</v>
      </c>
      <c r="K633" s="7">
        <f t="shared" si="78"/>
        <v>32.819102853059761</v>
      </c>
      <c r="L633" s="7">
        <f t="shared" si="79"/>
        <v>123.53148337536565</v>
      </c>
      <c r="M633" s="7">
        <v>680.37424334317575</v>
      </c>
      <c r="N633" s="7">
        <f t="shared" si="80"/>
        <v>54.256319245867289</v>
      </c>
      <c r="O633" s="7">
        <f t="shared" si="81"/>
        <v>20.537914935102574</v>
      </c>
    </row>
    <row r="634" spans="3:15" x14ac:dyDescent="0.2">
      <c r="C634">
        <v>615</v>
      </c>
      <c r="D634" s="7">
        <v>2982.1217216399086</v>
      </c>
      <c r="E634" s="7">
        <f t="shared" si="74"/>
        <v>89.17828114951881</v>
      </c>
      <c r="F634" s="7">
        <f t="shared" si="75"/>
        <v>240.81377881588142</v>
      </c>
      <c r="G634">
        <v>0</v>
      </c>
      <c r="H634" s="7">
        <f t="shared" si="76"/>
        <v>0</v>
      </c>
      <c r="I634" s="7">
        <f t="shared" si="77"/>
        <v>0</v>
      </c>
      <c r="J634" s="7">
        <v>1958.8932664507934</v>
      </c>
      <c r="K634" s="7">
        <f t="shared" si="78"/>
        <v>31.242316849294951</v>
      </c>
      <c r="L634" s="7">
        <f t="shared" si="79"/>
        <v>117.59644258882503</v>
      </c>
      <c r="M634" s="7">
        <v>680.37424334317575</v>
      </c>
      <c r="N634" s="7">
        <f t="shared" si="80"/>
        <v>54.256319245867289</v>
      </c>
      <c r="O634" s="7">
        <f t="shared" si="81"/>
        <v>20.537914935102574</v>
      </c>
    </row>
    <row r="635" spans="3:15" x14ac:dyDescent="0.2">
      <c r="C635">
        <v>616</v>
      </c>
      <c r="D635" s="7">
        <v>2983.146941622505</v>
      </c>
      <c r="E635" s="7">
        <f t="shared" si="74"/>
        <v>89.208939641821331</v>
      </c>
      <c r="F635" s="7">
        <f t="shared" si="75"/>
        <v>240.89656789063147</v>
      </c>
      <c r="G635">
        <v>0</v>
      </c>
      <c r="H635" s="7">
        <f t="shared" si="76"/>
        <v>0</v>
      </c>
      <c r="I635" s="7">
        <f t="shared" si="77"/>
        <v>0</v>
      </c>
      <c r="J635" s="7">
        <v>1860.0261655159061</v>
      </c>
      <c r="K635" s="7">
        <f t="shared" si="78"/>
        <v>29.665489083188298</v>
      </c>
      <c r="L635" s="7">
        <f t="shared" si="79"/>
        <v>111.66124460834583</v>
      </c>
      <c r="M635" s="7">
        <v>680.37424334317575</v>
      </c>
      <c r="N635" s="7">
        <f t="shared" si="80"/>
        <v>54.256319245867289</v>
      </c>
      <c r="O635" s="7">
        <f t="shared" si="81"/>
        <v>20.537914935102574</v>
      </c>
    </row>
    <row r="636" spans="3:15" x14ac:dyDescent="0.2">
      <c r="C636">
        <v>617</v>
      </c>
      <c r="D636" s="7">
        <v>2984.1747616185635</v>
      </c>
      <c r="E636" s="7">
        <f t="shared" si="74"/>
        <v>89.239675885722605</v>
      </c>
      <c r="F636" s="7">
        <f t="shared" si="75"/>
        <v>240.97956692296381</v>
      </c>
      <c r="G636">
        <v>0</v>
      </c>
      <c r="H636" s="7">
        <f t="shared" si="76"/>
        <v>0</v>
      </c>
      <c r="I636" s="7">
        <f t="shared" si="77"/>
        <v>0</v>
      </c>
      <c r="J636" s="7">
        <v>1761.1564645675558</v>
      </c>
      <c r="K636" s="7">
        <f t="shared" si="78"/>
        <v>28.088619849562296</v>
      </c>
      <c r="L636" s="7">
        <f t="shared" si="79"/>
        <v>105.72589054364339</v>
      </c>
      <c r="M636" s="7">
        <v>680.37424334317575</v>
      </c>
      <c r="N636" s="7">
        <f t="shared" si="80"/>
        <v>54.256319245867289</v>
      </c>
      <c r="O636" s="7">
        <f t="shared" si="81"/>
        <v>20.537914935102574</v>
      </c>
    </row>
    <row r="637" spans="3:15" x14ac:dyDescent="0.2">
      <c r="C637">
        <v>618</v>
      </c>
      <c r="D637" s="7">
        <v>2985.2051632110301</v>
      </c>
      <c r="E637" s="7">
        <f t="shared" si="74"/>
        <v>89.270489330473396</v>
      </c>
      <c r="F637" s="7">
        <f t="shared" si="75"/>
        <v>241.06277442565533</v>
      </c>
      <c r="G637">
        <v>0</v>
      </c>
      <c r="H637" s="7">
        <f t="shared" si="76"/>
        <v>0</v>
      </c>
      <c r="I637" s="7">
        <f t="shared" si="77"/>
        <v>0</v>
      </c>
      <c r="J637" s="7">
        <v>1662.2841820227973</v>
      </c>
      <c r="K637" s="7">
        <f t="shared" si="78"/>
        <v>26.511709442149879</v>
      </c>
      <c r="L637" s="7">
        <f t="shared" si="79"/>
        <v>99.790381500331833</v>
      </c>
      <c r="M637" s="7">
        <v>680.37424334317575</v>
      </c>
      <c r="N637" s="7">
        <f t="shared" si="80"/>
        <v>54.256319245867289</v>
      </c>
      <c r="O637" s="7">
        <f t="shared" si="81"/>
        <v>20.537914935102574</v>
      </c>
    </row>
    <row r="638" spans="3:15" x14ac:dyDescent="0.2">
      <c r="C638">
        <v>619</v>
      </c>
      <c r="D638" s="7">
        <v>2986.2381280509753</v>
      </c>
      <c r="E638" s="7">
        <f t="shared" si="74"/>
        <v>89.301379427361709</v>
      </c>
      <c r="F638" s="7">
        <f t="shared" si="75"/>
        <v>241.14618891698413</v>
      </c>
      <c r="G638">
        <v>0</v>
      </c>
      <c r="H638" s="7">
        <f t="shared" si="76"/>
        <v>0</v>
      </c>
      <c r="I638" s="7">
        <f t="shared" si="77"/>
        <v>0</v>
      </c>
      <c r="J638" s="7">
        <v>1563.4093362305621</v>
      </c>
      <c r="K638" s="7">
        <f t="shared" si="78"/>
        <v>24.934758153597482</v>
      </c>
      <c r="L638" s="7">
        <f t="shared" si="79"/>
        <v>93.854718579935764</v>
      </c>
      <c r="M638" s="7">
        <v>680.37424334317575</v>
      </c>
      <c r="N638" s="7">
        <f t="shared" si="80"/>
        <v>54.256319245867289</v>
      </c>
      <c r="O638" s="7">
        <f t="shared" si="81"/>
        <v>20.537914935102574</v>
      </c>
    </row>
    <row r="639" spans="3:15" x14ac:dyDescent="0.2">
      <c r="C639">
        <v>620</v>
      </c>
      <c r="D639" s="7">
        <v>2987.2736378573977</v>
      </c>
      <c r="E639" s="7">
        <f t="shared" si="74"/>
        <v>89.332345629706879</v>
      </c>
      <c r="F639" s="7">
        <f t="shared" si="75"/>
        <v>241.22980892071365</v>
      </c>
      <c r="G639">
        <v>0</v>
      </c>
      <c r="H639" s="7">
        <f t="shared" si="76"/>
        <v>0</v>
      </c>
      <c r="I639" s="7">
        <f t="shared" si="77"/>
        <v>0</v>
      </c>
      <c r="J639" s="7">
        <v>1464.5319454718478</v>
      </c>
      <c r="K639" s="7">
        <f t="shared" si="78"/>
        <v>23.357766275468069</v>
      </c>
      <c r="L639" s="7">
        <f t="shared" si="79"/>
        <v>87.918902879901538</v>
      </c>
      <c r="M639" s="7">
        <v>680.37424334317575</v>
      </c>
      <c r="N639" s="7">
        <f t="shared" si="80"/>
        <v>54.256319245867289</v>
      </c>
      <c r="O639" s="7">
        <f t="shared" si="81"/>
        <v>20.537914935102574</v>
      </c>
    </row>
    <row r="640" spans="3:15" x14ac:dyDescent="0.2">
      <c r="C640">
        <v>621</v>
      </c>
      <c r="D640" s="7">
        <v>2988.311674417017</v>
      </c>
      <c r="E640" s="7">
        <f t="shared" si="74"/>
        <v>89.363387392853383</v>
      </c>
      <c r="F640" s="7">
        <f t="shared" si="75"/>
        <v>241.31363296607606</v>
      </c>
      <c r="G640">
        <v>0</v>
      </c>
      <c r="H640" s="7">
        <f t="shared" si="76"/>
        <v>0</v>
      </c>
      <c r="I640" s="7">
        <f t="shared" si="77"/>
        <v>0</v>
      </c>
      <c r="J640" s="7">
        <v>1805.9404922452472</v>
      </c>
      <c r="K640" s="7">
        <f t="shared" si="78"/>
        <v>28.802878664198523</v>
      </c>
      <c r="L640" s="7">
        <f t="shared" si="79"/>
        <v>108.41436899721322</v>
      </c>
      <c r="M640" s="7">
        <v>680.37424334317575</v>
      </c>
      <c r="N640" s="7">
        <f t="shared" si="80"/>
        <v>54.256319245867289</v>
      </c>
      <c r="O640" s="7">
        <f t="shared" si="81"/>
        <v>20.537914935102574</v>
      </c>
    </row>
    <row r="641" spans="3:15" x14ac:dyDescent="0.2">
      <c r="C641">
        <v>622</v>
      </c>
      <c r="D641" s="7">
        <v>2989.3522195840992</v>
      </c>
      <c r="E641" s="7">
        <f t="shared" si="74"/>
        <v>89.394504174165647</v>
      </c>
      <c r="F641" s="7">
        <f t="shared" si="75"/>
        <v>241.39765958775797</v>
      </c>
      <c r="G641">
        <v>0</v>
      </c>
      <c r="H641" s="7">
        <f t="shared" si="76"/>
        <v>0</v>
      </c>
      <c r="I641" s="7">
        <f t="shared" si="77"/>
        <v>0</v>
      </c>
      <c r="J641" s="7">
        <v>1291.2300720786366</v>
      </c>
      <c r="K641" s="7">
        <f t="shared" si="78"/>
        <v>20.593781053885753</v>
      </c>
      <c r="L641" s="7">
        <f t="shared" si="79"/>
        <v>77.51523048281102</v>
      </c>
      <c r="M641" s="7">
        <v>680.37424334317575</v>
      </c>
      <c r="N641" s="7">
        <f t="shared" si="80"/>
        <v>54.256319245867289</v>
      </c>
      <c r="O641" s="7">
        <f t="shared" si="81"/>
        <v>20.537914935102574</v>
      </c>
    </row>
    <row r="642" spans="3:15" x14ac:dyDescent="0.2">
      <c r="C642">
        <v>623</v>
      </c>
      <c r="D642" s="7">
        <v>2990.3952552802489</v>
      </c>
      <c r="E642" s="7">
        <f t="shared" si="74"/>
        <v>89.425695433021801</v>
      </c>
      <c r="F642" s="7">
        <f t="shared" si="75"/>
        <v>241.48188732588383</v>
      </c>
      <c r="G642">
        <v>0</v>
      </c>
      <c r="H642" s="7">
        <f t="shared" si="76"/>
        <v>0</v>
      </c>
      <c r="I642" s="7">
        <f t="shared" si="77"/>
        <v>0</v>
      </c>
      <c r="J642" s="7">
        <v>776.51716138295933</v>
      </c>
      <c r="K642" s="7">
        <f t="shared" si="78"/>
        <v>12.384643722216259</v>
      </c>
      <c r="L642" s="7">
        <f t="shared" si="79"/>
        <v>46.615942456761914</v>
      </c>
      <c r="M642" s="7">
        <v>0</v>
      </c>
      <c r="N642" s="7">
        <f t="shared" si="80"/>
        <v>0</v>
      </c>
      <c r="O642" s="7">
        <f t="shared" si="81"/>
        <v>0</v>
      </c>
    </row>
    <row r="643" spans="3:15" x14ac:dyDescent="0.2">
      <c r="C643">
        <v>624</v>
      </c>
      <c r="D643" s="7">
        <v>2991.440763494209</v>
      </c>
      <c r="E643" s="7">
        <f t="shared" si="74"/>
        <v>89.456960630807686</v>
      </c>
      <c r="F643" s="7">
        <f t="shared" si="75"/>
        <v>241.56631472599958</v>
      </c>
      <c r="G643">
        <v>0</v>
      </c>
      <c r="H643" s="7">
        <f t="shared" si="76"/>
        <v>0</v>
      </c>
      <c r="I643" s="7">
        <f t="shared" si="77"/>
        <v>0</v>
      </c>
      <c r="J643" s="7">
        <v>261.80177816947071</v>
      </c>
      <c r="K643" s="7">
        <f t="shared" si="78"/>
        <v>4.1754669564508884</v>
      </c>
      <c r="L643" s="7">
        <f t="shared" si="79"/>
        <v>15.716506000319045</v>
      </c>
      <c r="M643" s="7">
        <v>0</v>
      </c>
      <c r="N643" s="7">
        <f t="shared" si="80"/>
        <v>0</v>
      </c>
      <c r="O643" s="7">
        <f t="shared" si="81"/>
        <v>0</v>
      </c>
    </row>
    <row r="644" spans="3:15" x14ac:dyDescent="0.2">
      <c r="C644">
        <v>625</v>
      </c>
      <c r="D644" s="7">
        <v>2739.5726666641513</v>
      </c>
      <c r="E644" s="7">
        <f t="shared" si="74"/>
        <v>81.925019936128933</v>
      </c>
      <c r="F644" s="7">
        <f t="shared" si="75"/>
        <v>221.22733670217281</v>
      </c>
      <c r="G644">
        <v>0</v>
      </c>
      <c r="H644" s="7">
        <f t="shared" si="76"/>
        <v>0</v>
      </c>
      <c r="I644" s="7">
        <f t="shared" si="77"/>
        <v>0</v>
      </c>
      <c r="J644" s="7">
        <v>0</v>
      </c>
      <c r="K644" s="7">
        <f t="shared" si="78"/>
        <v>0</v>
      </c>
      <c r="L644" s="7">
        <f t="shared" si="79"/>
        <v>0</v>
      </c>
      <c r="M644" s="7">
        <v>0</v>
      </c>
      <c r="N644" s="7">
        <f t="shared" si="80"/>
        <v>0</v>
      </c>
      <c r="O644" s="7">
        <f t="shared" si="81"/>
        <v>0</v>
      </c>
    </row>
    <row r="645" spans="3:15" x14ac:dyDescent="0.2">
      <c r="C645">
        <v>626</v>
      </c>
      <c r="D645" s="7">
        <v>2739.5726666641513</v>
      </c>
      <c r="E645" s="7">
        <f t="shared" si="74"/>
        <v>81.925019936128933</v>
      </c>
      <c r="F645" s="7">
        <f t="shared" si="75"/>
        <v>221.22733670217281</v>
      </c>
      <c r="G645">
        <v>0</v>
      </c>
      <c r="H645" s="7">
        <f t="shared" si="76"/>
        <v>0</v>
      </c>
      <c r="I645" s="7">
        <f t="shared" si="77"/>
        <v>0</v>
      </c>
      <c r="J645" s="7">
        <v>0</v>
      </c>
      <c r="K645" s="7">
        <f t="shared" si="78"/>
        <v>0</v>
      </c>
      <c r="L645" s="7">
        <f t="shared" si="79"/>
        <v>0</v>
      </c>
      <c r="M645" s="7">
        <v>0</v>
      </c>
      <c r="N645" s="7">
        <f t="shared" si="80"/>
        <v>0</v>
      </c>
      <c r="O645" s="7">
        <f t="shared" si="81"/>
        <v>0</v>
      </c>
    </row>
    <row r="646" spans="3:15" x14ac:dyDescent="0.2">
      <c r="C646">
        <v>627</v>
      </c>
      <c r="D646" s="7">
        <v>2935.2564285687336</v>
      </c>
      <c r="E646" s="7">
        <f t="shared" si="74"/>
        <v>87.776807074423857</v>
      </c>
      <c r="F646" s="7">
        <f t="shared" si="75"/>
        <v>237.02928932375659</v>
      </c>
      <c r="G646">
        <v>0</v>
      </c>
      <c r="H646" s="7">
        <f t="shared" si="76"/>
        <v>0</v>
      </c>
      <c r="I646" s="7">
        <f t="shared" si="77"/>
        <v>0</v>
      </c>
      <c r="J646" s="7">
        <v>0</v>
      </c>
      <c r="K646" s="7">
        <f t="shared" si="78"/>
        <v>0</v>
      </c>
      <c r="L646" s="7">
        <f t="shared" si="79"/>
        <v>0</v>
      </c>
      <c r="M646" s="7">
        <v>0</v>
      </c>
      <c r="N646" s="7">
        <f t="shared" si="80"/>
        <v>0</v>
      </c>
      <c r="O646" s="7">
        <f t="shared" si="81"/>
        <v>0</v>
      </c>
    </row>
    <row r="647" spans="3:15" x14ac:dyDescent="0.2">
      <c r="C647">
        <v>628</v>
      </c>
      <c r="D647" s="7">
        <v>2996.7226668893854</v>
      </c>
      <c r="E647" s="7">
        <f t="shared" si="74"/>
        <v>89.614912287362017</v>
      </c>
      <c r="F647" s="7">
        <f t="shared" si="75"/>
        <v>241.9928416201578</v>
      </c>
      <c r="G647">
        <v>0</v>
      </c>
      <c r="H647" s="7">
        <f t="shared" si="76"/>
        <v>0</v>
      </c>
      <c r="I647" s="7">
        <f t="shared" si="77"/>
        <v>0</v>
      </c>
      <c r="J647" s="7">
        <v>134.21752358393042</v>
      </c>
      <c r="K647" s="7">
        <f t="shared" si="78"/>
        <v>2.1406303601902779</v>
      </c>
      <c r="L647" s="7">
        <f t="shared" si="79"/>
        <v>8.0573574767292797</v>
      </c>
      <c r="M647" s="7">
        <v>0</v>
      </c>
      <c r="N647" s="7">
        <f t="shared" si="80"/>
        <v>0</v>
      </c>
      <c r="O647" s="7">
        <f t="shared" si="81"/>
        <v>0</v>
      </c>
    </row>
    <row r="648" spans="3:15" x14ac:dyDescent="0.2">
      <c r="C648">
        <v>629</v>
      </c>
      <c r="D648" s="7">
        <v>2997.7753199775811</v>
      </c>
      <c r="E648" s="7">
        <f t="shared" si="74"/>
        <v>89.646391147654938</v>
      </c>
      <c r="F648" s="7">
        <f t="shared" si="75"/>
        <v>242.07784598671708</v>
      </c>
      <c r="G648">
        <v>0</v>
      </c>
      <c r="H648" s="7">
        <f t="shared" si="76"/>
        <v>0</v>
      </c>
      <c r="I648" s="7">
        <f t="shared" si="77"/>
        <v>0</v>
      </c>
      <c r="J648" s="7">
        <v>328.84863240031746</v>
      </c>
      <c r="K648" s="7">
        <f t="shared" si="78"/>
        <v>5.2447947751246806</v>
      </c>
      <c r="L648" s="7">
        <f t="shared" si="79"/>
        <v>19.741468298854336</v>
      </c>
      <c r="M648" s="7">
        <v>0</v>
      </c>
      <c r="N648" s="7">
        <f t="shared" si="80"/>
        <v>0</v>
      </c>
      <c r="O648" s="7">
        <f t="shared" si="81"/>
        <v>0</v>
      </c>
    </row>
    <row r="649" spans="3:15" x14ac:dyDescent="0.2">
      <c r="C649">
        <v>630</v>
      </c>
      <c r="D649" s="7">
        <v>2998.8303548434292</v>
      </c>
      <c r="E649" s="7">
        <f t="shared" si="74"/>
        <v>89.677941233356137</v>
      </c>
      <c r="F649" s="7">
        <f t="shared" si="75"/>
        <v>242.16304268777179</v>
      </c>
      <c r="G649">
        <v>0</v>
      </c>
      <c r="H649" s="7">
        <f t="shared" si="76"/>
        <v>0</v>
      </c>
      <c r="I649" s="7">
        <f t="shared" si="77"/>
        <v>0</v>
      </c>
      <c r="J649" s="7">
        <v>523.47735943905127</v>
      </c>
      <c r="K649" s="7">
        <f t="shared" si="78"/>
        <v>8.3489212031746618</v>
      </c>
      <c r="L649" s="7">
        <f t="shared" si="79"/>
        <v>31.425436137906321</v>
      </c>
      <c r="M649" s="7">
        <v>0</v>
      </c>
      <c r="N649" s="7">
        <f t="shared" si="80"/>
        <v>0</v>
      </c>
      <c r="O649" s="7">
        <f t="shared" si="81"/>
        <v>0</v>
      </c>
    </row>
    <row r="650" spans="3:15" x14ac:dyDescent="0.2">
      <c r="C650">
        <v>631</v>
      </c>
      <c r="D650" s="7">
        <v>2999.8877538984484</v>
      </c>
      <c r="E650" s="7">
        <f t="shared" si="74"/>
        <v>89.709562018494282</v>
      </c>
      <c r="F650" s="7">
        <f t="shared" si="75"/>
        <v>242.24843030300821</v>
      </c>
      <c r="G650">
        <v>0</v>
      </c>
      <c r="H650" s="7">
        <f t="shared" si="76"/>
        <v>0</v>
      </c>
      <c r="I650" s="7">
        <f t="shared" si="77"/>
        <v>0</v>
      </c>
      <c r="J650" s="7">
        <v>718.10372228861434</v>
      </c>
      <c r="K650" s="7">
        <f t="shared" si="78"/>
        <v>11.453009924858284</v>
      </c>
      <c r="L650" s="7">
        <f t="shared" si="79"/>
        <v>43.109262049758463</v>
      </c>
      <c r="M650" s="7">
        <v>680.37424334317575</v>
      </c>
      <c r="N650" s="7">
        <f t="shared" si="80"/>
        <v>54.256319245867289</v>
      </c>
      <c r="O650" s="7">
        <f t="shared" si="81"/>
        <v>20.537914935102574</v>
      </c>
    </row>
    <row r="651" spans="3:15" x14ac:dyDescent="0.2">
      <c r="C651">
        <v>632</v>
      </c>
      <c r="D651" s="7">
        <v>3000.9474996198505</v>
      </c>
      <c r="E651" s="7">
        <f t="shared" si="74"/>
        <v>89.741252979062523</v>
      </c>
      <c r="F651" s="7">
        <f t="shared" si="75"/>
        <v>242.33400741741735</v>
      </c>
      <c r="G651">
        <v>0</v>
      </c>
      <c r="H651" s="7">
        <f t="shared" si="76"/>
        <v>0</v>
      </c>
      <c r="I651" s="7">
        <f t="shared" si="77"/>
        <v>0</v>
      </c>
      <c r="J651" s="7">
        <v>912.72773847179451</v>
      </c>
      <c r="K651" s="7">
        <f t="shared" si="78"/>
        <v>14.557061219645847</v>
      </c>
      <c r="L651" s="7">
        <f t="shared" si="79"/>
        <v>54.792947086340227</v>
      </c>
      <c r="M651" s="7">
        <v>680.37424334317575</v>
      </c>
      <c r="N651" s="7">
        <f t="shared" si="80"/>
        <v>54.256319245867289</v>
      </c>
      <c r="O651" s="7">
        <f t="shared" si="81"/>
        <v>20.537914935102574</v>
      </c>
    </row>
    <row r="652" spans="3:15" x14ac:dyDescent="0.2">
      <c r="C652">
        <v>633</v>
      </c>
      <c r="D652" s="7">
        <v>3002.0095745503609</v>
      </c>
      <c r="E652" s="7">
        <f t="shared" si="74"/>
        <v>89.773013593013189</v>
      </c>
      <c r="F652" s="7">
        <f t="shared" si="75"/>
        <v>242.41977262128074</v>
      </c>
      <c r="G652">
        <v>0</v>
      </c>
      <c r="H652" s="7">
        <f t="shared" si="76"/>
        <v>0</v>
      </c>
      <c r="I652" s="7">
        <f t="shared" si="77"/>
        <v>0</v>
      </c>
      <c r="J652" s="7">
        <v>1107.349425445866</v>
      </c>
      <c r="K652" s="7">
        <f t="shared" si="78"/>
        <v>17.661075365962777</v>
      </c>
      <c r="L652" s="7">
        <f t="shared" si="79"/>
        <v>66.476492295648129</v>
      </c>
      <c r="M652" s="7">
        <v>0</v>
      </c>
      <c r="N652" s="7">
        <f t="shared" si="80"/>
        <v>0</v>
      </c>
      <c r="O652" s="7">
        <f t="shared" si="81"/>
        <v>0</v>
      </c>
    </row>
    <row r="653" spans="3:15" x14ac:dyDescent="0.2">
      <c r="C653">
        <v>634</v>
      </c>
      <c r="D653" s="7">
        <v>3003.0739612980183</v>
      </c>
      <c r="E653" s="7">
        <f t="shared" si="74"/>
        <v>89.80484334025175</v>
      </c>
      <c r="F653" s="7">
        <f t="shared" si="75"/>
        <v>242.50572451015398</v>
      </c>
      <c r="G653">
        <v>0</v>
      </c>
      <c r="H653" s="7">
        <f t="shared" si="76"/>
        <v>0</v>
      </c>
      <c r="I653" s="7">
        <f t="shared" si="77"/>
        <v>0</v>
      </c>
      <c r="J653" s="7">
        <v>1301.9688006027914</v>
      </c>
      <c r="K653" s="7">
        <f t="shared" si="78"/>
        <v>20.765052641192845</v>
      </c>
      <c r="L653" s="7">
        <f t="shared" si="79"/>
        <v>78.159898721757898</v>
      </c>
      <c r="M653" s="7">
        <v>0</v>
      </c>
      <c r="N653" s="7">
        <f t="shared" si="80"/>
        <v>0</v>
      </c>
      <c r="O653" s="7">
        <f t="shared" si="81"/>
        <v>0</v>
      </c>
    </row>
    <row r="654" spans="3:15" x14ac:dyDescent="0.2">
      <c r="C654">
        <v>635</v>
      </c>
      <c r="D654" s="7">
        <v>3004.140642535991</v>
      </c>
      <c r="E654" s="7">
        <f t="shared" si="74"/>
        <v>89.836741702631315</v>
      </c>
      <c r="F654" s="7">
        <f t="shared" si="75"/>
        <v>242.5918616848522</v>
      </c>
      <c r="G654">
        <v>0</v>
      </c>
      <c r="H654" s="7">
        <f t="shared" si="76"/>
        <v>0</v>
      </c>
      <c r="I654" s="7">
        <f t="shared" si="77"/>
        <v>0</v>
      </c>
      <c r="J654" s="7">
        <v>1496.5858812694014</v>
      </c>
      <c r="K654" s="7">
        <f t="shared" si="78"/>
        <v>23.868993321681046</v>
      </c>
      <c r="L654" s="7">
        <f t="shared" si="79"/>
        <v>89.843167404835299</v>
      </c>
      <c r="M654" s="7">
        <v>0</v>
      </c>
      <c r="N654" s="7">
        <f t="shared" si="80"/>
        <v>0</v>
      </c>
      <c r="O654" s="7">
        <f t="shared" si="81"/>
        <v>0</v>
      </c>
    </row>
    <row r="655" spans="3:15" x14ac:dyDescent="0.2">
      <c r="C655">
        <v>636</v>
      </c>
      <c r="D655" s="7">
        <v>3005.2096010023897</v>
      </c>
      <c r="E655" s="7">
        <f t="shared" si="74"/>
        <v>89.868708163947062</v>
      </c>
      <c r="F655" s="7">
        <f t="shared" si="75"/>
        <v>242.67818275143466</v>
      </c>
      <c r="G655">
        <v>0</v>
      </c>
      <c r="H655" s="7">
        <f t="shared" si="76"/>
        <v>0</v>
      </c>
      <c r="I655" s="7">
        <f t="shared" si="77"/>
        <v>0</v>
      </c>
      <c r="J655" s="7">
        <v>1691.2006847075845</v>
      </c>
      <c r="K655" s="7">
        <f t="shared" si="78"/>
        <v>26.972897682736598</v>
      </c>
      <c r="L655" s="7">
        <f t="shared" si="79"/>
        <v>101.52629938114742</v>
      </c>
      <c r="M655" s="7">
        <v>0</v>
      </c>
      <c r="N655" s="7">
        <f t="shared" si="80"/>
        <v>0</v>
      </c>
      <c r="O655" s="7">
        <f t="shared" si="81"/>
        <v>0</v>
      </c>
    </row>
    <row r="656" spans="3:15" x14ac:dyDescent="0.2">
      <c r="C656">
        <v>637</v>
      </c>
      <c r="D656" s="7">
        <v>3006.2808195000694</v>
      </c>
      <c r="E656" s="7">
        <f t="shared" si="74"/>
        <v>89.900742209930314</v>
      </c>
      <c r="F656" s="7">
        <f t="shared" si="75"/>
        <v>242.76468632118898</v>
      </c>
      <c r="G656">
        <v>0</v>
      </c>
      <c r="H656" s="7">
        <f t="shared" si="76"/>
        <v>0</v>
      </c>
      <c r="I656" s="7">
        <f t="shared" si="77"/>
        <v>0</v>
      </c>
      <c r="J656" s="7">
        <v>1787.9713471621949</v>
      </c>
      <c r="K656" s="7">
        <f t="shared" si="78"/>
        <v>28.516289428424162</v>
      </c>
      <c r="L656" s="7">
        <f t="shared" si="79"/>
        <v>107.33564379338522</v>
      </c>
      <c r="M656" s="7">
        <v>0</v>
      </c>
      <c r="N656" s="7">
        <f t="shared" si="80"/>
        <v>0</v>
      </c>
      <c r="O656" s="7">
        <f t="shared" si="81"/>
        <v>0</v>
      </c>
    </row>
    <row r="657" spans="3:15" x14ac:dyDescent="0.2">
      <c r="C657">
        <v>638</v>
      </c>
      <c r="D657" s="7">
        <v>3007.3542808964521</v>
      </c>
      <c r="E657" s="7">
        <f t="shared" si="74"/>
        <v>89.932843328243194</v>
      </c>
      <c r="F657" s="7">
        <f t="shared" si="75"/>
        <v>242.85137101061665</v>
      </c>
      <c r="G657">
        <v>0</v>
      </c>
      <c r="H657" s="7">
        <f t="shared" si="76"/>
        <v>0</v>
      </c>
      <c r="I657" s="7">
        <f t="shared" si="77"/>
        <v>0</v>
      </c>
      <c r="J657" s="7">
        <v>1786.8978857658121</v>
      </c>
      <c r="K657" s="7">
        <f t="shared" si="78"/>
        <v>28.499168831990627</v>
      </c>
      <c r="L657" s="7">
        <f t="shared" si="79"/>
        <v>107.27120167005312</v>
      </c>
      <c r="M657" s="7">
        <v>0</v>
      </c>
      <c r="N657" s="7">
        <f t="shared" si="80"/>
        <v>0</v>
      </c>
      <c r="O657" s="7">
        <f t="shared" si="81"/>
        <v>0</v>
      </c>
    </row>
    <row r="658" spans="3:15" x14ac:dyDescent="0.2">
      <c r="C658">
        <v>639</v>
      </c>
      <c r="D658" s="7">
        <v>3008.429968123331</v>
      </c>
      <c r="E658" s="7">
        <f t="shared" si="74"/>
        <v>89.965011008472828</v>
      </c>
      <c r="F658" s="7">
        <f t="shared" si="75"/>
        <v>242.93823544141736</v>
      </c>
      <c r="G658">
        <v>0</v>
      </c>
      <c r="H658" s="7">
        <f t="shared" si="76"/>
        <v>0</v>
      </c>
      <c r="I658" s="7">
        <f t="shared" si="77"/>
        <v>0</v>
      </c>
      <c r="J658" s="7">
        <v>2275.0316033003905</v>
      </c>
      <c r="K658" s="7">
        <f t="shared" si="78"/>
        <v>36.284395586928085</v>
      </c>
      <c r="L658" s="7">
        <f t="shared" si="79"/>
        <v>136.57488537392823</v>
      </c>
      <c r="M658" s="7">
        <v>0</v>
      </c>
      <c r="N658" s="7">
        <f t="shared" si="80"/>
        <v>0</v>
      </c>
      <c r="O658" s="7">
        <f t="shared" si="81"/>
        <v>0</v>
      </c>
    </row>
    <row r="659" spans="3:15" x14ac:dyDescent="0.2">
      <c r="C659">
        <v>640</v>
      </c>
      <c r="D659" s="7">
        <v>3009.5078641766904</v>
      </c>
      <c r="E659" s="7">
        <f t="shared" si="74"/>
        <v>89.997244742125915</v>
      </c>
      <c r="F659" s="7">
        <f t="shared" si="75"/>
        <v>243.02527824047436</v>
      </c>
      <c r="G659">
        <v>0</v>
      </c>
      <c r="H659" s="7">
        <f t="shared" si="76"/>
        <v>0</v>
      </c>
      <c r="I659" s="7">
        <f t="shared" si="77"/>
        <v>0</v>
      </c>
      <c r="J659" s="7">
        <v>2469.6374691516121</v>
      </c>
      <c r="K659" s="7">
        <f t="shared" si="78"/>
        <v>39.388157402737036</v>
      </c>
      <c r="L659" s="7">
        <f t="shared" si="79"/>
        <v>148.25748080828063</v>
      </c>
      <c r="M659" s="7">
        <v>680.37424334317575</v>
      </c>
      <c r="N659" s="7">
        <f t="shared" si="80"/>
        <v>54.256319245867289</v>
      </c>
      <c r="O659" s="7">
        <f t="shared" si="81"/>
        <v>20.537914935102574</v>
      </c>
    </row>
    <row r="660" spans="3:15" x14ac:dyDescent="0.2">
      <c r="C660">
        <v>641</v>
      </c>
      <c r="D660" s="7">
        <v>3010.5879521165098</v>
      </c>
      <c r="E660" s="7">
        <f t="shared" si="74"/>
        <v>90.0295440226229</v>
      </c>
      <c r="F660" s="7">
        <f t="shared" si="75"/>
        <v>243.11249803983867</v>
      </c>
      <c r="G660">
        <v>0</v>
      </c>
      <c r="H660" s="7">
        <f t="shared" si="76"/>
        <v>0</v>
      </c>
      <c r="I660" s="7">
        <f t="shared" si="77"/>
        <v>0</v>
      </c>
      <c r="J660" s="7">
        <v>2194.6001145453774</v>
      </c>
      <c r="K660" s="7">
        <f t="shared" si="78"/>
        <v>35.001596723211762</v>
      </c>
      <c r="L660" s="7">
        <f t="shared" si="79"/>
        <v>131.74641558861424</v>
      </c>
      <c r="M660" s="7">
        <v>680.37424334317575</v>
      </c>
      <c r="N660" s="7">
        <f t="shared" si="80"/>
        <v>54.256319245867289</v>
      </c>
      <c r="O660" s="7">
        <f t="shared" si="81"/>
        <v>20.537914935102574</v>
      </c>
    </row>
    <row r="661" spans="3:15" x14ac:dyDescent="0.2">
      <c r="C661">
        <v>642</v>
      </c>
      <c r="D661" s="7">
        <v>3011.6702150665838</v>
      </c>
      <c r="E661" s="7">
        <f t="shared" ref="E661:E691" si="82">D661/($C$3*($D$8-$D$6))</f>
        <v>90.061908345292579</v>
      </c>
      <c r="F661" s="7">
        <f t="shared" ref="F661:F691" si="83">E661*$C$3*((($D$8)-($D$6))-$C$2*LN(($D$8)/($D$6)))</f>
        <v>243.19989347671452</v>
      </c>
      <c r="G661">
        <v>0</v>
      </c>
      <c r="H661" s="7">
        <f t="shared" ref="H661:H691" si="84">G661/($C$3*($D$6-$D$9))</f>
        <v>0</v>
      </c>
      <c r="I661" s="7">
        <f t="shared" ref="I661:I691" si="85">ABS(H661*$C$3*(($D$9-$D$6)-$C$2*(LN($D$9/$D$6))))</f>
        <v>0</v>
      </c>
      <c r="J661" s="7">
        <v>1919.5605849288891</v>
      </c>
      <c r="K661" s="7">
        <f t="shared" ref="K661:K691" si="86">J661/($C$3*($D$10-$D$7))</f>
        <v>30.615001354527738</v>
      </c>
      <c r="L661" s="7">
        <f t="shared" ref="L661:L691" si="87">K661*$C$3*(($D$10-$D$7)-$C$2*LN($D$10/$D$7))</f>
        <v>115.23521979855242</v>
      </c>
      <c r="M661" s="7">
        <v>680.37424334317575</v>
      </c>
      <c r="N661" s="7">
        <f t="shared" ref="N661:N691" si="88">M661/($C$3*($D$7-$D$11))</f>
        <v>54.256319245867289</v>
      </c>
      <c r="O661" s="7">
        <f t="shared" ref="O661:O691" si="89">ABS(N661*$C$3*(($D$11-$D$7)-$C$2*LN($D$11/$D$7)))</f>
        <v>20.537914935102574</v>
      </c>
    </row>
    <row r="662" spans="3:15" x14ac:dyDescent="0.2">
      <c r="C662">
        <v>643</v>
      </c>
      <c r="D662" s="7">
        <v>3012.7546362143366</v>
      </c>
      <c r="E662" s="7">
        <f t="shared" si="82"/>
        <v>90.094337207366536</v>
      </c>
      <c r="F662" s="7">
        <f t="shared" si="83"/>
        <v>243.28746319344447</v>
      </c>
      <c r="G662">
        <v>0</v>
      </c>
      <c r="H662" s="7">
        <f t="shared" si="84"/>
        <v>0</v>
      </c>
      <c r="I662" s="7">
        <f t="shared" si="85"/>
        <v>0</v>
      </c>
      <c r="J662" s="7">
        <v>1781.4975304479276</v>
      </c>
      <c r="K662" s="7">
        <f t="shared" si="86"/>
        <v>28.413038763124845</v>
      </c>
      <c r="L662" s="7">
        <f t="shared" si="87"/>
        <v>106.94700709295424</v>
      </c>
      <c r="M662" s="7">
        <v>680.37424334317575</v>
      </c>
      <c r="N662" s="7">
        <f t="shared" si="88"/>
        <v>54.256319245867289</v>
      </c>
      <c r="O662" s="7">
        <f t="shared" si="89"/>
        <v>20.537914935102574</v>
      </c>
    </row>
    <row r="663" spans="3:15" x14ac:dyDescent="0.2">
      <c r="C663">
        <v>644</v>
      </c>
      <c r="D663" s="7">
        <v>3013.8411988106368</v>
      </c>
      <c r="E663" s="7">
        <f t="shared" si="82"/>
        <v>90.126830107973589</v>
      </c>
      <c r="F663" s="7">
        <f t="shared" si="83"/>
        <v>243.37520583749429</v>
      </c>
      <c r="G663">
        <v>0</v>
      </c>
      <c r="H663" s="7">
        <f t="shared" si="84"/>
        <v>0</v>
      </c>
      <c r="I663" s="7">
        <f t="shared" si="85"/>
        <v>0</v>
      </c>
      <c r="J663" s="7">
        <v>1369.4750678520045</v>
      </c>
      <c r="K663" s="7">
        <f t="shared" si="86"/>
        <v>21.841707621244094</v>
      </c>
      <c r="L663" s="7">
        <f t="shared" si="87"/>
        <v>82.212440540609165</v>
      </c>
      <c r="M663" s="7">
        <v>680.37424334317575</v>
      </c>
      <c r="N663" s="7">
        <f t="shared" si="88"/>
        <v>54.256319245867289</v>
      </c>
      <c r="O663" s="7">
        <f t="shared" si="89"/>
        <v>20.537914935102574</v>
      </c>
    </row>
    <row r="664" spans="3:15" x14ac:dyDescent="0.2">
      <c r="C664">
        <v>645</v>
      </c>
      <c r="D664" s="7">
        <v>3014.929886169607</v>
      </c>
      <c r="E664" s="7">
        <f t="shared" si="82"/>
        <v>90.159386548134194</v>
      </c>
      <c r="F664" s="7">
        <f t="shared" si="83"/>
        <v>243.46312006143768</v>
      </c>
      <c r="G664">
        <v>0</v>
      </c>
      <c r="H664" s="7">
        <f t="shared" si="84"/>
        <v>0</v>
      </c>
      <c r="I664" s="7">
        <f t="shared" si="85"/>
        <v>0</v>
      </c>
      <c r="J664" s="7">
        <v>1094.429113826618</v>
      </c>
      <c r="K664" s="7">
        <f t="shared" si="86"/>
        <v>17.455009789898217</v>
      </c>
      <c r="L664" s="7">
        <f t="shared" si="87"/>
        <v>65.700859079901008</v>
      </c>
      <c r="M664" s="7">
        <v>680.37424334317575</v>
      </c>
      <c r="N664" s="7">
        <f t="shared" si="88"/>
        <v>54.256319245867289</v>
      </c>
      <c r="O664" s="7">
        <f t="shared" si="89"/>
        <v>20.537914935102574</v>
      </c>
    </row>
    <row r="665" spans="3:15" x14ac:dyDescent="0.2">
      <c r="C665">
        <v>646</v>
      </c>
      <c r="D665" s="7">
        <v>3016.0206816684431</v>
      </c>
      <c r="E665" s="7">
        <f t="shared" si="82"/>
        <v>90.192006030754882</v>
      </c>
      <c r="F665" s="7">
        <f t="shared" si="83"/>
        <v>243.55120452294167</v>
      </c>
      <c r="G665">
        <v>0</v>
      </c>
      <c r="H665" s="7">
        <f t="shared" si="84"/>
        <v>0</v>
      </c>
      <c r="I665" s="7">
        <f t="shared" si="85"/>
        <v>0</v>
      </c>
      <c r="J665" s="7">
        <v>819.38105166136847</v>
      </c>
      <c r="K665" s="7">
        <f t="shared" si="86"/>
        <v>13.068278335906994</v>
      </c>
      <c r="L665" s="7">
        <f t="shared" si="87"/>
        <v>49.189151063166221</v>
      </c>
      <c r="M665" s="7">
        <v>680.37424334317575</v>
      </c>
      <c r="N665" s="7">
        <f t="shared" si="88"/>
        <v>54.256319245867289</v>
      </c>
      <c r="O665" s="7">
        <f t="shared" si="89"/>
        <v>20.537914935102574</v>
      </c>
    </row>
    <row r="666" spans="3:15" x14ac:dyDescent="0.2">
      <c r="C666">
        <v>647</v>
      </c>
      <c r="D666" s="7">
        <v>3017.1135687472311</v>
      </c>
      <c r="E666" s="7">
        <f t="shared" si="82"/>
        <v>90.224688060622938</v>
      </c>
      <c r="F666" s="7">
        <f t="shared" si="83"/>
        <v>243.63945788475189</v>
      </c>
      <c r="G666">
        <v>0</v>
      </c>
      <c r="H666" s="7">
        <f t="shared" si="84"/>
        <v>0</v>
      </c>
      <c r="I666" s="7">
        <f t="shared" si="85"/>
        <v>0</v>
      </c>
      <c r="J666" s="7">
        <v>64.905681249939335</v>
      </c>
      <c r="K666" s="7">
        <f t="shared" si="86"/>
        <v>1.0351783293451251</v>
      </c>
      <c r="L666" s="7">
        <f t="shared" si="87"/>
        <v>3.8964232250521129</v>
      </c>
      <c r="M666" s="7">
        <v>0</v>
      </c>
      <c r="N666" s="7">
        <f t="shared" si="88"/>
        <v>0</v>
      </c>
      <c r="O666" s="7">
        <f t="shared" si="89"/>
        <v>0</v>
      </c>
    </row>
    <row r="667" spans="3:15" x14ac:dyDescent="0.2">
      <c r="C667">
        <v>648</v>
      </c>
      <c r="D667" s="7">
        <v>2910.7959583306606</v>
      </c>
      <c r="E667" s="7">
        <f t="shared" si="82"/>
        <v>87.045333682136985</v>
      </c>
      <c r="F667" s="7">
        <f t="shared" si="83"/>
        <v>235.05404524605862</v>
      </c>
      <c r="G667">
        <v>0</v>
      </c>
      <c r="H667" s="7">
        <f t="shared" si="84"/>
        <v>0</v>
      </c>
      <c r="I667" s="7">
        <f t="shared" si="85"/>
        <v>0</v>
      </c>
      <c r="J667" s="7">
        <v>0</v>
      </c>
      <c r="K667" s="7">
        <f t="shared" si="86"/>
        <v>0</v>
      </c>
      <c r="L667" s="7">
        <f t="shared" si="87"/>
        <v>0</v>
      </c>
      <c r="M667" s="7">
        <v>0</v>
      </c>
      <c r="N667" s="7">
        <f t="shared" si="88"/>
        <v>0</v>
      </c>
      <c r="O667" s="7">
        <f t="shared" si="89"/>
        <v>0</v>
      </c>
    </row>
    <row r="668" spans="3:15" x14ac:dyDescent="0.2">
      <c r="C668">
        <v>649</v>
      </c>
      <c r="D668" s="7">
        <v>2739.5726666641513</v>
      </c>
      <c r="E668" s="7">
        <f t="shared" si="82"/>
        <v>81.925019936128933</v>
      </c>
      <c r="F668" s="7">
        <f t="shared" si="83"/>
        <v>221.22733670217281</v>
      </c>
      <c r="G668">
        <v>0</v>
      </c>
      <c r="H668" s="7">
        <f t="shared" si="84"/>
        <v>0</v>
      </c>
      <c r="I668" s="7">
        <f t="shared" si="85"/>
        <v>0</v>
      </c>
      <c r="J668" s="7">
        <v>0</v>
      </c>
      <c r="K668" s="7">
        <f t="shared" si="86"/>
        <v>0</v>
      </c>
      <c r="L668" s="7">
        <f t="shared" si="87"/>
        <v>0</v>
      </c>
      <c r="M668" s="7">
        <v>0</v>
      </c>
      <c r="N668" s="7">
        <f t="shared" si="88"/>
        <v>0</v>
      </c>
      <c r="O668" s="7">
        <f t="shared" si="89"/>
        <v>0</v>
      </c>
    </row>
    <row r="669" spans="3:15" x14ac:dyDescent="0.2">
      <c r="C669">
        <v>650</v>
      </c>
      <c r="D669" s="7">
        <v>2739.5726666641513</v>
      </c>
      <c r="E669" s="7">
        <f t="shared" si="82"/>
        <v>81.925019936128933</v>
      </c>
      <c r="F669" s="7">
        <f t="shared" si="83"/>
        <v>221.22733670217281</v>
      </c>
      <c r="G669">
        <v>0</v>
      </c>
      <c r="H669" s="7">
        <f t="shared" si="84"/>
        <v>0</v>
      </c>
      <c r="I669" s="7">
        <f t="shared" si="85"/>
        <v>0</v>
      </c>
      <c r="J669" s="7">
        <v>0</v>
      </c>
      <c r="K669" s="7">
        <f t="shared" si="86"/>
        <v>0</v>
      </c>
      <c r="L669" s="7">
        <f t="shared" si="87"/>
        <v>0</v>
      </c>
      <c r="M669" s="7">
        <v>0</v>
      </c>
      <c r="N669" s="7">
        <f t="shared" si="88"/>
        <v>0</v>
      </c>
      <c r="O669" s="7">
        <f t="shared" si="89"/>
        <v>0</v>
      </c>
    </row>
    <row r="670" spans="3:15" x14ac:dyDescent="0.2">
      <c r="C670">
        <v>651</v>
      </c>
      <c r="D670" s="7">
        <v>2910.7959583306615</v>
      </c>
      <c r="E670" s="7">
        <f t="shared" si="82"/>
        <v>87.045333682137013</v>
      </c>
      <c r="F670" s="7">
        <f t="shared" si="83"/>
        <v>235.05404524605868</v>
      </c>
      <c r="G670">
        <v>0</v>
      </c>
      <c r="H670" s="7">
        <f t="shared" si="84"/>
        <v>0</v>
      </c>
      <c r="I670" s="7">
        <f t="shared" si="85"/>
        <v>0</v>
      </c>
      <c r="J670" s="7">
        <v>0</v>
      </c>
      <c r="K670" s="7">
        <f t="shared" si="86"/>
        <v>0</v>
      </c>
      <c r="L670" s="7">
        <f t="shared" si="87"/>
        <v>0</v>
      </c>
      <c r="M670" s="7">
        <v>0</v>
      </c>
      <c r="N670" s="7">
        <f t="shared" si="88"/>
        <v>0</v>
      </c>
      <c r="O670" s="7">
        <f t="shared" si="89"/>
        <v>0</v>
      </c>
    </row>
    <row r="671" spans="3:15" x14ac:dyDescent="0.2">
      <c r="C671">
        <v>652</v>
      </c>
      <c r="D671" s="7">
        <v>3024.2608171075676</v>
      </c>
      <c r="E671" s="7">
        <f t="shared" si="82"/>
        <v>90.438421564221528</v>
      </c>
      <c r="F671" s="7">
        <f t="shared" si="83"/>
        <v>244.21661604476213</v>
      </c>
      <c r="G671">
        <v>0</v>
      </c>
      <c r="H671" s="7">
        <f t="shared" si="84"/>
        <v>0</v>
      </c>
      <c r="I671" s="7">
        <f t="shared" si="85"/>
        <v>0</v>
      </c>
      <c r="J671" s="7">
        <v>57.758432889602773</v>
      </c>
      <c r="K671" s="7">
        <f t="shared" si="86"/>
        <v>0.9211871274258816</v>
      </c>
      <c r="L671" s="7">
        <f t="shared" si="87"/>
        <v>3.4673590203457327</v>
      </c>
      <c r="M671" s="7">
        <v>0</v>
      </c>
      <c r="N671" s="7">
        <f t="shared" si="88"/>
        <v>0</v>
      </c>
      <c r="O671" s="7">
        <f t="shared" si="89"/>
        <v>0</v>
      </c>
    </row>
    <row r="672" spans="3:15" x14ac:dyDescent="0.2">
      <c r="C672">
        <v>653</v>
      </c>
      <c r="D672" s="7">
        <v>3025.3583038347751</v>
      </c>
      <c r="E672" s="7">
        <f t="shared" si="82"/>
        <v>90.471241143384432</v>
      </c>
      <c r="F672" s="7">
        <f t="shared" si="83"/>
        <v>244.30524083967285</v>
      </c>
      <c r="G672">
        <v>0</v>
      </c>
      <c r="H672" s="7">
        <f t="shared" si="84"/>
        <v>0</v>
      </c>
      <c r="I672" s="7">
        <f t="shared" si="85"/>
        <v>0</v>
      </c>
      <c r="J672" s="7">
        <v>227.88423782890459</v>
      </c>
      <c r="K672" s="7">
        <f t="shared" si="86"/>
        <v>3.634517349743295</v>
      </c>
      <c r="L672" s="7">
        <f t="shared" si="87"/>
        <v>13.68036541332309</v>
      </c>
      <c r="M672" s="7">
        <v>0</v>
      </c>
      <c r="N672" s="7">
        <f t="shared" si="88"/>
        <v>0</v>
      </c>
      <c r="O672" s="7">
        <f t="shared" si="89"/>
        <v>0</v>
      </c>
    </row>
    <row r="673" spans="3:15" x14ac:dyDescent="0.2">
      <c r="C673">
        <v>654</v>
      </c>
      <c r="D673" s="7">
        <v>3026.4577924451046</v>
      </c>
      <c r="E673" s="7">
        <f t="shared" si="82"/>
        <v>90.504120587473224</v>
      </c>
      <c r="F673" s="7">
        <f t="shared" si="83"/>
        <v>244.39402729164667</v>
      </c>
      <c r="G673">
        <v>0</v>
      </c>
      <c r="H673" s="7">
        <f t="shared" si="84"/>
        <v>0</v>
      </c>
      <c r="I673" s="7">
        <f t="shared" si="85"/>
        <v>0</v>
      </c>
      <c r="J673" s="7">
        <v>398.00804088508448</v>
      </c>
      <c r="K673" s="7">
        <f t="shared" si="86"/>
        <v>6.3478156441002316</v>
      </c>
      <c r="L673" s="7">
        <f t="shared" si="87"/>
        <v>23.893251629087302</v>
      </c>
      <c r="M673" s="7">
        <v>0</v>
      </c>
      <c r="N673" s="7">
        <f t="shared" si="88"/>
        <v>0</v>
      </c>
      <c r="O673" s="7">
        <f t="shared" si="89"/>
        <v>0</v>
      </c>
    </row>
    <row r="674" spans="3:15" x14ac:dyDescent="0.2">
      <c r="C674">
        <v>655</v>
      </c>
      <c r="D674" s="7">
        <v>3027.5592668108748</v>
      </c>
      <c r="E674" s="7">
        <f t="shared" si="82"/>
        <v>90.537059414200812</v>
      </c>
      <c r="F674" s="7">
        <f t="shared" si="83"/>
        <v>244.48297409833305</v>
      </c>
      <c r="G674">
        <v>0</v>
      </c>
      <c r="H674" s="7">
        <f t="shared" si="84"/>
        <v>0</v>
      </c>
      <c r="I674" s="7">
        <f t="shared" si="85"/>
        <v>0</v>
      </c>
      <c r="J674" s="7">
        <v>568.12985818582365</v>
      </c>
      <c r="K674" s="7">
        <f t="shared" si="86"/>
        <v>9.0610822677164862</v>
      </c>
      <c r="L674" s="7">
        <f t="shared" si="87"/>
        <v>34.106018635816653</v>
      </c>
      <c r="M674" s="7">
        <v>680.37424334317575</v>
      </c>
      <c r="N674" s="7">
        <f t="shared" si="88"/>
        <v>54.256319245867289</v>
      </c>
      <c r="O674" s="7">
        <f t="shared" si="89"/>
        <v>20.537914935102574</v>
      </c>
    </row>
    <row r="675" spans="3:15" x14ac:dyDescent="0.2">
      <c r="C675">
        <v>656</v>
      </c>
      <c r="D675" s="7">
        <v>3028.6627108657876</v>
      </c>
      <c r="E675" s="7">
        <f t="shared" si="82"/>
        <v>90.570057143115662</v>
      </c>
      <c r="F675" s="7">
        <f t="shared" si="83"/>
        <v>244.57207996233828</v>
      </c>
      <c r="G675">
        <v>0</v>
      </c>
      <c r="H675" s="7">
        <f t="shared" si="84"/>
        <v>0</v>
      </c>
      <c r="I675" s="7">
        <f t="shared" si="85"/>
        <v>0</v>
      </c>
      <c r="J675" s="7">
        <v>738.24970579742057</v>
      </c>
      <c r="K675" s="7">
        <f t="shared" si="86"/>
        <v>11.774317476832865</v>
      </c>
      <c r="L675" s="7">
        <f t="shared" si="87"/>
        <v>44.318667398004514</v>
      </c>
      <c r="M675" s="7">
        <v>680.37424334317575</v>
      </c>
      <c r="N675" s="7">
        <f t="shared" si="88"/>
        <v>54.256319245867289</v>
      </c>
      <c r="O675" s="7">
        <f t="shared" si="89"/>
        <v>20.537914935102574</v>
      </c>
    </row>
    <row r="676" spans="3:15" x14ac:dyDescent="0.2">
      <c r="C676">
        <v>657</v>
      </c>
      <c r="D676" s="7">
        <v>3029.7681086047655</v>
      </c>
      <c r="E676" s="7">
        <f t="shared" si="82"/>
        <v>90.603113295597055</v>
      </c>
      <c r="F676" s="7">
        <f t="shared" si="83"/>
        <v>244.66134359121236</v>
      </c>
      <c r="G676">
        <v>0</v>
      </c>
      <c r="H676" s="7">
        <f t="shared" si="84"/>
        <v>0</v>
      </c>
      <c r="I676" s="7">
        <f t="shared" si="85"/>
        <v>0</v>
      </c>
      <c r="J676" s="7">
        <v>908.36759972495202</v>
      </c>
      <c r="K676" s="7">
        <f t="shared" si="86"/>
        <v>14.487521526713749</v>
      </c>
      <c r="L676" s="7">
        <f t="shared" si="87"/>
        <v>54.531198876468963</v>
      </c>
      <c r="M676" s="7">
        <v>0</v>
      </c>
      <c r="N676" s="7">
        <f t="shared" si="88"/>
        <v>0</v>
      </c>
      <c r="O676" s="7">
        <f t="shared" si="89"/>
        <v>0</v>
      </c>
    </row>
    <row r="677" spans="3:15" x14ac:dyDescent="0.2">
      <c r="C677">
        <v>658</v>
      </c>
      <c r="D677" s="7">
        <v>3030.8754440837611</v>
      </c>
      <c r="E677" s="7">
        <f t="shared" si="82"/>
        <v>90.636227394849314</v>
      </c>
      <c r="F677" s="7">
        <f t="shared" si="83"/>
        <v>244.75076369743363</v>
      </c>
      <c r="G677">
        <v>0</v>
      </c>
      <c r="H677" s="7">
        <f t="shared" si="84"/>
        <v>0</v>
      </c>
      <c r="I677" s="7">
        <f t="shared" si="85"/>
        <v>0</v>
      </c>
      <c r="J677" s="7">
        <v>1078.4835559124658</v>
      </c>
      <c r="K677" s="7">
        <f t="shared" si="86"/>
        <v>17.200694671650172</v>
      </c>
      <c r="L677" s="7">
        <f t="shared" si="87"/>
        <v>64.743614028364391</v>
      </c>
      <c r="M677" s="7">
        <v>0</v>
      </c>
      <c r="N677" s="7">
        <f t="shared" si="88"/>
        <v>0</v>
      </c>
      <c r="O677" s="7">
        <f t="shared" si="89"/>
        <v>0</v>
      </c>
    </row>
    <row r="678" spans="3:15" x14ac:dyDescent="0.2">
      <c r="C678">
        <v>659</v>
      </c>
      <c r="D678" s="7">
        <v>3031.9847014195766</v>
      </c>
      <c r="E678" s="7">
        <f t="shared" si="82"/>
        <v>90.669398965896434</v>
      </c>
      <c r="F678" s="7">
        <f t="shared" si="83"/>
        <v>244.8403389983942</v>
      </c>
      <c r="G678">
        <v>0</v>
      </c>
      <c r="H678" s="7">
        <f t="shared" si="84"/>
        <v>0</v>
      </c>
      <c r="I678" s="7">
        <f t="shared" si="85"/>
        <v>0</v>
      </c>
      <c r="J678" s="7">
        <v>1248.5975902431601</v>
      </c>
      <c r="K678" s="7">
        <f t="shared" si="86"/>
        <v>19.913837164962683</v>
      </c>
      <c r="L678" s="7">
        <f t="shared" si="87"/>
        <v>74.955913807192303</v>
      </c>
      <c r="M678" s="7">
        <v>0</v>
      </c>
      <c r="N678" s="7">
        <f t="shared" si="88"/>
        <v>0</v>
      </c>
      <c r="O678" s="7">
        <f t="shared" si="89"/>
        <v>0</v>
      </c>
    </row>
    <row r="679" spans="3:15" x14ac:dyDescent="0.2">
      <c r="C679">
        <v>660</v>
      </c>
      <c r="D679" s="7">
        <v>3033.0958647896905</v>
      </c>
      <c r="E679" s="7">
        <f t="shared" si="82"/>
        <v>90.70262753557688</v>
      </c>
      <c r="F679" s="7">
        <f t="shared" si="83"/>
        <v>244.93006821638593</v>
      </c>
      <c r="G679">
        <v>0</v>
      </c>
      <c r="H679" s="7">
        <f t="shared" si="84"/>
        <v>0</v>
      </c>
      <c r="I679" s="7">
        <f t="shared" si="85"/>
        <v>0</v>
      </c>
      <c r="J679" s="7">
        <v>1418.7097185395569</v>
      </c>
      <c r="K679" s="7">
        <f t="shared" si="86"/>
        <v>22.6269492590041</v>
      </c>
      <c r="L679" s="7">
        <f t="shared" si="87"/>
        <v>85.168099162811615</v>
      </c>
      <c r="M679" s="7">
        <v>0</v>
      </c>
      <c r="N679" s="7">
        <f t="shared" si="88"/>
        <v>0</v>
      </c>
      <c r="O679" s="7">
        <f t="shared" si="89"/>
        <v>0</v>
      </c>
    </row>
    <row r="680" spans="3:15" x14ac:dyDescent="0.2">
      <c r="C680">
        <v>661</v>
      </c>
      <c r="D680" s="7">
        <v>3034.208918432088</v>
      </c>
      <c r="E680" s="7">
        <f t="shared" si="82"/>
        <v>90.735912632538529</v>
      </c>
      <c r="F680" s="7">
        <f t="shared" si="83"/>
        <v>245.01995007858676</v>
      </c>
      <c r="G680">
        <v>0</v>
      </c>
      <c r="H680" s="7">
        <f t="shared" si="84"/>
        <v>0</v>
      </c>
      <c r="I680" s="7">
        <f t="shared" si="85"/>
        <v>0</v>
      </c>
      <c r="J680" s="7">
        <v>1588.8199565636683</v>
      </c>
      <c r="K680" s="7">
        <f t="shared" si="86"/>
        <v>25.340031205162173</v>
      </c>
      <c r="L680" s="7">
        <f t="shared" si="87"/>
        <v>95.380171041448733</v>
      </c>
      <c r="M680" s="7">
        <v>0</v>
      </c>
      <c r="N680" s="7">
        <f t="shared" si="88"/>
        <v>0</v>
      </c>
      <c r="O680" s="7">
        <f t="shared" si="89"/>
        <v>0</v>
      </c>
    </row>
    <row r="681" spans="3:15" x14ac:dyDescent="0.2">
      <c r="C681">
        <v>662</v>
      </c>
      <c r="D681" s="7">
        <v>3035.3238466450616</v>
      </c>
      <c r="E681" s="7">
        <f t="shared" si="82"/>
        <v>90.769253787232714</v>
      </c>
      <c r="F681" s="7">
        <f t="shared" si="83"/>
        <v>245.10998331704457</v>
      </c>
      <c r="G681">
        <v>0</v>
      </c>
      <c r="H681" s="7">
        <f t="shared" si="84"/>
        <v>0</v>
      </c>
      <c r="I681" s="7">
        <f t="shared" si="85"/>
        <v>0</v>
      </c>
      <c r="J681" s="7">
        <v>1758.9283200172044</v>
      </c>
      <c r="K681" s="7">
        <f t="shared" si="86"/>
        <v>28.053083253862912</v>
      </c>
      <c r="L681" s="7">
        <f t="shared" si="87"/>
        <v>105.59213038571006</v>
      </c>
      <c r="M681" s="7">
        <v>0</v>
      </c>
      <c r="N681" s="7">
        <f t="shared" si="88"/>
        <v>0</v>
      </c>
      <c r="O681" s="7">
        <f t="shared" si="89"/>
        <v>0</v>
      </c>
    </row>
    <row r="682" spans="3:15" x14ac:dyDescent="0.2">
      <c r="C682">
        <v>663</v>
      </c>
      <c r="D682" s="7">
        <v>3036.4406337870528</v>
      </c>
      <c r="E682" s="7">
        <f t="shared" si="82"/>
        <v>90.802650531909478</v>
      </c>
      <c r="F682" s="7">
        <f t="shared" si="83"/>
        <v>245.20016666866442</v>
      </c>
      <c r="G682">
        <v>0</v>
      </c>
      <c r="H682" s="7">
        <f t="shared" si="84"/>
        <v>0</v>
      </c>
      <c r="I682" s="7">
        <f t="shared" si="85"/>
        <v>0</v>
      </c>
      <c r="J682" s="7">
        <v>1586.5882412087026</v>
      </c>
      <c r="K682" s="7">
        <f t="shared" si="86"/>
        <v>25.304437658830985</v>
      </c>
      <c r="L682" s="7">
        <f t="shared" si="87"/>
        <v>95.246196520677472</v>
      </c>
      <c r="M682" s="7">
        <v>0</v>
      </c>
      <c r="N682" s="7">
        <f t="shared" si="88"/>
        <v>0</v>
      </c>
      <c r="O682" s="7">
        <f t="shared" si="89"/>
        <v>0</v>
      </c>
    </row>
    <row r="683" spans="3:15" x14ac:dyDescent="0.2">
      <c r="C683">
        <v>664</v>
      </c>
      <c r="D683" s="7">
        <v>3037.5592642764623</v>
      </c>
      <c r="E683" s="7">
        <f t="shared" si="82"/>
        <v>90.836102400611921</v>
      </c>
      <c r="F683" s="7">
        <f t="shared" si="83"/>
        <v>245.29049887519329</v>
      </c>
      <c r="G683">
        <v>0</v>
      </c>
      <c r="H683" s="7">
        <f t="shared" si="84"/>
        <v>0</v>
      </c>
      <c r="I683" s="7">
        <f t="shared" si="85"/>
        <v>0</v>
      </c>
      <c r="J683" s="7">
        <v>1756.692902385802</v>
      </c>
      <c r="K683" s="7">
        <f t="shared" si="86"/>
        <v>28.01743066006064</v>
      </c>
      <c r="L683" s="7">
        <f t="shared" si="87"/>
        <v>105.45793360957352</v>
      </c>
      <c r="M683" s="7">
        <v>680.37424334317575</v>
      </c>
      <c r="N683" s="7">
        <f t="shared" si="88"/>
        <v>54.256319245867289</v>
      </c>
      <c r="O683" s="7">
        <f t="shared" si="89"/>
        <v>20.537914935102574</v>
      </c>
    </row>
    <row r="684" spans="3:15" x14ac:dyDescent="0.2">
      <c r="C684">
        <v>665</v>
      </c>
      <c r="D684" s="7">
        <v>3038.6797225914843</v>
      </c>
      <c r="E684" s="7">
        <f t="shared" si="82"/>
        <v>90.869608929171193</v>
      </c>
      <c r="F684" s="7">
        <f t="shared" si="83"/>
        <v>245.38097868320654</v>
      </c>
      <c r="G684">
        <v>0</v>
      </c>
      <c r="H684" s="7">
        <f t="shared" si="84"/>
        <v>0</v>
      </c>
      <c r="I684" s="7">
        <f t="shared" si="85"/>
        <v>0</v>
      </c>
      <c r="J684" s="7">
        <v>2440.4656107368182</v>
      </c>
      <c r="K684" s="7">
        <f t="shared" si="86"/>
        <v>38.922896502979562</v>
      </c>
      <c r="L684" s="7">
        <f t="shared" si="87"/>
        <v>146.5062333911612</v>
      </c>
      <c r="M684" s="7">
        <v>680.37424334317575</v>
      </c>
      <c r="N684" s="7">
        <f t="shared" si="88"/>
        <v>54.256319245867289</v>
      </c>
      <c r="O684" s="7">
        <f t="shared" si="89"/>
        <v>20.537914935102574</v>
      </c>
    </row>
    <row r="685" spans="3:15" x14ac:dyDescent="0.2">
      <c r="C685">
        <v>666</v>
      </c>
      <c r="D685" s="7">
        <v>3039.8019932699244</v>
      </c>
      <c r="E685" s="7">
        <f t="shared" si="82"/>
        <v>90.903169655201097</v>
      </c>
      <c r="F685" s="7">
        <f t="shared" si="83"/>
        <v>245.47160484409335</v>
      </c>
      <c r="G685">
        <v>0</v>
      </c>
      <c r="H685" s="7">
        <f t="shared" si="84"/>
        <v>0</v>
      </c>
      <c r="I685" s="7">
        <f t="shared" si="85"/>
        <v>0</v>
      </c>
      <c r="J685" s="7">
        <v>2268.1200483918674</v>
      </c>
      <c r="K685" s="7">
        <f t="shared" si="86"/>
        <v>36.174163451225958</v>
      </c>
      <c r="L685" s="7">
        <f t="shared" si="87"/>
        <v>136.15997033801497</v>
      </c>
      <c r="M685" s="7">
        <v>680.37424334317575</v>
      </c>
      <c r="N685" s="7">
        <f t="shared" si="88"/>
        <v>54.256319245867289</v>
      </c>
      <c r="O685" s="7">
        <f t="shared" si="89"/>
        <v>20.537914935102574</v>
      </c>
    </row>
    <row r="686" spans="3:15" x14ac:dyDescent="0.2">
      <c r="C686">
        <v>667</v>
      </c>
      <c r="D686" s="7">
        <v>3040.9260609090284</v>
      </c>
      <c r="E686" s="7">
        <f t="shared" si="82"/>
        <v>90.936784118092959</v>
      </c>
      <c r="F686" s="7">
        <f t="shared" si="83"/>
        <v>245.56237611404288</v>
      </c>
      <c r="G686">
        <v>0</v>
      </c>
      <c r="H686" s="7">
        <f t="shared" si="84"/>
        <v>0</v>
      </c>
      <c r="I686" s="7">
        <f t="shared" si="85"/>
        <v>0</v>
      </c>
      <c r="J686" s="7">
        <v>2609.442564085783</v>
      </c>
      <c r="K686" s="7">
        <f t="shared" si="86"/>
        <v>41.617903733425571</v>
      </c>
      <c r="L686" s="7">
        <f t="shared" si="87"/>
        <v>156.65027183044759</v>
      </c>
      <c r="M686" s="7">
        <v>680.37424334317575</v>
      </c>
      <c r="N686" s="7">
        <f t="shared" si="88"/>
        <v>54.256319245867289</v>
      </c>
      <c r="O686" s="7">
        <f t="shared" si="89"/>
        <v>20.537914935102574</v>
      </c>
    </row>
    <row r="687" spans="3:15" x14ac:dyDescent="0.2">
      <c r="C687">
        <v>668</v>
      </c>
      <c r="D687" s="7">
        <v>3042.0519101652985</v>
      </c>
      <c r="E687" s="7">
        <f t="shared" si="82"/>
        <v>90.970451859010126</v>
      </c>
      <c r="F687" s="7">
        <f t="shared" si="83"/>
        <v>245.65329125402931</v>
      </c>
      <c r="G687">
        <v>0</v>
      </c>
      <c r="H687" s="7">
        <f t="shared" si="84"/>
        <v>0</v>
      </c>
      <c r="I687" s="7">
        <f t="shared" si="85"/>
        <v>0</v>
      </c>
      <c r="J687" s="7">
        <v>2231.625473163193</v>
      </c>
      <c r="K687" s="7">
        <f t="shared" si="86"/>
        <v>35.592112809620303</v>
      </c>
      <c r="L687" s="7">
        <f t="shared" si="87"/>
        <v>133.96912497947324</v>
      </c>
      <c r="M687" s="7">
        <v>680.37424334317575</v>
      </c>
      <c r="N687" s="7">
        <f t="shared" si="88"/>
        <v>54.256319245867289</v>
      </c>
      <c r="O687" s="7">
        <f t="shared" si="89"/>
        <v>20.537914935102574</v>
      </c>
    </row>
    <row r="688" spans="3:15" x14ac:dyDescent="0.2">
      <c r="C688">
        <v>669</v>
      </c>
      <c r="D688" s="7">
        <v>3043.7086310291697</v>
      </c>
      <c r="E688" s="7">
        <f t="shared" si="82"/>
        <v>91.019994947044552</v>
      </c>
      <c r="F688" s="7">
        <f t="shared" si="83"/>
        <v>245.78707560252749</v>
      </c>
      <c r="G688">
        <v>0</v>
      </c>
      <c r="H688" s="7">
        <f t="shared" si="84"/>
        <v>0</v>
      </c>
      <c r="I688" s="7">
        <f t="shared" si="85"/>
        <v>0</v>
      </c>
      <c r="J688" s="7">
        <v>1853.2775106330009</v>
      </c>
      <c r="K688" s="7">
        <f t="shared" si="86"/>
        <v>29.557855034019155</v>
      </c>
      <c r="L688" s="7">
        <f t="shared" si="87"/>
        <v>111.25610880024371</v>
      </c>
      <c r="M688" s="7">
        <v>680.37424334317575</v>
      </c>
      <c r="N688" s="7">
        <f t="shared" si="88"/>
        <v>54.256319245867289</v>
      </c>
      <c r="O688" s="7">
        <f t="shared" si="89"/>
        <v>20.537914935102574</v>
      </c>
    </row>
    <row r="689" spans="3:15" x14ac:dyDescent="0.2">
      <c r="C689">
        <v>670</v>
      </c>
      <c r="D689" s="7">
        <v>3045.7185038855946</v>
      </c>
      <c r="E689" s="7">
        <f t="shared" si="82"/>
        <v>91.080098800406546</v>
      </c>
      <c r="F689" s="7">
        <f t="shared" si="83"/>
        <v>245.94937785665178</v>
      </c>
      <c r="G689">
        <v>0</v>
      </c>
      <c r="H689" s="7">
        <f t="shared" si="84"/>
        <v>0</v>
      </c>
      <c r="I689" s="7">
        <f t="shared" si="85"/>
        <v>0</v>
      </c>
      <c r="J689" s="7">
        <v>1474.5763961102543</v>
      </c>
      <c r="K689" s="7">
        <f t="shared" si="86"/>
        <v>23.517964850243292</v>
      </c>
      <c r="L689" s="7">
        <f t="shared" si="87"/>
        <v>88.521892171388444</v>
      </c>
      <c r="M689" s="7">
        <v>680.37424334317575</v>
      </c>
      <c r="N689" s="7">
        <f t="shared" si="88"/>
        <v>54.256319245867289</v>
      </c>
      <c r="O689" s="7">
        <f t="shared" si="89"/>
        <v>20.537914935102574</v>
      </c>
    </row>
    <row r="690" spans="3:15" x14ac:dyDescent="0.2">
      <c r="C690">
        <v>671</v>
      </c>
      <c r="D690" s="7">
        <v>3047.7284445404098</v>
      </c>
      <c r="E690" s="7">
        <f t="shared" si="82"/>
        <v>91.140204681232362</v>
      </c>
      <c r="F690" s="7">
        <f t="shared" si="83"/>
        <v>246.11168558566544</v>
      </c>
      <c r="G690">
        <v>0</v>
      </c>
      <c r="H690" s="7">
        <f t="shared" si="84"/>
        <v>0</v>
      </c>
      <c r="I690" s="7">
        <f t="shared" si="85"/>
        <v>0</v>
      </c>
      <c r="J690" s="7">
        <v>1095.8752137891192</v>
      </c>
      <c r="K690" s="7">
        <f t="shared" si="86"/>
        <v>17.478073585153417</v>
      </c>
      <c r="L690" s="7">
        <f t="shared" si="87"/>
        <v>65.787671472454718</v>
      </c>
      <c r="M690" s="7">
        <v>0</v>
      </c>
      <c r="N690" s="7">
        <f t="shared" si="88"/>
        <v>0</v>
      </c>
      <c r="O690" s="7">
        <f t="shared" si="89"/>
        <v>0</v>
      </c>
    </row>
    <row r="691" spans="3:15" x14ac:dyDescent="0.2">
      <c r="C691">
        <v>672</v>
      </c>
      <c r="D691" s="7">
        <v>3049.7384399789462</v>
      </c>
      <c r="E691" s="7">
        <f t="shared" si="82"/>
        <v>91.200312200327346</v>
      </c>
      <c r="F691" s="7">
        <f t="shared" si="83"/>
        <v>246.27399773860148</v>
      </c>
      <c r="G691">
        <v>0</v>
      </c>
      <c r="H691" s="7">
        <f t="shared" si="84"/>
        <v>0</v>
      </c>
      <c r="I691" s="7">
        <f t="shared" si="85"/>
        <v>0</v>
      </c>
      <c r="J691" s="7">
        <v>717.17397668426202</v>
      </c>
      <c r="K691" s="7">
        <f t="shared" si="86"/>
        <v>11.43818144631997</v>
      </c>
      <c r="L691" s="7">
        <f t="shared" si="87"/>
        <v>43.053447484740069</v>
      </c>
      <c r="M691" s="7">
        <v>0</v>
      </c>
      <c r="N691" s="7">
        <f t="shared" si="88"/>
        <v>0</v>
      </c>
      <c r="O691" s="7">
        <f t="shared" si="89"/>
        <v>0</v>
      </c>
    </row>
    <row r="692" spans="3:15" x14ac:dyDescent="0.2">
      <c r="C692" s="3" t="s">
        <v>35</v>
      </c>
      <c r="D692" s="9">
        <f>SUM(D20:D691)</f>
        <v>1999013.7215437628</v>
      </c>
      <c r="E692" s="9"/>
      <c r="F692" s="9">
        <f t="shared" ref="F692:O692" si="90">SUM(F20:F691)</f>
        <v>161425.35185486282</v>
      </c>
      <c r="G692" s="9">
        <f t="shared" si="90"/>
        <v>0</v>
      </c>
      <c r="H692" s="9"/>
      <c r="I692" s="9">
        <f t="shared" si="90"/>
        <v>0</v>
      </c>
      <c r="J692" s="9">
        <f t="shared" si="90"/>
        <v>1028260.9548372098</v>
      </c>
      <c r="K692" s="9"/>
      <c r="L692" s="9">
        <f t="shared" si="90"/>
        <v>61728.64668677529</v>
      </c>
      <c r="M692" s="9">
        <f t="shared" si="90"/>
        <v>209555.26694969658</v>
      </c>
      <c r="N692" s="9"/>
      <c r="O692" s="9">
        <f t="shared" si="90"/>
        <v>6325.6778000116165</v>
      </c>
    </row>
  </sheetData>
  <mergeCells count="11">
    <mergeCell ref="D13:O13"/>
    <mergeCell ref="D14:I14"/>
    <mergeCell ref="J14:O14"/>
    <mergeCell ref="P14:Q14"/>
    <mergeCell ref="R14:S14"/>
    <mergeCell ref="V14:W14"/>
    <mergeCell ref="D15:F15"/>
    <mergeCell ref="G15:I15"/>
    <mergeCell ref="J15:L15"/>
    <mergeCell ref="M15:O15"/>
    <mergeCell ref="T14:U1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Winter</vt:lpstr>
      <vt:lpstr>Spring_Autumn</vt:lpstr>
      <vt:lpstr>Summer</vt:lpstr>
      <vt:lpstr>Spring_Autumn!Print_Area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2026-05-04T11:24:24Z</dcterms:created>
  <dcterms:modified xsi:type="dcterms:W3CDTF">2026-07-11T09:08:18Z</dcterms:modified>
</cp:coreProperties>
</file>