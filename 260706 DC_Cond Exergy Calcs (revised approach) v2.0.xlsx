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03 Excel Analysis Files/"/>
    </mc:Choice>
  </mc:AlternateContent>
  <xr:revisionPtr revIDLastSave="0" documentId="13_ncr:1_{382F4474-6751-3B4A-A9CB-61A54E2287E5}" xr6:coauthVersionLast="47" xr6:coauthVersionMax="47" xr10:uidLastSave="{00000000-0000-0000-0000-000000000000}"/>
  <bookViews>
    <workbookView xWindow="0" yWindow="0" windowWidth="40960" windowHeight="23040" xr2:uid="{CFE7E63E-0C41-C84D-AED0-B596B91BC05D}"/>
  </bookViews>
  <sheets>
    <sheet name="Properties" sheetId="3" r:id="rId1"/>
    <sheet name="Winter" sheetId="5" r:id="rId2"/>
    <sheet name="Spring Autumn" sheetId="9" r:id="rId3"/>
    <sheet name="Summer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" l="1"/>
  <c r="H4" i="10"/>
  <c r="G4" i="10"/>
  <c r="H4" i="9"/>
  <c r="G4" i="9"/>
  <c r="G4" i="5"/>
  <c r="E7" i="3"/>
  <c r="C7" i="3"/>
  <c r="F9" i="3"/>
  <c r="F8" i="3"/>
  <c r="D9" i="3"/>
  <c r="D8" i="3"/>
  <c r="H4" i="5" l="1"/>
  <c r="F6" i="10"/>
  <c r="C6" i="10"/>
  <c r="F6" i="9"/>
  <c r="C6" i="9"/>
  <c r="D4" i="3"/>
  <c r="D10" i="3" l="1"/>
  <c r="F10" i="3"/>
  <c r="F6" i="5"/>
  <c r="C6" i="5"/>
  <c r="G5" i="5" l="1"/>
  <c r="G5" i="10"/>
  <c r="G5" i="9"/>
  <c r="D5" i="10"/>
  <c r="D5" i="9"/>
  <c r="D5" i="5"/>
  <c r="E22" i="9" l="1"/>
  <c r="E38" i="9"/>
  <c r="E54" i="9"/>
  <c r="E70" i="9"/>
  <c r="E86" i="9"/>
  <c r="E102" i="9"/>
  <c r="E118" i="9"/>
  <c r="E134" i="9"/>
  <c r="E150" i="9"/>
  <c r="E166" i="9"/>
  <c r="E24" i="9"/>
  <c r="E45" i="9"/>
  <c r="E67" i="9"/>
  <c r="E88" i="9"/>
  <c r="E109" i="9"/>
  <c r="E131" i="9"/>
  <c r="E152" i="9"/>
  <c r="E173" i="9"/>
  <c r="E189" i="9"/>
  <c r="E205" i="9"/>
  <c r="E221" i="9"/>
  <c r="E237" i="9"/>
  <c r="E253" i="9"/>
  <c r="E269" i="9"/>
  <c r="E285" i="9"/>
  <c r="E301" i="9"/>
  <c r="E317" i="9"/>
  <c r="E333" i="9"/>
  <c r="E349" i="9"/>
  <c r="E365" i="9"/>
  <c r="E381" i="9"/>
  <c r="E397" i="9"/>
  <c r="E413" i="9"/>
  <c r="E20" i="9"/>
  <c r="E48" i="9"/>
  <c r="E76" i="9"/>
  <c r="E105" i="9"/>
  <c r="E133" i="9"/>
  <c r="E161" i="9"/>
  <c r="E186" i="9"/>
  <c r="E207" i="9"/>
  <c r="E14" i="9"/>
  <c r="E34" i="9"/>
  <c r="E58" i="9"/>
  <c r="E78" i="9"/>
  <c r="E98" i="9"/>
  <c r="E122" i="9"/>
  <c r="E142" i="9"/>
  <c r="E162" i="9"/>
  <c r="E29" i="9"/>
  <c r="E56" i="9"/>
  <c r="E83" i="9"/>
  <c r="E115" i="9"/>
  <c r="E141" i="9"/>
  <c r="E168" i="9"/>
  <c r="E193" i="9"/>
  <c r="E213" i="9"/>
  <c r="E233" i="9"/>
  <c r="E257" i="9"/>
  <c r="E277" i="9"/>
  <c r="E297" i="9"/>
  <c r="E321" i="9"/>
  <c r="E341" i="9"/>
  <c r="E361" i="9"/>
  <c r="E385" i="9"/>
  <c r="E405" i="9"/>
  <c r="E12" i="9"/>
  <c r="E55" i="9"/>
  <c r="E91" i="9"/>
  <c r="E127" i="9"/>
  <c r="E169" i="9"/>
  <c r="E196" i="9"/>
  <c r="E223" i="9"/>
  <c r="E244" i="9"/>
  <c r="E266" i="9"/>
  <c r="E287" i="9"/>
  <c r="E308" i="9"/>
  <c r="E330" i="9"/>
  <c r="E351" i="9"/>
  <c r="E372" i="9"/>
  <c r="E394" i="9"/>
  <c r="E415" i="9"/>
  <c r="E433" i="9"/>
  <c r="E449" i="9"/>
  <c r="E465" i="9"/>
  <c r="E481" i="9"/>
  <c r="E497" i="9"/>
  <c r="E513" i="9"/>
  <c r="E529" i="9"/>
  <c r="E545" i="9"/>
  <c r="E561" i="9"/>
  <c r="E577" i="9"/>
  <c r="E593" i="9"/>
  <c r="E609" i="9"/>
  <c r="E625" i="9"/>
  <c r="E641" i="9"/>
  <c r="E657" i="9"/>
  <c r="E673" i="9"/>
  <c r="E28" i="9"/>
  <c r="E57" i="9"/>
  <c r="E85" i="9"/>
  <c r="E113" i="9"/>
  <c r="E143" i="9"/>
  <c r="E171" i="9"/>
  <c r="E192" i="9"/>
  <c r="E214" i="9"/>
  <c r="E235" i="9"/>
  <c r="E256" i="9"/>
  <c r="E278" i="9"/>
  <c r="E299" i="9"/>
  <c r="E320" i="9"/>
  <c r="E342" i="9"/>
  <c r="E363" i="9"/>
  <c r="E384" i="9"/>
  <c r="E406" i="9"/>
  <c r="E426" i="9"/>
  <c r="E442" i="9"/>
  <c r="E458" i="9"/>
  <c r="E474" i="9"/>
  <c r="E490" i="9"/>
  <c r="E506" i="9"/>
  <c r="E522" i="9"/>
  <c r="E538" i="9"/>
  <c r="E554" i="9"/>
  <c r="E570" i="9"/>
  <c r="E586" i="9"/>
  <c r="E602" i="9"/>
  <c r="E618" i="9"/>
  <c r="E634" i="9"/>
  <c r="E650" i="9"/>
  <c r="E9" i="9"/>
  <c r="E37" i="9"/>
  <c r="E65" i="9"/>
  <c r="E95" i="9"/>
  <c r="E123" i="9"/>
  <c r="E151" i="9"/>
  <c r="E178" i="9"/>
  <c r="E199" i="9"/>
  <c r="E220" i="9"/>
  <c r="E242" i="9"/>
  <c r="E263" i="9"/>
  <c r="E284" i="9"/>
  <c r="E306" i="9"/>
  <c r="E327" i="9"/>
  <c r="E348" i="9"/>
  <c r="E17" i="9"/>
  <c r="E47" i="9"/>
  <c r="E75" i="9"/>
  <c r="E103" i="9"/>
  <c r="E132" i="9"/>
  <c r="E160" i="9"/>
  <c r="E184" i="9"/>
  <c r="E206" i="9"/>
  <c r="E227" i="9"/>
  <c r="E248" i="9"/>
  <c r="E270" i="9"/>
  <c r="E291" i="9"/>
  <c r="E312" i="9"/>
  <c r="E334" i="9"/>
  <c r="E355" i="9"/>
  <c r="E402" i="9"/>
  <c r="E439" i="9"/>
  <c r="E471" i="9"/>
  <c r="E503" i="9"/>
  <c r="E535" i="9"/>
  <c r="E567" i="9"/>
  <c r="E599" i="9"/>
  <c r="E631" i="9"/>
  <c r="E663" i="9"/>
  <c r="E360" i="9"/>
  <c r="E403" i="9"/>
  <c r="E440" i="9"/>
  <c r="E472" i="9"/>
  <c r="E504" i="9"/>
  <c r="E536" i="9"/>
  <c r="E568" i="9"/>
  <c r="E600" i="9"/>
  <c r="E632" i="9"/>
  <c r="E664" i="9"/>
  <c r="E364" i="9"/>
  <c r="E407" i="9"/>
  <c r="E443" i="9"/>
  <c r="E475" i="9"/>
  <c r="E507" i="9"/>
  <c r="E539" i="9"/>
  <c r="E571" i="9"/>
  <c r="E603" i="9"/>
  <c r="E635" i="9"/>
  <c r="E666" i="9"/>
  <c r="E408" i="9"/>
  <c r="E540" i="9"/>
  <c r="E667" i="9"/>
  <c r="E484" i="9"/>
  <c r="E612" i="9"/>
  <c r="E428" i="9"/>
  <c r="E556" i="9"/>
  <c r="E678" i="9"/>
  <c r="E18" i="9"/>
  <c r="E42" i="9"/>
  <c r="E62" i="9"/>
  <c r="E82" i="9"/>
  <c r="E106" i="9"/>
  <c r="E126" i="9"/>
  <c r="E146" i="9"/>
  <c r="E170" i="9"/>
  <c r="E35" i="9"/>
  <c r="E61" i="9"/>
  <c r="E93" i="9"/>
  <c r="E120" i="9"/>
  <c r="E147" i="9"/>
  <c r="E177" i="9"/>
  <c r="E197" i="9"/>
  <c r="E217" i="9"/>
  <c r="E241" i="9"/>
  <c r="E261" i="9"/>
  <c r="E281" i="9"/>
  <c r="E305" i="9"/>
  <c r="E325" i="9"/>
  <c r="E345" i="9"/>
  <c r="E369" i="9"/>
  <c r="E389" i="9"/>
  <c r="E409" i="9"/>
  <c r="E27" i="9"/>
  <c r="E63" i="9"/>
  <c r="E97" i="9"/>
  <c r="E140" i="9"/>
  <c r="E175" i="9"/>
  <c r="E202" i="9"/>
  <c r="E228" i="9"/>
  <c r="E250" i="9"/>
  <c r="E271" i="9"/>
  <c r="E292" i="9"/>
  <c r="E314" i="9"/>
  <c r="E335" i="9"/>
  <c r="E356" i="9"/>
  <c r="E378" i="9"/>
  <c r="E399" i="9"/>
  <c r="E420" i="9"/>
  <c r="E437" i="9"/>
  <c r="E453" i="9"/>
  <c r="E469" i="9"/>
  <c r="E485" i="9"/>
  <c r="E501" i="9"/>
  <c r="E517" i="9"/>
  <c r="E533" i="9"/>
  <c r="E549" i="9"/>
  <c r="E565" i="9"/>
  <c r="E581" i="9"/>
  <c r="E597" i="9"/>
  <c r="E613" i="9"/>
  <c r="E629" i="9"/>
  <c r="E645" i="9"/>
  <c r="E661" i="9"/>
  <c r="E677" i="9"/>
  <c r="E36" i="9"/>
  <c r="E64" i="9"/>
  <c r="E92" i="9"/>
  <c r="E121" i="9"/>
  <c r="E149" i="9"/>
  <c r="E176" i="9"/>
  <c r="E198" i="9"/>
  <c r="E219" i="9"/>
  <c r="E240" i="9"/>
  <c r="E262" i="9"/>
  <c r="E283" i="9"/>
  <c r="E304" i="9"/>
  <c r="E326" i="9"/>
  <c r="E347" i="9"/>
  <c r="E368" i="9"/>
  <c r="E390" i="9"/>
  <c r="E411" i="9"/>
  <c r="E430" i="9"/>
  <c r="E446" i="9"/>
  <c r="E462" i="9"/>
  <c r="E478" i="9"/>
  <c r="E494" i="9"/>
  <c r="E510" i="9"/>
  <c r="E526" i="9"/>
  <c r="E542" i="9"/>
  <c r="E558" i="9"/>
  <c r="E26" i="9"/>
  <c r="E46" i="9"/>
  <c r="E66" i="9"/>
  <c r="E90" i="9"/>
  <c r="E110" i="9"/>
  <c r="E130" i="9"/>
  <c r="E154" i="9"/>
  <c r="E13" i="9"/>
  <c r="E40" i="9"/>
  <c r="E72" i="9"/>
  <c r="E99" i="9"/>
  <c r="E125" i="9"/>
  <c r="E157" i="9"/>
  <c r="E181" i="9"/>
  <c r="E201" i="9"/>
  <c r="E225" i="9"/>
  <c r="E245" i="9"/>
  <c r="E265" i="9"/>
  <c r="E289" i="9"/>
  <c r="E309" i="9"/>
  <c r="E329" i="9"/>
  <c r="E353" i="9"/>
  <c r="E373" i="9"/>
  <c r="E393" i="9"/>
  <c r="E417" i="9"/>
  <c r="E33" i="9"/>
  <c r="E69" i="9"/>
  <c r="E112" i="9"/>
  <c r="E148" i="9"/>
  <c r="E180" i="9"/>
  <c r="E212" i="9"/>
  <c r="E234" i="9"/>
  <c r="E255" i="9"/>
  <c r="E276" i="9"/>
  <c r="E298" i="9"/>
  <c r="E319" i="9"/>
  <c r="E340" i="9"/>
  <c r="E362" i="9"/>
  <c r="E383" i="9"/>
  <c r="E404" i="9"/>
  <c r="E425" i="9"/>
  <c r="E441" i="9"/>
  <c r="E457" i="9"/>
  <c r="E473" i="9"/>
  <c r="E489" i="9"/>
  <c r="E505" i="9"/>
  <c r="E10" i="9"/>
  <c r="E30" i="9"/>
  <c r="E50" i="9"/>
  <c r="E74" i="9"/>
  <c r="E94" i="9"/>
  <c r="E114" i="9"/>
  <c r="E138" i="9"/>
  <c r="E158" i="9"/>
  <c r="E19" i="9"/>
  <c r="E51" i="9"/>
  <c r="E77" i="9"/>
  <c r="E104" i="9"/>
  <c r="E136" i="9"/>
  <c r="E163" i="9"/>
  <c r="E185" i="9"/>
  <c r="E209" i="9"/>
  <c r="E229" i="9"/>
  <c r="E249" i="9"/>
  <c r="E273" i="9"/>
  <c r="E293" i="9"/>
  <c r="E313" i="9"/>
  <c r="E337" i="9"/>
  <c r="E357" i="9"/>
  <c r="E377" i="9"/>
  <c r="E401" i="9"/>
  <c r="E421" i="9"/>
  <c r="E41" i="9"/>
  <c r="E84" i="9"/>
  <c r="E119" i="9"/>
  <c r="E155" i="9"/>
  <c r="E191" i="9"/>
  <c r="E218" i="9"/>
  <c r="E239" i="9"/>
  <c r="E260" i="9"/>
  <c r="E282" i="9"/>
  <c r="E303" i="9"/>
  <c r="E324" i="9"/>
  <c r="E346" i="9"/>
  <c r="E367" i="9"/>
  <c r="E388" i="9"/>
  <c r="E410" i="9"/>
  <c r="E429" i="9"/>
  <c r="E445" i="9"/>
  <c r="E461" i="9"/>
  <c r="E477" i="9"/>
  <c r="E493" i="9"/>
  <c r="E509" i="9"/>
  <c r="E521" i="9"/>
  <c r="E553" i="9"/>
  <c r="E585" i="9"/>
  <c r="E617" i="9"/>
  <c r="E649" i="9"/>
  <c r="E15" i="9"/>
  <c r="E71" i="9"/>
  <c r="E128" i="9"/>
  <c r="E182" i="9"/>
  <c r="E224" i="9"/>
  <c r="E267" i="9"/>
  <c r="E310" i="9"/>
  <c r="E352" i="9"/>
  <c r="E395" i="9"/>
  <c r="E434" i="9"/>
  <c r="E466" i="9"/>
  <c r="E498" i="9"/>
  <c r="E530" i="9"/>
  <c r="E562" i="9"/>
  <c r="E582" i="9"/>
  <c r="E606" i="9"/>
  <c r="E626" i="9"/>
  <c r="E646" i="9"/>
  <c r="E16" i="9"/>
  <c r="E52" i="9"/>
  <c r="E87" i="9"/>
  <c r="E129" i="9"/>
  <c r="E165" i="9"/>
  <c r="E194" i="9"/>
  <c r="E226" i="9"/>
  <c r="E252" i="9"/>
  <c r="E279" i="9"/>
  <c r="E311" i="9"/>
  <c r="E338" i="9"/>
  <c r="E11" i="9"/>
  <c r="E53" i="9"/>
  <c r="E89" i="9"/>
  <c r="E124" i="9"/>
  <c r="E167" i="9"/>
  <c r="E195" i="9"/>
  <c r="E222" i="9"/>
  <c r="E254" i="9"/>
  <c r="E280" i="9"/>
  <c r="E307" i="9"/>
  <c r="E339" i="9"/>
  <c r="E380" i="9"/>
  <c r="E431" i="9"/>
  <c r="E479" i="9"/>
  <c r="E519" i="9"/>
  <c r="E559" i="9"/>
  <c r="E607" i="9"/>
  <c r="E647" i="9"/>
  <c r="E679" i="9"/>
  <c r="E414" i="9"/>
  <c r="E456" i="9"/>
  <c r="E496" i="9"/>
  <c r="E544" i="9"/>
  <c r="E584" i="9"/>
  <c r="E624" i="9"/>
  <c r="E670" i="9"/>
  <c r="E386" i="9"/>
  <c r="E435" i="9"/>
  <c r="E483" i="9"/>
  <c r="E523" i="9"/>
  <c r="E563" i="9"/>
  <c r="E611" i="9"/>
  <c r="E651" i="9"/>
  <c r="E366" i="9"/>
  <c r="E572" i="9"/>
  <c r="E419" i="9"/>
  <c r="E580" i="9"/>
  <c r="E460" i="9"/>
  <c r="E620" i="9"/>
  <c r="E525" i="9"/>
  <c r="E557" i="9"/>
  <c r="E589" i="9"/>
  <c r="E621" i="9"/>
  <c r="E653" i="9"/>
  <c r="E21" i="9"/>
  <c r="E79" i="9"/>
  <c r="E135" i="9"/>
  <c r="E187" i="9"/>
  <c r="E230" i="9"/>
  <c r="E272" i="9"/>
  <c r="E315" i="9"/>
  <c r="E358" i="9"/>
  <c r="E400" i="9"/>
  <c r="E438" i="9"/>
  <c r="E470" i="9"/>
  <c r="E502" i="9"/>
  <c r="E534" i="9"/>
  <c r="E566" i="9"/>
  <c r="E590" i="9"/>
  <c r="E610" i="9"/>
  <c r="E630" i="9"/>
  <c r="E654" i="9"/>
  <c r="E23" i="9"/>
  <c r="E59" i="9"/>
  <c r="E101" i="9"/>
  <c r="E137" i="9"/>
  <c r="E172" i="9"/>
  <c r="E204" i="9"/>
  <c r="E231" i="9"/>
  <c r="E258" i="9"/>
  <c r="E290" i="9"/>
  <c r="E316" i="9"/>
  <c r="E343" i="9"/>
  <c r="E25" i="9"/>
  <c r="E60" i="9"/>
  <c r="E96" i="9"/>
  <c r="E139" i="9"/>
  <c r="E174" i="9"/>
  <c r="E200" i="9"/>
  <c r="E232" i="9"/>
  <c r="E259" i="9"/>
  <c r="E286" i="9"/>
  <c r="E318" i="9"/>
  <c r="E344" i="9"/>
  <c r="E391" i="9"/>
  <c r="E447" i="9"/>
  <c r="E487" i="9"/>
  <c r="E527" i="9"/>
  <c r="E575" i="9"/>
  <c r="E615" i="9"/>
  <c r="E655" i="9"/>
  <c r="E371" i="9"/>
  <c r="E424" i="9"/>
  <c r="E464" i="9"/>
  <c r="E512" i="9"/>
  <c r="E552" i="9"/>
  <c r="E592" i="9"/>
  <c r="E640" i="9"/>
  <c r="E675" i="9"/>
  <c r="E396" i="9"/>
  <c r="E451" i="9"/>
  <c r="E491" i="9"/>
  <c r="E531" i="9"/>
  <c r="E579" i="9"/>
  <c r="E619" i="9"/>
  <c r="E659" i="9"/>
  <c r="E444" i="9"/>
  <c r="E604" i="9"/>
  <c r="E452" i="9"/>
  <c r="E644" i="9"/>
  <c r="E492" i="9"/>
  <c r="E652" i="9"/>
  <c r="E537" i="9"/>
  <c r="E569" i="9"/>
  <c r="E601" i="9"/>
  <c r="E633" i="9"/>
  <c r="E665" i="9"/>
  <c r="E43" i="9"/>
  <c r="E100" i="9"/>
  <c r="E156" i="9"/>
  <c r="E203" i="9"/>
  <c r="E246" i="9"/>
  <c r="E288" i="9"/>
  <c r="E331" i="9"/>
  <c r="E374" i="9"/>
  <c r="E416" i="9"/>
  <c r="E450" i="9"/>
  <c r="E482" i="9"/>
  <c r="E514" i="9"/>
  <c r="E546" i="9"/>
  <c r="E574" i="9"/>
  <c r="E594" i="9"/>
  <c r="E614" i="9"/>
  <c r="E638" i="9"/>
  <c r="E658" i="9"/>
  <c r="E31" i="9"/>
  <c r="E73" i="9"/>
  <c r="E108" i="9"/>
  <c r="E144" i="9"/>
  <c r="E183" i="9"/>
  <c r="E210" i="9"/>
  <c r="E236" i="9"/>
  <c r="E268" i="9"/>
  <c r="E295" i="9"/>
  <c r="E322" i="9"/>
  <c r="E354" i="9"/>
  <c r="E32" i="9"/>
  <c r="E68" i="9"/>
  <c r="E111" i="9"/>
  <c r="E145" i="9"/>
  <c r="E179" i="9"/>
  <c r="E211" i="9"/>
  <c r="E238" i="9"/>
  <c r="E264" i="9"/>
  <c r="E296" i="9"/>
  <c r="E323" i="9"/>
  <c r="E350" i="9"/>
  <c r="E412" i="9"/>
  <c r="E455" i="9"/>
  <c r="E495" i="9"/>
  <c r="E543" i="9"/>
  <c r="E583" i="9"/>
  <c r="E623" i="9"/>
  <c r="E668" i="9"/>
  <c r="E382" i="9"/>
  <c r="E432" i="9"/>
  <c r="E480" i="9"/>
  <c r="E520" i="9"/>
  <c r="E560" i="9"/>
  <c r="E608" i="9"/>
  <c r="E648" i="9"/>
  <c r="E8" i="9"/>
  <c r="E418" i="9"/>
  <c r="E459" i="9"/>
  <c r="E499" i="9"/>
  <c r="E547" i="9"/>
  <c r="E587" i="9"/>
  <c r="E627" i="9"/>
  <c r="E671" i="9"/>
  <c r="E476" i="9"/>
  <c r="E636" i="9"/>
  <c r="E516" i="9"/>
  <c r="E672" i="9"/>
  <c r="E524" i="9"/>
  <c r="E541" i="9"/>
  <c r="E573" i="9"/>
  <c r="E605" i="9"/>
  <c r="E637" i="9"/>
  <c r="E669" i="9"/>
  <c r="E49" i="9"/>
  <c r="E107" i="9"/>
  <c r="E164" i="9"/>
  <c r="E208" i="9"/>
  <c r="E251" i="9"/>
  <c r="E294" i="9"/>
  <c r="E336" i="9"/>
  <c r="E379" i="9"/>
  <c r="E422" i="9"/>
  <c r="E454" i="9"/>
  <c r="E486" i="9"/>
  <c r="E518" i="9"/>
  <c r="E550" i="9"/>
  <c r="E578" i="9"/>
  <c r="E598" i="9"/>
  <c r="E622" i="9"/>
  <c r="E642" i="9"/>
  <c r="E662" i="9"/>
  <c r="E44" i="9"/>
  <c r="E80" i="9"/>
  <c r="E116" i="9"/>
  <c r="E159" i="9"/>
  <c r="E188" i="9"/>
  <c r="E215" i="9"/>
  <c r="E247" i="9"/>
  <c r="E274" i="9"/>
  <c r="E300" i="9"/>
  <c r="E332" i="9"/>
  <c r="E359" i="9"/>
  <c r="E39" i="9"/>
  <c r="E81" i="9"/>
  <c r="E117" i="9"/>
  <c r="E153" i="9"/>
  <c r="E190" i="9"/>
  <c r="E216" i="9"/>
  <c r="E328" i="9"/>
  <c r="E511" i="9"/>
  <c r="E674" i="9"/>
  <c r="E528" i="9"/>
  <c r="E375" i="9"/>
  <c r="E555" i="9"/>
  <c r="E508" i="9"/>
  <c r="E588" i="9"/>
  <c r="E500" i="9"/>
  <c r="E243" i="9"/>
  <c r="E370" i="9"/>
  <c r="E551" i="9"/>
  <c r="E392" i="9"/>
  <c r="E576" i="9"/>
  <c r="E427" i="9"/>
  <c r="E595" i="9"/>
  <c r="E376" i="9"/>
  <c r="E660" i="9"/>
  <c r="E275" i="9"/>
  <c r="E423" i="9"/>
  <c r="E591" i="9"/>
  <c r="E448" i="9"/>
  <c r="E616" i="9"/>
  <c r="E467" i="9"/>
  <c r="E643" i="9"/>
  <c r="E548" i="9"/>
  <c r="E596" i="9"/>
  <c r="E564" i="9"/>
  <c r="E532" i="9"/>
  <c r="E302" i="9"/>
  <c r="E463" i="9"/>
  <c r="E639" i="9"/>
  <c r="E488" i="9"/>
  <c r="E656" i="9"/>
  <c r="E515" i="9"/>
  <c r="E676" i="9"/>
  <c r="E387" i="9"/>
  <c r="E628" i="9"/>
  <c r="E468" i="9"/>
  <c r="E436" i="9"/>
  <c r="E398" i="9"/>
  <c r="H14" i="9"/>
  <c r="H30" i="9"/>
  <c r="H46" i="9"/>
  <c r="H62" i="9"/>
  <c r="H78" i="9"/>
  <c r="H94" i="9"/>
  <c r="H110" i="9"/>
  <c r="H126" i="9"/>
  <c r="H142" i="9"/>
  <c r="H158" i="9"/>
  <c r="H174" i="9"/>
  <c r="H190" i="9"/>
  <c r="H206" i="9"/>
  <c r="H222" i="9"/>
  <c r="H238" i="9"/>
  <c r="H254" i="9"/>
  <c r="H270" i="9"/>
  <c r="H286" i="9"/>
  <c r="H302" i="9"/>
  <c r="H318" i="9"/>
  <c r="H334" i="9"/>
  <c r="H23" i="9"/>
  <c r="H39" i="9"/>
  <c r="H55" i="9"/>
  <c r="H71" i="9"/>
  <c r="H87" i="9"/>
  <c r="H103" i="9"/>
  <c r="H119" i="9"/>
  <c r="H24" i="9"/>
  <c r="H40" i="9"/>
  <c r="H56" i="9"/>
  <c r="H72" i="9"/>
  <c r="H88" i="9"/>
  <c r="H104" i="9"/>
  <c r="H120" i="9"/>
  <c r="H21" i="9"/>
  <c r="H37" i="9"/>
  <c r="H53" i="9"/>
  <c r="H69" i="9"/>
  <c r="H85" i="9"/>
  <c r="H131" i="9"/>
  <c r="H152" i="9"/>
  <c r="H173" i="9"/>
  <c r="H195" i="9"/>
  <c r="H216" i="9"/>
  <c r="H237" i="9"/>
  <c r="H259" i="9"/>
  <c r="H280" i="9"/>
  <c r="H301" i="9"/>
  <c r="H323" i="9"/>
  <c r="H342" i="9"/>
  <c r="H358" i="9"/>
  <c r="H374" i="9"/>
  <c r="H390" i="9"/>
  <c r="H406" i="9"/>
  <c r="H422" i="9"/>
  <c r="H438" i="9"/>
  <c r="H454" i="9"/>
  <c r="H470" i="9"/>
  <c r="H486" i="9"/>
  <c r="H502" i="9"/>
  <c r="H518" i="9"/>
  <c r="H534" i="9"/>
  <c r="H550" i="9"/>
  <c r="H566" i="9"/>
  <c r="H582" i="9"/>
  <c r="H598" i="9"/>
  <c r="H614" i="9"/>
  <c r="H630" i="9"/>
  <c r="H646" i="9"/>
  <c r="H662" i="9"/>
  <c r="H678" i="9"/>
  <c r="H127" i="9"/>
  <c r="H148" i="9"/>
  <c r="H169" i="9"/>
  <c r="H191" i="9"/>
  <c r="H212" i="9"/>
  <c r="H233" i="9"/>
  <c r="H255" i="9"/>
  <c r="H276" i="9"/>
  <c r="H135" i="9"/>
  <c r="H177" i="9"/>
  <c r="H220" i="9"/>
  <c r="H263" i="9"/>
  <c r="H297" i="9"/>
  <c r="H325" i="9"/>
  <c r="H349" i="9"/>
  <c r="H371" i="9"/>
  <c r="H392" i="9"/>
  <c r="H413" i="9"/>
  <c r="H435" i="9"/>
  <c r="H456" i="9"/>
  <c r="H477" i="9"/>
  <c r="H499" i="9"/>
  <c r="H520" i="9"/>
  <c r="H541" i="9"/>
  <c r="H563" i="9"/>
  <c r="H584" i="9"/>
  <c r="H605" i="9"/>
  <c r="H627" i="9"/>
  <c r="H648" i="9"/>
  <c r="H669" i="9"/>
  <c r="H128" i="9"/>
  <c r="H171" i="9"/>
  <c r="H213" i="9"/>
  <c r="H256" i="9"/>
  <c r="H292" i="9"/>
  <c r="H320" i="9"/>
  <c r="H345" i="9"/>
  <c r="H367" i="9"/>
  <c r="H18" i="9"/>
  <c r="H34" i="9"/>
  <c r="H50" i="9"/>
  <c r="H66" i="9"/>
  <c r="H82" i="9"/>
  <c r="H98" i="9"/>
  <c r="H114" i="9"/>
  <c r="H130" i="9"/>
  <c r="H146" i="9"/>
  <c r="H162" i="9"/>
  <c r="H178" i="9"/>
  <c r="H194" i="9"/>
  <c r="H210" i="9"/>
  <c r="H226" i="9"/>
  <c r="H242" i="9"/>
  <c r="H258" i="9"/>
  <c r="H274" i="9"/>
  <c r="H290" i="9"/>
  <c r="H306" i="9"/>
  <c r="H322" i="9"/>
  <c r="H11" i="9"/>
  <c r="H27" i="9"/>
  <c r="H43" i="9"/>
  <c r="H59" i="9"/>
  <c r="H75" i="9"/>
  <c r="H91" i="9"/>
  <c r="H107" i="9"/>
  <c r="H12" i="9"/>
  <c r="H28" i="9"/>
  <c r="H44" i="9"/>
  <c r="H60" i="9"/>
  <c r="H76" i="9"/>
  <c r="H92" i="9"/>
  <c r="H108" i="9"/>
  <c r="H9" i="9"/>
  <c r="H25" i="9"/>
  <c r="H41" i="9"/>
  <c r="H57" i="9"/>
  <c r="H73" i="9"/>
  <c r="H101" i="9"/>
  <c r="H136" i="9"/>
  <c r="H157" i="9"/>
  <c r="H179" i="9"/>
  <c r="H200" i="9"/>
  <c r="H221" i="9"/>
  <c r="H243" i="9"/>
  <c r="H264" i="9"/>
  <c r="H285" i="9"/>
  <c r="H307" i="9"/>
  <c r="H328" i="9"/>
  <c r="H346" i="9"/>
  <c r="H362" i="9"/>
  <c r="H378" i="9"/>
  <c r="H394" i="9"/>
  <c r="H410" i="9"/>
  <c r="H426" i="9"/>
  <c r="H442" i="9"/>
  <c r="H458" i="9"/>
  <c r="H474" i="9"/>
  <c r="H490" i="9"/>
  <c r="H506" i="9"/>
  <c r="H522" i="9"/>
  <c r="H538" i="9"/>
  <c r="H554" i="9"/>
  <c r="H570" i="9"/>
  <c r="H586" i="9"/>
  <c r="H602" i="9"/>
  <c r="H618" i="9"/>
  <c r="H634" i="9"/>
  <c r="H650" i="9"/>
  <c r="H666" i="9"/>
  <c r="H89" i="9"/>
  <c r="H132" i="9"/>
  <c r="H153" i="9"/>
  <c r="H175" i="9"/>
  <c r="H196" i="9"/>
  <c r="H217" i="9"/>
  <c r="H239" i="9"/>
  <c r="H260" i="9"/>
  <c r="H93" i="9"/>
  <c r="H145" i="9"/>
  <c r="H188" i="9"/>
  <c r="H231" i="9"/>
  <c r="H273" i="9"/>
  <c r="H304" i="9"/>
  <c r="H332" i="9"/>
  <c r="H355" i="9"/>
  <c r="H376" i="9"/>
  <c r="H397" i="9"/>
  <c r="H419" i="9"/>
  <c r="H440" i="9"/>
  <c r="H461" i="9"/>
  <c r="H483" i="9"/>
  <c r="H504" i="9"/>
  <c r="H525" i="9"/>
  <c r="H547" i="9"/>
  <c r="H568" i="9"/>
  <c r="H589" i="9"/>
  <c r="H611" i="9"/>
  <c r="H632" i="9"/>
  <c r="H653" i="9"/>
  <c r="H675" i="9"/>
  <c r="H139" i="9"/>
  <c r="H181" i="9"/>
  <c r="H224" i="9"/>
  <c r="H267" i="9"/>
  <c r="H299" i="9"/>
  <c r="H327" i="9"/>
  <c r="H351" i="9"/>
  <c r="H22" i="9"/>
  <c r="H38" i="9"/>
  <c r="H54" i="9"/>
  <c r="H70" i="9"/>
  <c r="H86" i="9"/>
  <c r="H102" i="9"/>
  <c r="H118" i="9"/>
  <c r="H134" i="9"/>
  <c r="H150" i="9"/>
  <c r="H166" i="9"/>
  <c r="H182" i="9"/>
  <c r="H198" i="9"/>
  <c r="H214" i="9"/>
  <c r="H230" i="9"/>
  <c r="H246" i="9"/>
  <c r="H262" i="9"/>
  <c r="H278" i="9"/>
  <c r="H294" i="9"/>
  <c r="H310" i="9"/>
  <c r="H326" i="9"/>
  <c r="H15" i="9"/>
  <c r="H31" i="9"/>
  <c r="H47" i="9"/>
  <c r="H63" i="9"/>
  <c r="H79" i="9"/>
  <c r="H95" i="9"/>
  <c r="H111" i="9"/>
  <c r="H16" i="9"/>
  <c r="H32" i="9"/>
  <c r="H48" i="9"/>
  <c r="H64" i="9"/>
  <c r="H10" i="9"/>
  <c r="H74" i="9"/>
  <c r="H138" i="9"/>
  <c r="H202" i="9"/>
  <c r="H266" i="9"/>
  <c r="H330" i="9"/>
  <c r="H67" i="9"/>
  <c r="H20" i="9"/>
  <c r="H80" i="9"/>
  <c r="H112" i="9"/>
  <c r="H29" i="9"/>
  <c r="H61" i="9"/>
  <c r="H117" i="9"/>
  <c r="H163" i="9"/>
  <c r="H205" i="9"/>
  <c r="H248" i="9"/>
  <c r="H291" i="9"/>
  <c r="H333" i="9"/>
  <c r="H366" i="9"/>
  <c r="H398" i="9"/>
  <c r="H430" i="9"/>
  <c r="H462" i="9"/>
  <c r="H494" i="9"/>
  <c r="H526" i="9"/>
  <c r="H558" i="9"/>
  <c r="H590" i="9"/>
  <c r="H622" i="9"/>
  <c r="H654" i="9"/>
  <c r="H105" i="9"/>
  <c r="H159" i="9"/>
  <c r="H201" i="9"/>
  <c r="H244" i="9"/>
  <c r="H97" i="9"/>
  <c r="H199" i="9"/>
  <c r="H283" i="9"/>
  <c r="H339" i="9"/>
  <c r="H381" i="9"/>
  <c r="H424" i="9"/>
  <c r="H467" i="9"/>
  <c r="H509" i="9"/>
  <c r="H552" i="9"/>
  <c r="H595" i="9"/>
  <c r="H637" i="9"/>
  <c r="H8" i="9"/>
  <c r="H192" i="9"/>
  <c r="H277" i="9"/>
  <c r="H335" i="9"/>
  <c r="H372" i="9"/>
  <c r="H393" i="9"/>
  <c r="H415" i="9"/>
  <c r="H436" i="9"/>
  <c r="H457" i="9"/>
  <c r="H479" i="9"/>
  <c r="H500" i="9"/>
  <c r="H521" i="9"/>
  <c r="H543" i="9"/>
  <c r="H564" i="9"/>
  <c r="H585" i="9"/>
  <c r="H607" i="9"/>
  <c r="H628" i="9"/>
  <c r="H649" i="9"/>
  <c r="H129" i="9"/>
  <c r="H172" i="9"/>
  <c r="H215" i="9"/>
  <c r="H257" i="9"/>
  <c r="H293" i="9"/>
  <c r="H321" i="9"/>
  <c r="H347" i="9"/>
  <c r="H368" i="9"/>
  <c r="H389" i="9"/>
  <c r="H411" i="9"/>
  <c r="H155" i="9"/>
  <c r="H197" i="9"/>
  <c r="H240" i="9"/>
  <c r="H281" i="9"/>
  <c r="H309" i="9"/>
  <c r="H337" i="9"/>
  <c r="H359" i="9"/>
  <c r="H380" i="9"/>
  <c r="H401" i="9"/>
  <c r="H449" i="9"/>
  <c r="H492" i="9"/>
  <c r="H535" i="9"/>
  <c r="H577" i="9"/>
  <c r="H620" i="9"/>
  <c r="H663" i="9"/>
  <c r="H421" i="9"/>
  <c r="H464" i="9"/>
  <c r="H507" i="9"/>
  <c r="H549" i="9"/>
  <c r="H592" i="9"/>
  <c r="H635" i="9"/>
  <c r="H672" i="9"/>
  <c r="H433" i="9"/>
  <c r="H476" i="9"/>
  <c r="H519" i="9"/>
  <c r="H561" i="9"/>
  <c r="H604" i="9"/>
  <c r="H647" i="9"/>
  <c r="H416" i="9"/>
  <c r="H459" i="9"/>
  <c r="H501" i="9"/>
  <c r="H544" i="9"/>
  <c r="H587" i="9"/>
  <c r="H629" i="9"/>
  <c r="H668" i="9"/>
  <c r="H26" i="9"/>
  <c r="H90" i="9"/>
  <c r="H154" i="9"/>
  <c r="H218" i="9"/>
  <c r="H282" i="9"/>
  <c r="H19" i="9"/>
  <c r="H83" i="9"/>
  <c r="H36" i="9"/>
  <c r="H84" i="9"/>
  <c r="H116" i="9"/>
  <c r="H33" i="9"/>
  <c r="H65" i="9"/>
  <c r="H125" i="9"/>
  <c r="H168" i="9"/>
  <c r="H211" i="9"/>
  <c r="H253" i="9"/>
  <c r="H296" i="9"/>
  <c r="H338" i="9"/>
  <c r="H370" i="9"/>
  <c r="H402" i="9"/>
  <c r="H434" i="9"/>
  <c r="H466" i="9"/>
  <c r="H498" i="9"/>
  <c r="H530" i="9"/>
  <c r="H562" i="9"/>
  <c r="H594" i="9"/>
  <c r="H626" i="9"/>
  <c r="H658" i="9"/>
  <c r="H121" i="9"/>
  <c r="H164" i="9"/>
  <c r="H207" i="9"/>
  <c r="H249" i="9"/>
  <c r="H124" i="9"/>
  <c r="H209" i="9"/>
  <c r="H289" i="9"/>
  <c r="H344" i="9"/>
  <c r="H387" i="9"/>
  <c r="H429" i="9"/>
  <c r="H472" i="9"/>
  <c r="H515" i="9"/>
  <c r="H557" i="9"/>
  <c r="H600" i="9"/>
  <c r="H643" i="9"/>
  <c r="H109" i="9"/>
  <c r="H203" i="9"/>
  <c r="H284" i="9"/>
  <c r="H340" i="9"/>
  <c r="H377" i="9"/>
  <c r="H399" i="9"/>
  <c r="H420" i="9"/>
  <c r="H441" i="9"/>
  <c r="H463" i="9"/>
  <c r="H484" i="9"/>
  <c r="H505" i="9"/>
  <c r="H527" i="9"/>
  <c r="H548" i="9"/>
  <c r="H569" i="9"/>
  <c r="H591" i="9"/>
  <c r="H612" i="9"/>
  <c r="H633" i="9"/>
  <c r="H655" i="9"/>
  <c r="H140" i="9"/>
  <c r="H183" i="9"/>
  <c r="H225" i="9"/>
  <c r="H268" i="9"/>
  <c r="H300" i="9"/>
  <c r="H329" i="9"/>
  <c r="H352" i="9"/>
  <c r="H373" i="9"/>
  <c r="H395" i="9"/>
  <c r="H123" i="9"/>
  <c r="H165" i="9"/>
  <c r="H208" i="9"/>
  <c r="H251" i="9"/>
  <c r="H288" i="9"/>
  <c r="H316" i="9"/>
  <c r="H343" i="9"/>
  <c r="H364" i="9"/>
  <c r="H385" i="9"/>
  <c r="H417" i="9"/>
  <c r="H460" i="9"/>
  <c r="H503" i="9"/>
  <c r="H545" i="9"/>
  <c r="H588" i="9"/>
  <c r="H631" i="9"/>
  <c r="H671" i="9"/>
  <c r="H432" i="9"/>
  <c r="H475" i="9"/>
  <c r="H517" i="9"/>
  <c r="H560" i="9"/>
  <c r="H603" i="9"/>
  <c r="H645" i="9"/>
  <c r="H679" i="9"/>
  <c r="H444" i="9"/>
  <c r="H487" i="9"/>
  <c r="H529" i="9"/>
  <c r="H572" i="9"/>
  <c r="H615" i="9"/>
  <c r="H657" i="9"/>
  <c r="H427" i="9"/>
  <c r="H469" i="9"/>
  <c r="H512" i="9"/>
  <c r="H555" i="9"/>
  <c r="H597" i="9"/>
  <c r="H640" i="9"/>
  <c r="H676" i="9"/>
  <c r="H42" i="9"/>
  <c r="H106" i="9"/>
  <c r="H170" i="9"/>
  <c r="H234" i="9"/>
  <c r="H298" i="9"/>
  <c r="H35" i="9"/>
  <c r="H99" i="9"/>
  <c r="H52" i="9"/>
  <c r="H96" i="9"/>
  <c r="H13" i="9"/>
  <c r="H45" i="9"/>
  <c r="H77" i="9"/>
  <c r="H141" i="9"/>
  <c r="H184" i="9"/>
  <c r="H227" i="9"/>
  <c r="H269" i="9"/>
  <c r="H312" i="9"/>
  <c r="H350" i="9"/>
  <c r="H382" i="9"/>
  <c r="H414" i="9"/>
  <c r="H446" i="9"/>
  <c r="H478" i="9"/>
  <c r="H510" i="9"/>
  <c r="H542" i="9"/>
  <c r="H574" i="9"/>
  <c r="H606" i="9"/>
  <c r="H638" i="9"/>
  <c r="H670" i="9"/>
  <c r="H137" i="9"/>
  <c r="H180" i="9"/>
  <c r="H223" i="9"/>
  <c r="H265" i="9"/>
  <c r="H156" i="9"/>
  <c r="H241" i="9"/>
  <c r="H311" i="9"/>
  <c r="H360" i="9"/>
  <c r="H403" i="9"/>
  <c r="H445" i="9"/>
  <c r="H488" i="9"/>
  <c r="H531" i="9"/>
  <c r="H573" i="9"/>
  <c r="H616" i="9"/>
  <c r="H659" i="9"/>
  <c r="H149" i="9"/>
  <c r="H235" i="9"/>
  <c r="H305" i="9"/>
  <c r="H356" i="9"/>
  <c r="H383" i="9"/>
  <c r="H404" i="9"/>
  <c r="H425" i="9"/>
  <c r="H447" i="9"/>
  <c r="H468" i="9"/>
  <c r="H489" i="9"/>
  <c r="H511" i="9"/>
  <c r="H532" i="9"/>
  <c r="H553" i="9"/>
  <c r="H575" i="9"/>
  <c r="H596" i="9"/>
  <c r="H617" i="9"/>
  <c r="H639" i="9"/>
  <c r="H660" i="9"/>
  <c r="H151" i="9"/>
  <c r="H193" i="9"/>
  <c r="H236" i="9"/>
  <c r="H279" i="9"/>
  <c r="H308" i="9"/>
  <c r="H336" i="9"/>
  <c r="H357" i="9"/>
  <c r="H379" i="9"/>
  <c r="H400" i="9"/>
  <c r="H133" i="9"/>
  <c r="H176" i="9"/>
  <c r="H219" i="9"/>
  <c r="H261" i="9"/>
  <c r="H295" i="9"/>
  <c r="H324" i="9"/>
  <c r="H348" i="9"/>
  <c r="H369" i="9"/>
  <c r="H391" i="9"/>
  <c r="H428" i="9"/>
  <c r="H471" i="9"/>
  <c r="H513" i="9"/>
  <c r="H556" i="9"/>
  <c r="H599" i="9"/>
  <c r="H641" i="9"/>
  <c r="H677" i="9"/>
  <c r="H443" i="9"/>
  <c r="H485" i="9"/>
  <c r="H528" i="9"/>
  <c r="H571" i="9"/>
  <c r="H613" i="9"/>
  <c r="H656" i="9"/>
  <c r="H412" i="9"/>
  <c r="H455" i="9"/>
  <c r="H497" i="9"/>
  <c r="H540" i="9"/>
  <c r="H583" i="9"/>
  <c r="H625" i="9"/>
  <c r="H667" i="9"/>
  <c r="H437" i="9"/>
  <c r="H480" i="9"/>
  <c r="H523" i="9"/>
  <c r="H565" i="9"/>
  <c r="H608" i="9"/>
  <c r="H651" i="9"/>
  <c r="H58" i="9"/>
  <c r="H122" i="9"/>
  <c r="H186" i="9"/>
  <c r="H250" i="9"/>
  <c r="H314" i="9"/>
  <c r="H51" i="9"/>
  <c r="H115" i="9"/>
  <c r="H68" i="9"/>
  <c r="H100" i="9"/>
  <c r="H17" i="9"/>
  <c r="H49" i="9"/>
  <c r="H81" i="9"/>
  <c r="H147" i="9"/>
  <c r="H189" i="9"/>
  <c r="H232" i="9"/>
  <c r="H275" i="9"/>
  <c r="H317" i="9"/>
  <c r="H354" i="9"/>
  <c r="H386" i="9"/>
  <c r="H418" i="9"/>
  <c r="H450" i="9"/>
  <c r="H482" i="9"/>
  <c r="H514" i="9"/>
  <c r="H546" i="9"/>
  <c r="H578" i="9"/>
  <c r="H610" i="9"/>
  <c r="H642" i="9"/>
  <c r="H674" i="9"/>
  <c r="H143" i="9"/>
  <c r="H185" i="9"/>
  <c r="H228" i="9"/>
  <c r="H271" i="9"/>
  <c r="H167" i="9"/>
  <c r="H252" i="9"/>
  <c r="H319" i="9"/>
  <c r="H365" i="9"/>
  <c r="H408" i="9"/>
  <c r="H451" i="9"/>
  <c r="H493" i="9"/>
  <c r="H536" i="9"/>
  <c r="H579" i="9"/>
  <c r="H621" i="9"/>
  <c r="H664" i="9"/>
  <c r="H160" i="9"/>
  <c r="H245" i="9"/>
  <c r="H313" i="9"/>
  <c r="H361" i="9"/>
  <c r="H388" i="9"/>
  <c r="H409" i="9"/>
  <c r="H431" i="9"/>
  <c r="H452" i="9"/>
  <c r="H473" i="9"/>
  <c r="H495" i="9"/>
  <c r="H516" i="9"/>
  <c r="H537" i="9"/>
  <c r="H559" i="9"/>
  <c r="H580" i="9"/>
  <c r="H601" i="9"/>
  <c r="H623" i="9"/>
  <c r="H644" i="9"/>
  <c r="H113" i="9"/>
  <c r="H161" i="9"/>
  <c r="H204" i="9"/>
  <c r="H247" i="9"/>
  <c r="H287" i="9"/>
  <c r="H315" i="9"/>
  <c r="H341" i="9"/>
  <c r="H363" i="9"/>
  <c r="H384" i="9"/>
  <c r="H405" i="9"/>
  <c r="H144" i="9"/>
  <c r="H187" i="9"/>
  <c r="H229" i="9"/>
  <c r="H272" i="9"/>
  <c r="H303" i="9"/>
  <c r="H331" i="9"/>
  <c r="H353" i="9"/>
  <c r="H375" i="9"/>
  <c r="H396" i="9"/>
  <c r="H439" i="9"/>
  <c r="H481" i="9"/>
  <c r="H524" i="9"/>
  <c r="H567" i="9"/>
  <c r="H609" i="9"/>
  <c r="H652" i="9"/>
  <c r="H407" i="9"/>
  <c r="H453" i="9"/>
  <c r="H496" i="9"/>
  <c r="H539" i="9"/>
  <c r="H581" i="9"/>
  <c r="H624" i="9"/>
  <c r="H665" i="9"/>
  <c r="H423" i="9"/>
  <c r="H465" i="9"/>
  <c r="H508" i="9"/>
  <c r="H551" i="9"/>
  <c r="H593" i="9"/>
  <c r="H636" i="9"/>
  <c r="H673" i="9"/>
  <c r="H448" i="9"/>
  <c r="H491" i="9"/>
  <c r="H533" i="9"/>
  <c r="H576" i="9"/>
  <c r="H619" i="9"/>
  <c r="H661" i="9"/>
  <c r="E22" i="10"/>
  <c r="E16" i="10"/>
  <c r="E36" i="10"/>
  <c r="E52" i="10"/>
  <c r="E68" i="10"/>
  <c r="E84" i="10"/>
  <c r="E100" i="10"/>
  <c r="E116" i="10"/>
  <c r="E132" i="10"/>
  <c r="E148" i="10"/>
  <c r="E164" i="10"/>
  <c r="E180" i="10"/>
  <c r="E196" i="10"/>
  <c r="E212" i="10"/>
  <c r="E228" i="10"/>
  <c r="E244" i="10"/>
  <c r="E18" i="10"/>
  <c r="E21" i="10"/>
  <c r="E44" i="10"/>
  <c r="E64" i="10"/>
  <c r="E88" i="10"/>
  <c r="E108" i="10"/>
  <c r="E128" i="10"/>
  <c r="E152" i="10"/>
  <c r="E172" i="10"/>
  <c r="E192" i="10"/>
  <c r="E216" i="10"/>
  <c r="E236" i="10"/>
  <c r="E256" i="10"/>
  <c r="E272" i="10"/>
  <c r="E288" i="10"/>
  <c r="E304" i="10"/>
  <c r="E320" i="10"/>
  <c r="E336" i="10"/>
  <c r="E352" i="10"/>
  <c r="E368" i="10"/>
  <c r="E384" i="10"/>
  <c r="E400" i="10"/>
  <c r="E416" i="10"/>
  <c r="E432" i="10"/>
  <c r="E448" i="10"/>
  <c r="E464" i="10"/>
  <c r="E480" i="10"/>
  <c r="E496" i="10"/>
  <c r="E512" i="10"/>
  <c r="E528" i="10"/>
  <c r="E544" i="10"/>
  <c r="E560" i="10"/>
  <c r="E576" i="10"/>
  <c r="E592" i="10"/>
  <c r="E608" i="10"/>
  <c r="E624" i="10"/>
  <c r="E640" i="10"/>
  <c r="E656" i="10"/>
  <c r="E672" i="10"/>
  <c r="E17" i="10"/>
  <c r="E37" i="10"/>
  <c r="E53" i="10"/>
  <c r="E69" i="10"/>
  <c r="E85" i="10"/>
  <c r="E101" i="10"/>
  <c r="E117" i="10"/>
  <c r="E133" i="10"/>
  <c r="E149" i="10"/>
  <c r="E165" i="10"/>
  <c r="E181" i="10"/>
  <c r="E197" i="10"/>
  <c r="E213" i="10"/>
  <c r="E229" i="10"/>
  <c r="E245" i="10"/>
  <c r="E261" i="10"/>
  <c r="E277" i="10"/>
  <c r="E293" i="10"/>
  <c r="E309" i="10"/>
  <c r="E325" i="10"/>
  <c r="E341" i="10"/>
  <c r="E357" i="10"/>
  <c r="E373" i="10"/>
  <c r="E389" i="10"/>
  <c r="E405" i="10"/>
  <c r="E421" i="10"/>
  <c r="E437" i="10"/>
  <c r="E453" i="10"/>
  <c r="E469" i="10"/>
  <c r="E485" i="10"/>
  <c r="E501" i="10"/>
  <c r="E517" i="10"/>
  <c r="E533" i="10"/>
  <c r="E549" i="10"/>
  <c r="E565" i="10"/>
  <c r="E581" i="10"/>
  <c r="E597" i="10"/>
  <c r="E613" i="10"/>
  <c r="E629" i="10"/>
  <c r="E645" i="10"/>
  <c r="E661" i="10"/>
  <c r="E677" i="10"/>
  <c r="E29" i="10"/>
  <c r="E46" i="10"/>
  <c r="E62" i="10"/>
  <c r="E78" i="10"/>
  <c r="E94" i="10"/>
  <c r="E110" i="10"/>
  <c r="E126" i="10"/>
  <c r="E142" i="10"/>
  <c r="E158" i="10"/>
  <c r="E174" i="10"/>
  <c r="E190" i="10"/>
  <c r="E206" i="10"/>
  <c r="E222" i="10"/>
  <c r="E238" i="10"/>
  <c r="E254" i="10"/>
  <c r="E270" i="10"/>
  <c r="E286" i="10"/>
  <c r="E302" i="10"/>
  <c r="E318" i="10"/>
  <c r="E334" i="10"/>
  <c r="E350" i="10"/>
  <c r="E366" i="10"/>
  <c r="E651" i="10"/>
  <c r="E619" i="10"/>
  <c r="E587" i="10"/>
  <c r="E555" i="10"/>
  <c r="E523" i="10"/>
  <c r="E491" i="10"/>
  <c r="E459" i="10"/>
  <c r="E427" i="10"/>
  <c r="E395" i="10"/>
  <c r="E359" i="10"/>
  <c r="E295" i="10"/>
  <c r="E231" i="10"/>
  <c r="E167" i="10"/>
  <c r="E26" i="10"/>
  <c r="E27" i="10"/>
  <c r="E48" i="10"/>
  <c r="E72" i="10"/>
  <c r="E92" i="10"/>
  <c r="E112" i="10"/>
  <c r="E136" i="10"/>
  <c r="E156" i="10"/>
  <c r="E176" i="10"/>
  <c r="E200" i="10"/>
  <c r="E220" i="10"/>
  <c r="E240" i="10"/>
  <c r="E260" i="10"/>
  <c r="E276" i="10"/>
  <c r="E292" i="10"/>
  <c r="E308" i="10"/>
  <c r="E324" i="10"/>
  <c r="E340" i="10"/>
  <c r="E356" i="10"/>
  <c r="E372" i="10"/>
  <c r="E388" i="10"/>
  <c r="E404" i="10"/>
  <c r="E420" i="10"/>
  <c r="E436" i="10"/>
  <c r="E452" i="10"/>
  <c r="E468" i="10"/>
  <c r="E484" i="10"/>
  <c r="E500" i="10"/>
  <c r="E516" i="10"/>
  <c r="E532" i="10"/>
  <c r="E548" i="10"/>
  <c r="E564" i="10"/>
  <c r="E580" i="10"/>
  <c r="E596" i="10"/>
  <c r="E612" i="10"/>
  <c r="E628" i="10"/>
  <c r="E644" i="10"/>
  <c r="E660" i="10"/>
  <c r="E676" i="10"/>
  <c r="E23" i="10"/>
  <c r="E41" i="10"/>
  <c r="E57" i="10"/>
  <c r="E73" i="10"/>
  <c r="E89" i="10"/>
  <c r="E105" i="10"/>
  <c r="E121" i="10"/>
  <c r="E137" i="10"/>
  <c r="E153" i="10"/>
  <c r="E169" i="10"/>
  <c r="E185" i="10"/>
  <c r="E201" i="10"/>
  <c r="E217" i="10"/>
  <c r="E233" i="10"/>
  <c r="E249" i="10"/>
  <c r="E265" i="10"/>
  <c r="E281" i="10"/>
  <c r="E297" i="10"/>
  <c r="E313" i="10"/>
  <c r="E329" i="10"/>
  <c r="E345" i="10"/>
  <c r="E361" i="10"/>
  <c r="E377" i="10"/>
  <c r="E393" i="10"/>
  <c r="E409" i="10"/>
  <c r="E425" i="10"/>
  <c r="E441" i="10"/>
  <c r="E457" i="10"/>
  <c r="E473" i="10"/>
  <c r="E489" i="10"/>
  <c r="E505" i="10"/>
  <c r="E521" i="10"/>
  <c r="E537" i="10"/>
  <c r="E553" i="10"/>
  <c r="E569" i="10"/>
  <c r="E585" i="10"/>
  <c r="E601" i="10"/>
  <c r="E617" i="10"/>
  <c r="E633" i="10"/>
  <c r="E649" i="10"/>
  <c r="E665" i="10"/>
  <c r="E13" i="10"/>
  <c r="E34" i="10"/>
  <c r="E50" i="10"/>
  <c r="E66" i="10"/>
  <c r="E82" i="10"/>
  <c r="E98" i="10"/>
  <c r="E114" i="10"/>
  <c r="E130" i="10"/>
  <c r="E146" i="10"/>
  <c r="E162" i="10"/>
  <c r="E178" i="10"/>
  <c r="E194" i="10"/>
  <c r="E210" i="10"/>
  <c r="E226" i="10"/>
  <c r="E242" i="10"/>
  <c r="E258" i="10"/>
  <c r="E274" i="10"/>
  <c r="E10" i="10"/>
  <c r="E32" i="10"/>
  <c r="E76" i="10"/>
  <c r="E120" i="10"/>
  <c r="E160" i="10"/>
  <c r="E204" i="10"/>
  <c r="E248" i="10"/>
  <c r="E280" i="10"/>
  <c r="E312" i="10"/>
  <c r="E344" i="10"/>
  <c r="E376" i="10"/>
  <c r="E408" i="10"/>
  <c r="E440" i="10"/>
  <c r="E472" i="10"/>
  <c r="E504" i="10"/>
  <c r="E536" i="10"/>
  <c r="E568" i="10"/>
  <c r="E600" i="10"/>
  <c r="E632" i="10"/>
  <c r="E664" i="10"/>
  <c r="E28" i="10"/>
  <c r="E61" i="10"/>
  <c r="E93" i="10"/>
  <c r="E125" i="10"/>
  <c r="E157" i="10"/>
  <c r="E189" i="10"/>
  <c r="E221" i="10"/>
  <c r="E253" i="10"/>
  <c r="E285" i="10"/>
  <c r="E317" i="10"/>
  <c r="E349" i="10"/>
  <c r="E381" i="10"/>
  <c r="E413" i="10"/>
  <c r="E445" i="10"/>
  <c r="E477" i="10"/>
  <c r="E509" i="10"/>
  <c r="E541" i="10"/>
  <c r="E573" i="10"/>
  <c r="E605" i="10"/>
  <c r="E637" i="10"/>
  <c r="E669" i="10"/>
  <c r="E38" i="10"/>
  <c r="E70" i="10"/>
  <c r="E102" i="10"/>
  <c r="E134" i="10"/>
  <c r="E166" i="10"/>
  <c r="E198" i="10"/>
  <c r="E230" i="10"/>
  <c r="E262" i="10"/>
  <c r="E290" i="10"/>
  <c r="E310" i="10"/>
  <c r="E330" i="10"/>
  <c r="E354" i="10"/>
  <c r="E667" i="10"/>
  <c r="E627" i="10"/>
  <c r="E579" i="10"/>
  <c r="E539" i="10"/>
  <c r="E499" i="10"/>
  <c r="E451" i="10"/>
  <c r="E411" i="10"/>
  <c r="E371" i="10"/>
  <c r="E279" i="10"/>
  <c r="E199" i="10"/>
  <c r="E119" i="10"/>
  <c r="E55" i="10"/>
  <c r="E650" i="10"/>
  <c r="E618" i="10"/>
  <c r="E586" i="10"/>
  <c r="E554" i="10"/>
  <c r="E522" i="10"/>
  <c r="E490" i="10"/>
  <c r="E458" i="10"/>
  <c r="E426" i="10"/>
  <c r="E394" i="10"/>
  <c r="E355" i="10"/>
  <c r="E291" i="10"/>
  <c r="E227" i="10"/>
  <c r="E163" i="10"/>
  <c r="E99" i="10"/>
  <c r="E35" i="10"/>
  <c r="E679" i="10"/>
  <c r="E647" i="10"/>
  <c r="E615" i="10"/>
  <c r="E583" i="10"/>
  <c r="E551" i="10"/>
  <c r="E519" i="10"/>
  <c r="E487" i="10"/>
  <c r="E455" i="10"/>
  <c r="E423" i="10"/>
  <c r="E391" i="10"/>
  <c r="E351" i="10"/>
  <c r="E287" i="10"/>
  <c r="E223" i="10"/>
  <c r="E159" i="10"/>
  <c r="E95" i="10"/>
  <c r="E31" i="10"/>
  <c r="E678" i="10"/>
  <c r="E646" i="10"/>
  <c r="E614" i="10"/>
  <c r="E582" i="10"/>
  <c r="E550" i="10"/>
  <c r="E518" i="10"/>
  <c r="E486" i="10"/>
  <c r="E454" i="10"/>
  <c r="E422" i="10"/>
  <c r="E390" i="10"/>
  <c r="E347" i="10"/>
  <c r="E283" i="10"/>
  <c r="E219" i="10"/>
  <c r="E155" i="10"/>
  <c r="E91" i="10"/>
  <c r="E25" i="10"/>
  <c r="E14" i="10"/>
  <c r="E40" i="10"/>
  <c r="E80" i="10"/>
  <c r="E124" i="10"/>
  <c r="E168" i="10"/>
  <c r="E208" i="10"/>
  <c r="E252" i="10"/>
  <c r="E284" i="10"/>
  <c r="E316" i="10"/>
  <c r="E348" i="10"/>
  <c r="E380" i="10"/>
  <c r="E412" i="10"/>
  <c r="E444" i="10"/>
  <c r="E476" i="10"/>
  <c r="E508" i="10"/>
  <c r="E540" i="10"/>
  <c r="E572" i="10"/>
  <c r="E604" i="10"/>
  <c r="E636" i="10"/>
  <c r="E668" i="10"/>
  <c r="E33" i="10"/>
  <c r="E65" i="10"/>
  <c r="E97" i="10"/>
  <c r="E129" i="10"/>
  <c r="E161" i="10"/>
  <c r="E193" i="10"/>
  <c r="E225" i="10"/>
  <c r="E257" i="10"/>
  <c r="E289" i="10"/>
  <c r="E321" i="10"/>
  <c r="E353" i="10"/>
  <c r="E385" i="10"/>
  <c r="E417" i="10"/>
  <c r="E449" i="10"/>
  <c r="E481" i="10"/>
  <c r="E513" i="10"/>
  <c r="E545" i="10"/>
  <c r="E577" i="10"/>
  <c r="E609" i="10"/>
  <c r="E641" i="10"/>
  <c r="E673" i="10"/>
  <c r="E42" i="10"/>
  <c r="E74" i="10"/>
  <c r="E106" i="10"/>
  <c r="E138" i="10"/>
  <c r="E170" i="10"/>
  <c r="E202" i="10"/>
  <c r="E234" i="10"/>
  <c r="E266" i="10"/>
  <c r="E294" i="10"/>
  <c r="E314" i="10"/>
  <c r="E338" i="10"/>
  <c r="E358" i="10"/>
  <c r="E659" i="10"/>
  <c r="E611" i="10"/>
  <c r="E571" i="10"/>
  <c r="E531" i="10"/>
  <c r="E483" i="10"/>
  <c r="E443" i="10"/>
  <c r="E403" i="10"/>
  <c r="E343" i="10"/>
  <c r="E263" i="10"/>
  <c r="E183" i="10"/>
  <c r="E103" i="10"/>
  <c r="E39" i="10"/>
  <c r="E674" i="10"/>
  <c r="E642" i="10"/>
  <c r="E610" i="10"/>
  <c r="E578" i="10"/>
  <c r="E546" i="10"/>
  <c r="E514" i="10"/>
  <c r="E482" i="10"/>
  <c r="E450" i="10"/>
  <c r="E418" i="10"/>
  <c r="E386" i="10"/>
  <c r="E339" i="10"/>
  <c r="E275" i="10"/>
  <c r="E211" i="10"/>
  <c r="E147" i="10"/>
  <c r="E83" i="10"/>
  <c r="E15" i="10"/>
  <c r="E671" i="10"/>
  <c r="E639" i="10"/>
  <c r="E607" i="10"/>
  <c r="E575" i="10"/>
  <c r="E543" i="10"/>
  <c r="E511" i="10"/>
  <c r="E479" i="10"/>
  <c r="E447" i="10"/>
  <c r="E415" i="10"/>
  <c r="E383" i="10"/>
  <c r="E335" i="10"/>
  <c r="E271" i="10"/>
  <c r="E207" i="10"/>
  <c r="E143" i="10"/>
  <c r="E79" i="10"/>
  <c r="E9" i="10"/>
  <c r="E670" i="10"/>
  <c r="E638" i="10"/>
  <c r="E606" i="10"/>
  <c r="E574" i="10"/>
  <c r="E542" i="10"/>
  <c r="E510" i="10"/>
  <c r="E478" i="10"/>
  <c r="E446" i="10"/>
  <c r="E414" i="10"/>
  <c r="E382" i="10"/>
  <c r="E331" i="10"/>
  <c r="E267" i="10"/>
  <c r="E203" i="10"/>
  <c r="E139" i="10"/>
  <c r="E75" i="10"/>
  <c r="E30" i="10"/>
  <c r="E56" i="10"/>
  <c r="E96" i="10"/>
  <c r="E140" i="10"/>
  <c r="E184" i="10"/>
  <c r="E224" i="10"/>
  <c r="E264" i="10"/>
  <c r="E296" i="10"/>
  <c r="E328" i="10"/>
  <c r="E360" i="10"/>
  <c r="E392" i="10"/>
  <c r="E424" i="10"/>
  <c r="E456" i="10"/>
  <c r="E488" i="10"/>
  <c r="E520" i="10"/>
  <c r="E552" i="10"/>
  <c r="E584" i="10"/>
  <c r="E616" i="10"/>
  <c r="E648" i="10"/>
  <c r="E8" i="10"/>
  <c r="E45" i="10"/>
  <c r="E77" i="10"/>
  <c r="E109" i="10"/>
  <c r="E141" i="10"/>
  <c r="E173" i="10"/>
  <c r="E205" i="10"/>
  <c r="E237" i="10"/>
  <c r="E269" i="10"/>
  <c r="E301" i="10"/>
  <c r="E333" i="10"/>
  <c r="E365" i="10"/>
  <c r="E397" i="10"/>
  <c r="E429" i="10"/>
  <c r="E461" i="10"/>
  <c r="E493" i="10"/>
  <c r="E525" i="10"/>
  <c r="E557" i="10"/>
  <c r="E589" i="10"/>
  <c r="E621" i="10"/>
  <c r="E653" i="10"/>
  <c r="E19" i="10"/>
  <c r="E54" i="10"/>
  <c r="E86" i="10"/>
  <c r="E118" i="10"/>
  <c r="E150" i="10"/>
  <c r="E182" i="10"/>
  <c r="E214" i="10"/>
  <c r="E246" i="10"/>
  <c r="E278" i="10"/>
  <c r="E298" i="10"/>
  <c r="E322" i="10"/>
  <c r="E342" i="10"/>
  <c r="E362" i="10"/>
  <c r="E643" i="10"/>
  <c r="E603" i="10"/>
  <c r="E563" i="10"/>
  <c r="E515" i="10"/>
  <c r="E475" i="10"/>
  <c r="E435" i="10"/>
  <c r="E387" i="10"/>
  <c r="E327" i="10"/>
  <c r="E247" i="10"/>
  <c r="E151" i="10"/>
  <c r="E87" i="10"/>
  <c r="E20" i="10"/>
  <c r="E666" i="10"/>
  <c r="E634" i="10"/>
  <c r="E602" i="10"/>
  <c r="E570" i="10"/>
  <c r="E538" i="10"/>
  <c r="E506" i="10"/>
  <c r="E474" i="10"/>
  <c r="E442" i="10"/>
  <c r="E410" i="10"/>
  <c r="E378" i="10"/>
  <c r="E323" i="10"/>
  <c r="E259" i="10"/>
  <c r="E195" i="10"/>
  <c r="E131" i="10"/>
  <c r="E67" i="10"/>
  <c r="E663" i="10"/>
  <c r="E631" i="10"/>
  <c r="E599" i="10"/>
  <c r="E567" i="10"/>
  <c r="E535" i="10"/>
  <c r="E503" i="10"/>
  <c r="E471" i="10"/>
  <c r="E439" i="10"/>
  <c r="E407" i="10"/>
  <c r="E375" i="10"/>
  <c r="E319" i="10"/>
  <c r="E255" i="10"/>
  <c r="E191" i="10"/>
  <c r="E127" i="10"/>
  <c r="E63" i="10"/>
  <c r="E662" i="10"/>
  <c r="E630" i="10"/>
  <c r="E598" i="10"/>
  <c r="E566" i="10"/>
  <c r="E534" i="10"/>
  <c r="E502" i="10"/>
  <c r="E470" i="10"/>
  <c r="E438" i="10"/>
  <c r="E406" i="10"/>
  <c r="E374" i="10"/>
  <c r="E315" i="10"/>
  <c r="E251" i="10"/>
  <c r="E187" i="10"/>
  <c r="E123" i="10"/>
  <c r="E59" i="10"/>
  <c r="E11" i="10"/>
  <c r="E60" i="10"/>
  <c r="E104" i="10"/>
  <c r="E144" i="10"/>
  <c r="E188" i="10"/>
  <c r="E232" i="10"/>
  <c r="E268" i="10"/>
  <c r="E300" i="10"/>
  <c r="E332" i="10"/>
  <c r="E364" i="10"/>
  <c r="E396" i="10"/>
  <c r="E428" i="10"/>
  <c r="E460" i="10"/>
  <c r="E492" i="10"/>
  <c r="E524" i="10"/>
  <c r="E556" i="10"/>
  <c r="E588" i="10"/>
  <c r="E620" i="10"/>
  <c r="E652" i="10"/>
  <c r="E12" i="10"/>
  <c r="E49" i="10"/>
  <c r="E81" i="10"/>
  <c r="E113" i="10"/>
  <c r="E145" i="10"/>
  <c r="E177" i="10"/>
  <c r="E209" i="10"/>
  <c r="E241" i="10"/>
  <c r="E273" i="10"/>
  <c r="E305" i="10"/>
  <c r="E337" i="10"/>
  <c r="E369" i="10"/>
  <c r="E401" i="10"/>
  <c r="E433" i="10"/>
  <c r="E465" i="10"/>
  <c r="E497" i="10"/>
  <c r="E529" i="10"/>
  <c r="E561" i="10"/>
  <c r="E593" i="10"/>
  <c r="E625" i="10"/>
  <c r="E657" i="10"/>
  <c r="E24" i="10"/>
  <c r="E58" i="10"/>
  <c r="E90" i="10"/>
  <c r="E122" i="10"/>
  <c r="E154" i="10"/>
  <c r="E186" i="10"/>
  <c r="E218" i="10"/>
  <c r="E250" i="10"/>
  <c r="E282" i="10"/>
  <c r="E306" i="10"/>
  <c r="E326" i="10"/>
  <c r="E346" i="10"/>
  <c r="E675" i="10"/>
  <c r="E635" i="10"/>
  <c r="E595" i="10"/>
  <c r="E547" i="10"/>
  <c r="E507" i="10"/>
  <c r="E467" i="10"/>
  <c r="E419" i="10"/>
  <c r="E379" i="10"/>
  <c r="E311" i="10"/>
  <c r="E215" i="10"/>
  <c r="E135" i="10"/>
  <c r="E71" i="10"/>
  <c r="E658" i="10"/>
  <c r="E626" i="10"/>
  <c r="E594" i="10"/>
  <c r="E562" i="10"/>
  <c r="E530" i="10"/>
  <c r="E498" i="10"/>
  <c r="E466" i="10"/>
  <c r="E434" i="10"/>
  <c r="E402" i="10"/>
  <c r="E370" i="10"/>
  <c r="E307" i="10"/>
  <c r="E243" i="10"/>
  <c r="E179" i="10"/>
  <c r="E115" i="10"/>
  <c r="E51" i="10"/>
  <c r="E655" i="10"/>
  <c r="E623" i="10"/>
  <c r="E591" i="10"/>
  <c r="E559" i="10"/>
  <c r="E527" i="10"/>
  <c r="E495" i="10"/>
  <c r="E463" i="10"/>
  <c r="E431" i="10"/>
  <c r="E399" i="10"/>
  <c r="E367" i="10"/>
  <c r="E303" i="10"/>
  <c r="E239" i="10"/>
  <c r="E175" i="10"/>
  <c r="E111" i="10"/>
  <c r="E47" i="10"/>
  <c r="E654" i="10"/>
  <c r="E622" i="10"/>
  <c r="E494" i="10"/>
  <c r="E363" i="10"/>
  <c r="E107" i="10"/>
  <c r="E590" i="10"/>
  <c r="E462" i="10"/>
  <c r="E299" i="10"/>
  <c r="E43" i="10"/>
  <c r="E558" i="10"/>
  <c r="E430" i="10"/>
  <c r="E235" i="10"/>
  <c r="E526" i="10"/>
  <c r="E398" i="10"/>
  <c r="E171" i="10"/>
  <c r="E609" i="5"/>
  <c r="E641" i="5"/>
  <c r="E673" i="5"/>
  <c r="E625" i="5"/>
  <c r="E637" i="5"/>
  <c r="E589" i="5"/>
  <c r="E621" i="5"/>
  <c r="E653" i="5"/>
  <c r="E669" i="5"/>
  <c r="E593" i="5"/>
  <c r="E657" i="5"/>
  <c r="E605" i="5"/>
  <c r="E21" i="5"/>
  <c r="E37" i="5"/>
  <c r="E53" i="5"/>
  <c r="E69" i="5"/>
  <c r="E85" i="5"/>
  <c r="E18" i="5"/>
  <c r="E34" i="5"/>
  <c r="E50" i="5"/>
  <c r="E66" i="5"/>
  <c r="E82" i="5"/>
  <c r="E98" i="5"/>
  <c r="E114" i="5"/>
  <c r="E130" i="5"/>
  <c r="E146" i="5"/>
  <c r="E162" i="5"/>
  <c r="E24" i="5"/>
  <c r="E56" i="5"/>
  <c r="E88" i="5"/>
  <c r="E111" i="5"/>
  <c r="E132" i="5"/>
  <c r="E153" i="5"/>
  <c r="E174" i="5"/>
  <c r="E190" i="5"/>
  <c r="E206" i="5"/>
  <c r="E222" i="5"/>
  <c r="E238" i="5"/>
  <c r="E254" i="5"/>
  <c r="E270" i="5"/>
  <c r="E286" i="5"/>
  <c r="E302" i="5"/>
  <c r="E318" i="5"/>
  <c r="E334" i="5"/>
  <c r="E350" i="5"/>
  <c r="E366" i="5"/>
  <c r="E382" i="5"/>
  <c r="E398" i="5"/>
  <c r="E414" i="5"/>
  <c r="E430" i="5"/>
  <c r="E446" i="5"/>
  <c r="E462" i="5"/>
  <c r="E478" i="5"/>
  <c r="E494" i="5"/>
  <c r="E510" i="5"/>
  <c r="E526" i="5"/>
  <c r="E542" i="5"/>
  <c r="E558" i="5"/>
  <c r="E574" i="5"/>
  <c r="E590" i="5"/>
  <c r="E606" i="5"/>
  <c r="E622" i="5"/>
  <c r="E638" i="5"/>
  <c r="E654" i="5"/>
  <c r="E670" i="5"/>
  <c r="E423" i="5"/>
  <c r="E451" i="5"/>
  <c r="E479" i="5"/>
  <c r="E507" i="5"/>
  <c r="E539" i="5"/>
  <c r="E567" i="5"/>
  <c r="E591" i="5"/>
  <c r="E619" i="5"/>
  <c r="E651" i="5"/>
  <c r="E675" i="5"/>
  <c r="E516" i="5"/>
  <c r="E560" i="5"/>
  <c r="E604" i="5"/>
  <c r="E648" i="5"/>
  <c r="E11" i="5"/>
  <c r="E43" i="5"/>
  <c r="E75" i="5"/>
  <c r="E101" i="5"/>
  <c r="E123" i="5"/>
  <c r="E144" i="5"/>
  <c r="E165" i="5"/>
  <c r="E183" i="5"/>
  <c r="E199" i="5"/>
  <c r="E215" i="5"/>
  <c r="E231" i="5"/>
  <c r="E247" i="5"/>
  <c r="E263" i="5"/>
  <c r="E279" i="5"/>
  <c r="E295" i="5"/>
  <c r="E311" i="5"/>
  <c r="E9" i="5"/>
  <c r="E25" i="5"/>
  <c r="E41" i="5"/>
  <c r="E57" i="5"/>
  <c r="E73" i="5"/>
  <c r="E89" i="5"/>
  <c r="E22" i="5"/>
  <c r="E38" i="5"/>
  <c r="E54" i="5"/>
  <c r="E70" i="5"/>
  <c r="E86" i="5"/>
  <c r="E102" i="5"/>
  <c r="E118" i="5"/>
  <c r="E134" i="5"/>
  <c r="E150" i="5"/>
  <c r="E166" i="5"/>
  <c r="E32" i="5"/>
  <c r="E64" i="5"/>
  <c r="E95" i="5"/>
  <c r="E116" i="5"/>
  <c r="E137" i="5"/>
  <c r="E159" i="5"/>
  <c r="E178" i="5"/>
  <c r="E194" i="5"/>
  <c r="E210" i="5"/>
  <c r="E226" i="5"/>
  <c r="E242" i="5"/>
  <c r="E258" i="5"/>
  <c r="E274" i="5"/>
  <c r="E290" i="5"/>
  <c r="E306" i="5"/>
  <c r="E322" i="5"/>
  <c r="E338" i="5"/>
  <c r="E354" i="5"/>
  <c r="E370" i="5"/>
  <c r="E386" i="5"/>
  <c r="E402" i="5"/>
  <c r="E418" i="5"/>
  <c r="E434" i="5"/>
  <c r="E450" i="5"/>
  <c r="E466" i="5"/>
  <c r="E482" i="5"/>
  <c r="E498" i="5"/>
  <c r="E514" i="5"/>
  <c r="E530" i="5"/>
  <c r="E546" i="5"/>
  <c r="E562" i="5"/>
  <c r="E578" i="5"/>
  <c r="E594" i="5"/>
  <c r="E610" i="5"/>
  <c r="E626" i="5"/>
  <c r="E642" i="5"/>
  <c r="E658" i="5"/>
  <c r="E674" i="5"/>
  <c r="E431" i="5"/>
  <c r="E459" i="5"/>
  <c r="E487" i="5"/>
  <c r="E515" i="5"/>
  <c r="E547" i="5"/>
  <c r="E575" i="5"/>
  <c r="E599" i="5"/>
  <c r="E627" i="5"/>
  <c r="E655" i="5"/>
  <c r="E484" i="5"/>
  <c r="E528" i="5"/>
  <c r="E572" i="5"/>
  <c r="E616" i="5"/>
  <c r="E660" i="5"/>
  <c r="E19" i="5"/>
  <c r="E51" i="5"/>
  <c r="E83" i="5"/>
  <c r="E107" i="5"/>
  <c r="E128" i="5"/>
  <c r="E149" i="5"/>
  <c r="E171" i="5"/>
  <c r="E187" i="5"/>
  <c r="E203" i="5"/>
  <c r="E219" i="5"/>
  <c r="E235" i="5"/>
  <c r="E251" i="5"/>
  <c r="E267" i="5"/>
  <c r="E283" i="5"/>
  <c r="E299" i="5"/>
  <c r="E315" i="5"/>
  <c r="E331" i="5"/>
  <c r="E13" i="5"/>
  <c r="E29" i="5"/>
  <c r="E45" i="5"/>
  <c r="E61" i="5"/>
  <c r="E77" i="5"/>
  <c r="E10" i="5"/>
  <c r="E26" i="5"/>
  <c r="E42" i="5"/>
  <c r="E58" i="5"/>
  <c r="E74" i="5"/>
  <c r="E90" i="5"/>
  <c r="E106" i="5"/>
  <c r="E122" i="5"/>
  <c r="E138" i="5"/>
  <c r="E154" i="5"/>
  <c r="E170" i="5"/>
  <c r="E40" i="5"/>
  <c r="E72" i="5"/>
  <c r="E100" i="5"/>
  <c r="E121" i="5"/>
  <c r="E143" i="5"/>
  <c r="E164" i="5"/>
  <c r="E182" i="5"/>
  <c r="E198" i="5"/>
  <c r="E214" i="5"/>
  <c r="E230" i="5"/>
  <c r="E246" i="5"/>
  <c r="E262" i="5"/>
  <c r="E278" i="5"/>
  <c r="E294" i="5"/>
  <c r="E310" i="5"/>
  <c r="E326" i="5"/>
  <c r="E342" i="5"/>
  <c r="E358" i="5"/>
  <c r="E374" i="5"/>
  <c r="E390" i="5"/>
  <c r="E406" i="5"/>
  <c r="E422" i="5"/>
  <c r="E438" i="5"/>
  <c r="E454" i="5"/>
  <c r="E470" i="5"/>
  <c r="E486" i="5"/>
  <c r="E502" i="5"/>
  <c r="E518" i="5"/>
  <c r="E534" i="5"/>
  <c r="E550" i="5"/>
  <c r="E566" i="5"/>
  <c r="E582" i="5"/>
  <c r="E598" i="5"/>
  <c r="E614" i="5"/>
  <c r="E630" i="5"/>
  <c r="E646" i="5"/>
  <c r="E17" i="5"/>
  <c r="E33" i="5"/>
  <c r="E49" i="5"/>
  <c r="E65" i="5"/>
  <c r="E81" i="5"/>
  <c r="E14" i="5"/>
  <c r="E30" i="5"/>
  <c r="E46" i="5"/>
  <c r="E62" i="5"/>
  <c r="E78" i="5"/>
  <c r="E94" i="5"/>
  <c r="E110" i="5"/>
  <c r="E126" i="5"/>
  <c r="E142" i="5"/>
  <c r="E158" i="5"/>
  <c r="E16" i="5"/>
  <c r="E48" i="5"/>
  <c r="E80" i="5"/>
  <c r="E105" i="5"/>
  <c r="E127" i="5"/>
  <c r="E148" i="5"/>
  <c r="E169" i="5"/>
  <c r="E186" i="5"/>
  <c r="E202" i="5"/>
  <c r="E218" i="5"/>
  <c r="E234" i="5"/>
  <c r="E250" i="5"/>
  <c r="E266" i="5"/>
  <c r="E282" i="5"/>
  <c r="E298" i="5"/>
  <c r="E314" i="5"/>
  <c r="E330" i="5"/>
  <c r="E346" i="5"/>
  <c r="E362" i="5"/>
  <c r="E378" i="5"/>
  <c r="E394" i="5"/>
  <c r="E410" i="5"/>
  <c r="E426" i="5"/>
  <c r="E442" i="5"/>
  <c r="E458" i="5"/>
  <c r="E474" i="5"/>
  <c r="E490" i="5"/>
  <c r="E506" i="5"/>
  <c r="E522" i="5"/>
  <c r="E538" i="5"/>
  <c r="E554" i="5"/>
  <c r="E570" i="5"/>
  <c r="E586" i="5"/>
  <c r="E602" i="5"/>
  <c r="E618" i="5"/>
  <c r="E634" i="5"/>
  <c r="E650" i="5"/>
  <c r="E666" i="5"/>
  <c r="E403" i="5"/>
  <c r="E447" i="5"/>
  <c r="E471" i="5"/>
  <c r="E499" i="5"/>
  <c r="E531" i="5"/>
  <c r="E559" i="5"/>
  <c r="E587" i="5"/>
  <c r="E611" i="5"/>
  <c r="E643" i="5"/>
  <c r="E671" i="5"/>
  <c r="E508" i="5"/>
  <c r="E548" i="5"/>
  <c r="E592" i="5"/>
  <c r="E636" i="5"/>
  <c r="E8" i="5"/>
  <c r="E662" i="5"/>
  <c r="E491" i="5"/>
  <c r="E607" i="5"/>
  <c r="E540" i="5"/>
  <c r="E27" i="5"/>
  <c r="E91" i="5"/>
  <c r="E133" i="5"/>
  <c r="E175" i="5"/>
  <c r="E207" i="5"/>
  <c r="E239" i="5"/>
  <c r="E271" i="5"/>
  <c r="E303" i="5"/>
  <c r="E327" i="5"/>
  <c r="E347" i="5"/>
  <c r="E363" i="5"/>
  <c r="E379" i="5"/>
  <c r="E395" i="5"/>
  <c r="E415" i="5"/>
  <c r="E443" i="5"/>
  <c r="E483" i="5"/>
  <c r="E519" i="5"/>
  <c r="E555" i="5"/>
  <c r="E595" i="5"/>
  <c r="E631" i="5"/>
  <c r="E667" i="5"/>
  <c r="E532" i="5"/>
  <c r="E576" i="5"/>
  <c r="E620" i="5"/>
  <c r="E664" i="5"/>
  <c r="E28" i="5"/>
  <c r="E60" i="5"/>
  <c r="E92" i="5"/>
  <c r="E113" i="5"/>
  <c r="E135" i="5"/>
  <c r="E156" i="5"/>
  <c r="E176" i="5"/>
  <c r="E192" i="5"/>
  <c r="E208" i="5"/>
  <c r="E224" i="5"/>
  <c r="E240" i="5"/>
  <c r="E256" i="5"/>
  <c r="E272" i="5"/>
  <c r="E288" i="5"/>
  <c r="E304" i="5"/>
  <c r="E320" i="5"/>
  <c r="E336" i="5"/>
  <c r="E352" i="5"/>
  <c r="E368" i="5"/>
  <c r="E384" i="5"/>
  <c r="E400" i="5"/>
  <c r="E416" i="5"/>
  <c r="E432" i="5"/>
  <c r="E448" i="5"/>
  <c r="E464" i="5"/>
  <c r="E480" i="5"/>
  <c r="E512" i="5"/>
  <c r="E568" i="5"/>
  <c r="E624" i="5"/>
  <c r="E15" i="5"/>
  <c r="E47" i="5"/>
  <c r="E79" i="5"/>
  <c r="E104" i="5"/>
  <c r="E125" i="5"/>
  <c r="E147" i="5"/>
  <c r="E168" i="5"/>
  <c r="E185" i="5"/>
  <c r="E201" i="5"/>
  <c r="E217" i="5"/>
  <c r="E233" i="5"/>
  <c r="E249" i="5"/>
  <c r="E265" i="5"/>
  <c r="E281" i="5"/>
  <c r="E297" i="5"/>
  <c r="E313" i="5"/>
  <c r="E329" i="5"/>
  <c r="E345" i="5"/>
  <c r="E361" i="5"/>
  <c r="E377" i="5"/>
  <c r="E393" i="5"/>
  <c r="E409" i="5"/>
  <c r="E425" i="5"/>
  <c r="E441" i="5"/>
  <c r="E457" i="5"/>
  <c r="E473" i="5"/>
  <c r="E489" i="5"/>
  <c r="E678" i="5"/>
  <c r="E523" i="5"/>
  <c r="E635" i="5"/>
  <c r="E584" i="5"/>
  <c r="E35" i="5"/>
  <c r="E96" i="5"/>
  <c r="E139" i="5"/>
  <c r="E179" i="5"/>
  <c r="E439" i="5"/>
  <c r="E551" i="5"/>
  <c r="E663" i="5"/>
  <c r="E628" i="5"/>
  <c r="E59" i="5"/>
  <c r="E112" i="5"/>
  <c r="E155" i="5"/>
  <c r="E463" i="5"/>
  <c r="E579" i="5"/>
  <c r="E500" i="5"/>
  <c r="E672" i="5"/>
  <c r="E67" i="5"/>
  <c r="E117" i="5"/>
  <c r="E211" i="5"/>
  <c r="E255" i="5"/>
  <c r="E291" i="5"/>
  <c r="E335" i="5"/>
  <c r="E355" i="5"/>
  <c r="E375" i="5"/>
  <c r="E399" i="5"/>
  <c r="E427" i="5"/>
  <c r="E475" i="5"/>
  <c r="E527" i="5"/>
  <c r="E571" i="5"/>
  <c r="E623" i="5"/>
  <c r="E679" i="5"/>
  <c r="E556" i="5"/>
  <c r="E608" i="5"/>
  <c r="E676" i="5"/>
  <c r="E44" i="5"/>
  <c r="E84" i="5"/>
  <c r="E119" i="5"/>
  <c r="E145" i="5"/>
  <c r="E172" i="5"/>
  <c r="E196" i="5"/>
  <c r="E216" i="5"/>
  <c r="E236" i="5"/>
  <c r="E260" i="5"/>
  <c r="E280" i="5"/>
  <c r="E300" i="5"/>
  <c r="E324" i="5"/>
  <c r="E344" i="5"/>
  <c r="E364" i="5"/>
  <c r="E388" i="5"/>
  <c r="E408" i="5"/>
  <c r="E428" i="5"/>
  <c r="E452" i="5"/>
  <c r="E472" i="5"/>
  <c r="E504" i="5"/>
  <c r="E580" i="5"/>
  <c r="E652" i="5"/>
  <c r="E39" i="5"/>
  <c r="E87" i="5"/>
  <c r="E115" i="5"/>
  <c r="E141" i="5"/>
  <c r="E173" i="5"/>
  <c r="E193" i="5"/>
  <c r="E213" i="5"/>
  <c r="E237" i="5"/>
  <c r="E257" i="5"/>
  <c r="E277" i="5"/>
  <c r="E301" i="5"/>
  <c r="E321" i="5"/>
  <c r="E341" i="5"/>
  <c r="E365" i="5"/>
  <c r="E385" i="5"/>
  <c r="E405" i="5"/>
  <c r="E429" i="5"/>
  <c r="E449" i="5"/>
  <c r="E469" i="5"/>
  <c r="E493" i="5"/>
  <c r="E509" i="5"/>
  <c r="E525" i="5"/>
  <c r="E541" i="5"/>
  <c r="E557" i="5"/>
  <c r="E573" i="5"/>
  <c r="E649" i="5"/>
  <c r="E585" i="5"/>
  <c r="E629" i="5"/>
  <c r="E160" i="5"/>
  <c r="E223" i="5"/>
  <c r="E259" i="5"/>
  <c r="E307" i="5"/>
  <c r="E339" i="5"/>
  <c r="E359" i="5"/>
  <c r="E383" i="5"/>
  <c r="E407" i="5"/>
  <c r="E435" i="5"/>
  <c r="E495" i="5"/>
  <c r="E535" i="5"/>
  <c r="E583" i="5"/>
  <c r="E639" i="5"/>
  <c r="E492" i="5"/>
  <c r="E564" i="5"/>
  <c r="E632" i="5"/>
  <c r="E12" i="5"/>
  <c r="E52" i="5"/>
  <c r="E97" i="5"/>
  <c r="E124" i="5"/>
  <c r="E151" i="5"/>
  <c r="E180" i="5"/>
  <c r="E200" i="5"/>
  <c r="E220" i="5"/>
  <c r="E244" i="5"/>
  <c r="E264" i="5"/>
  <c r="E284" i="5"/>
  <c r="E308" i="5"/>
  <c r="E328" i="5"/>
  <c r="E348" i="5"/>
  <c r="E372" i="5"/>
  <c r="E392" i="5"/>
  <c r="E412" i="5"/>
  <c r="E436" i="5"/>
  <c r="E456" i="5"/>
  <c r="E476" i="5"/>
  <c r="E520" i="5"/>
  <c r="E596" i="5"/>
  <c r="E668" i="5"/>
  <c r="E55" i="5"/>
  <c r="E93" i="5"/>
  <c r="E120" i="5"/>
  <c r="E152" i="5"/>
  <c r="E177" i="5"/>
  <c r="E197" i="5"/>
  <c r="E221" i="5"/>
  <c r="E241" i="5"/>
  <c r="E261" i="5"/>
  <c r="E285" i="5"/>
  <c r="E305" i="5"/>
  <c r="E325" i="5"/>
  <c r="E349" i="5"/>
  <c r="E369" i="5"/>
  <c r="E389" i="5"/>
  <c r="E413" i="5"/>
  <c r="E191" i="5"/>
  <c r="E227" i="5"/>
  <c r="E275" i="5"/>
  <c r="E319" i="5"/>
  <c r="E343" i="5"/>
  <c r="E367" i="5"/>
  <c r="E387" i="5"/>
  <c r="E411" i="5"/>
  <c r="E455" i="5"/>
  <c r="E503" i="5"/>
  <c r="E543" i="5"/>
  <c r="E603" i="5"/>
  <c r="E647" i="5"/>
  <c r="E524" i="5"/>
  <c r="E588" i="5"/>
  <c r="E644" i="5"/>
  <c r="E20" i="5"/>
  <c r="E68" i="5"/>
  <c r="E103" i="5"/>
  <c r="E129" i="5"/>
  <c r="E161" i="5"/>
  <c r="E184" i="5"/>
  <c r="E204" i="5"/>
  <c r="E228" i="5"/>
  <c r="E248" i="5"/>
  <c r="E268" i="5"/>
  <c r="E292" i="5"/>
  <c r="E312" i="5"/>
  <c r="E332" i="5"/>
  <c r="E356" i="5"/>
  <c r="E376" i="5"/>
  <c r="E396" i="5"/>
  <c r="E420" i="5"/>
  <c r="E440" i="5"/>
  <c r="E460" i="5"/>
  <c r="E488" i="5"/>
  <c r="E536" i="5"/>
  <c r="E612" i="5"/>
  <c r="E23" i="5"/>
  <c r="E63" i="5"/>
  <c r="E99" i="5"/>
  <c r="E131" i="5"/>
  <c r="E157" i="5"/>
  <c r="E181" i="5"/>
  <c r="E205" i="5"/>
  <c r="E225" i="5"/>
  <c r="E245" i="5"/>
  <c r="E269" i="5"/>
  <c r="E289" i="5"/>
  <c r="E309" i="5"/>
  <c r="E333" i="5"/>
  <c r="E353" i="5"/>
  <c r="E373" i="5"/>
  <c r="E397" i="5"/>
  <c r="E195" i="5"/>
  <c r="E243" i="5"/>
  <c r="E287" i="5"/>
  <c r="E323" i="5"/>
  <c r="E351" i="5"/>
  <c r="E371" i="5"/>
  <c r="E391" i="5"/>
  <c r="E419" i="5"/>
  <c r="E467" i="5"/>
  <c r="E511" i="5"/>
  <c r="E563" i="5"/>
  <c r="E615" i="5"/>
  <c r="E659" i="5"/>
  <c r="E544" i="5"/>
  <c r="E600" i="5"/>
  <c r="E656" i="5"/>
  <c r="E36" i="5"/>
  <c r="E76" i="5"/>
  <c r="E108" i="5"/>
  <c r="E140" i="5"/>
  <c r="E167" i="5"/>
  <c r="E188" i="5"/>
  <c r="E212" i="5"/>
  <c r="E232" i="5"/>
  <c r="E252" i="5"/>
  <c r="E276" i="5"/>
  <c r="E296" i="5"/>
  <c r="E316" i="5"/>
  <c r="E340" i="5"/>
  <c r="E360" i="5"/>
  <c r="E380" i="5"/>
  <c r="E404" i="5"/>
  <c r="E424" i="5"/>
  <c r="E444" i="5"/>
  <c r="E468" i="5"/>
  <c r="E496" i="5"/>
  <c r="E552" i="5"/>
  <c r="E640" i="5"/>
  <c r="E31" i="5"/>
  <c r="E71" i="5"/>
  <c r="E109" i="5"/>
  <c r="E136" i="5"/>
  <c r="E163" i="5"/>
  <c r="E189" i="5"/>
  <c r="E209" i="5"/>
  <c r="E229" i="5"/>
  <c r="E253" i="5"/>
  <c r="E273" i="5"/>
  <c r="E293" i="5"/>
  <c r="E317" i="5"/>
  <c r="E337" i="5"/>
  <c r="E357" i="5"/>
  <c r="E381" i="5"/>
  <c r="E401" i="5"/>
  <c r="E421" i="5"/>
  <c r="E417" i="5"/>
  <c r="E453" i="5"/>
  <c r="E481" i="5"/>
  <c r="E505" i="5"/>
  <c r="E529" i="5"/>
  <c r="E549" i="5"/>
  <c r="E569" i="5"/>
  <c r="E633" i="5"/>
  <c r="E661" i="5"/>
  <c r="E433" i="5"/>
  <c r="E461" i="5"/>
  <c r="E485" i="5"/>
  <c r="E513" i="5"/>
  <c r="E533" i="5"/>
  <c r="E553" i="5"/>
  <c r="E577" i="5"/>
  <c r="E617" i="5"/>
  <c r="E645" i="5"/>
  <c r="E437" i="5"/>
  <c r="E465" i="5"/>
  <c r="E497" i="5"/>
  <c r="E517" i="5"/>
  <c r="E537" i="5"/>
  <c r="E561" i="5"/>
  <c r="E581" i="5"/>
  <c r="E601" i="5"/>
  <c r="E613" i="5"/>
  <c r="E445" i="5"/>
  <c r="E477" i="5"/>
  <c r="E501" i="5"/>
  <c r="E521" i="5"/>
  <c r="E545" i="5"/>
  <c r="E565" i="5"/>
  <c r="E665" i="5"/>
  <c r="E677" i="5"/>
  <c r="E597" i="5"/>
  <c r="H23" i="10"/>
  <c r="H28" i="10"/>
  <c r="H114" i="10"/>
  <c r="H199" i="10"/>
  <c r="H257" i="10"/>
  <c r="H289" i="10"/>
  <c r="H321" i="10"/>
  <c r="H353" i="10"/>
  <c r="H385" i="10"/>
  <c r="H417" i="10"/>
  <c r="H449" i="10"/>
  <c r="H481" i="10"/>
  <c r="H513" i="10"/>
  <c r="H545" i="10"/>
  <c r="H577" i="10"/>
  <c r="H601" i="10"/>
  <c r="H623" i="10"/>
  <c r="H644" i="10"/>
  <c r="H665" i="10"/>
  <c r="H50" i="10"/>
  <c r="H135" i="10"/>
  <c r="H220" i="10"/>
  <c r="H265" i="10"/>
  <c r="H297" i="10"/>
  <c r="H329" i="10"/>
  <c r="H361" i="10"/>
  <c r="H393" i="10"/>
  <c r="H425" i="10"/>
  <c r="H457" i="10"/>
  <c r="H489" i="10"/>
  <c r="H521" i="10"/>
  <c r="H553" i="10"/>
  <c r="H585" i="10"/>
  <c r="H607" i="10"/>
  <c r="H628" i="10"/>
  <c r="H649" i="10"/>
  <c r="H671" i="10"/>
  <c r="H71" i="10"/>
  <c r="H156" i="10"/>
  <c r="H241" i="10"/>
  <c r="H273" i="10"/>
  <c r="H305" i="10"/>
  <c r="H337" i="10"/>
  <c r="H369" i="10"/>
  <c r="H401" i="10"/>
  <c r="H433" i="10"/>
  <c r="H465" i="10"/>
  <c r="H497" i="10"/>
  <c r="H529" i="10"/>
  <c r="H561" i="10"/>
  <c r="H591" i="10"/>
  <c r="H612" i="10"/>
  <c r="H633" i="10"/>
  <c r="H655" i="10"/>
  <c r="H676" i="10"/>
  <c r="H92" i="10"/>
  <c r="H178" i="10"/>
  <c r="H249" i="10"/>
  <c r="H281" i="10"/>
  <c r="H313" i="10"/>
  <c r="H345" i="10"/>
  <c r="H377" i="10"/>
  <c r="H409" i="10"/>
  <c r="H441" i="10"/>
  <c r="H473" i="10"/>
  <c r="H505" i="10"/>
  <c r="H537" i="10"/>
  <c r="H569" i="10"/>
  <c r="H596" i="10"/>
  <c r="H617" i="10"/>
  <c r="H639" i="10"/>
  <c r="H660" i="10"/>
  <c r="H8" i="10"/>
  <c r="H659" i="10"/>
  <c r="H637" i="10"/>
  <c r="H616" i="10"/>
  <c r="H595" i="10"/>
  <c r="H568" i="10"/>
  <c r="H536" i="10"/>
  <c r="H504" i="10"/>
  <c r="H472" i="10"/>
  <c r="H440" i="10"/>
  <c r="H408" i="10"/>
  <c r="H376" i="10"/>
  <c r="H344" i="10"/>
  <c r="H312" i="10"/>
  <c r="H280" i="10"/>
  <c r="H248" i="10"/>
  <c r="H172" i="10"/>
  <c r="H87" i="10"/>
  <c r="H675" i="10"/>
  <c r="H653" i="10"/>
  <c r="H632" i="10"/>
  <c r="H611" i="10"/>
  <c r="H589" i="10"/>
  <c r="H560" i="10"/>
  <c r="H528" i="10"/>
  <c r="H496" i="10"/>
  <c r="H464" i="10"/>
  <c r="H432" i="10"/>
  <c r="H400" i="10"/>
  <c r="H368" i="10"/>
  <c r="H336" i="10"/>
  <c r="H304" i="10"/>
  <c r="H272" i="10"/>
  <c r="H236" i="10"/>
  <c r="H151" i="10"/>
  <c r="H66" i="10"/>
  <c r="H669" i="10"/>
  <c r="H648" i="10"/>
  <c r="H627" i="10"/>
  <c r="H605" i="10"/>
  <c r="H584" i="10"/>
  <c r="H552" i="10"/>
  <c r="H520" i="10"/>
  <c r="H488" i="10"/>
  <c r="H456" i="10"/>
  <c r="H424" i="10"/>
  <c r="H392" i="10"/>
  <c r="H360" i="10"/>
  <c r="H328" i="10"/>
  <c r="H296" i="10"/>
  <c r="H264" i="10"/>
  <c r="H215" i="10"/>
  <c r="H130" i="10"/>
  <c r="H44" i="10"/>
  <c r="H643" i="10"/>
  <c r="H544" i="10"/>
  <c r="H416" i="10"/>
  <c r="H288" i="10"/>
  <c r="H17" i="10"/>
  <c r="H33" i="10"/>
  <c r="H49" i="10"/>
  <c r="H65" i="10"/>
  <c r="H81" i="10"/>
  <c r="H97" i="10"/>
  <c r="H113" i="10"/>
  <c r="H129" i="10"/>
  <c r="H145" i="10"/>
  <c r="H161" i="10"/>
  <c r="H177" i="10"/>
  <c r="H193" i="10"/>
  <c r="H209" i="10"/>
  <c r="H225" i="10"/>
  <c r="H14" i="10"/>
  <c r="H35" i="10"/>
  <c r="H56" i="10"/>
  <c r="H78" i="10"/>
  <c r="H99" i="10"/>
  <c r="H120" i="10"/>
  <c r="H142" i="10"/>
  <c r="H163" i="10"/>
  <c r="H184" i="10"/>
  <c r="H206" i="10"/>
  <c r="H227" i="10"/>
  <c r="H246" i="10"/>
  <c r="H262" i="10"/>
  <c r="H278" i="10"/>
  <c r="H294" i="10"/>
  <c r="H310" i="10"/>
  <c r="H326" i="10"/>
  <c r="H342" i="10"/>
  <c r="H358" i="10"/>
  <c r="H374" i="10"/>
  <c r="H390" i="10"/>
  <c r="H406" i="10"/>
  <c r="H422" i="10"/>
  <c r="H438" i="10"/>
  <c r="H454" i="10"/>
  <c r="H470" i="10"/>
  <c r="H486" i="10"/>
  <c r="H502" i="10"/>
  <c r="H518" i="10"/>
  <c r="H534" i="10"/>
  <c r="H550" i="10"/>
  <c r="H566" i="10"/>
  <c r="H582" i="10"/>
  <c r="H598" i="10"/>
  <c r="H614" i="10"/>
  <c r="H630" i="10"/>
  <c r="H646" i="10"/>
  <c r="H662" i="10"/>
  <c r="H678" i="10"/>
  <c r="H26" i="10"/>
  <c r="H47" i="10"/>
  <c r="H68" i="10"/>
  <c r="H90" i="10"/>
  <c r="H111" i="10"/>
  <c r="H132" i="10"/>
  <c r="H154" i="10"/>
  <c r="H175" i="10"/>
  <c r="H196" i="10"/>
  <c r="H218" i="10"/>
  <c r="H239" i="10"/>
  <c r="H255" i="10"/>
  <c r="H271" i="10"/>
  <c r="H287" i="10"/>
  <c r="H303" i="10"/>
  <c r="H319" i="10"/>
  <c r="H335" i="10"/>
  <c r="H351" i="10"/>
  <c r="H367" i="10"/>
  <c r="H383" i="10"/>
  <c r="H399" i="10"/>
  <c r="H415" i="10"/>
  <c r="H431" i="10"/>
  <c r="H447" i="10"/>
  <c r="H463" i="10"/>
  <c r="H479" i="10"/>
  <c r="H495" i="10"/>
  <c r="H511" i="10"/>
  <c r="H527" i="10"/>
  <c r="H543" i="10"/>
  <c r="H559" i="10"/>
  <c r="H575" i="10"/>
  <c r="H16" i="10"/>
  <c r="H38" i="10"/>
  <c r="H59" i="10"/>
  <c r="H80" i="10"/>
  <c r="H102" i="10"/>
  <c r="H123" i="10"/>
  <c r="H144" i="10"/>
  <c r="H166" i="10"/>
  <c r="H187" i="10"/>
  <c r="H208" i="10"/>
  <c r="H230" i="10"/>
  <c r="H673" i="10"/>
  <c r="H652" i="10"/>
  <c r="H631" i="10"/>
  <c r="H609" i="10"/>
  <c r="H588" i="10"/>
  <c r="H557" i="10"/>
  <c r="H525" i="10"/>
  <c r="H493" i="10"/>
  <c r="H461" i="10"/>
  <c r="H429" i="10"/>
  <c r="H397" i="10"/>
  <c r="H365" i="10"/>
  <c r="H333" i="10"/>
  <c r="H301" i="10"/>
  <c r="H269" i="10"/>
  <c r="H231" i="10"/>
  <c r="H146" i="10"/>
  <c r="H60" i="10"/>
  <c r="H672" i="10"/>
  <c r="H651" i="10"/>
  <c r="H629" i="10"/>
  <c r="H608" i="10"/>
  <c r="H587" i="10"/>
  <c r="H556" i="10"/>
  <c r="H524" i="10"/>
  <c r="H492" i="10"/>
  <c r="H460" i="10"/>
  <c r="H428" i="10"/>
  <c r="H396" i="10"/>
  <c r="H364" i="10"/>
  <c r="H332" i="10"/>
  <c r="H300" i="10"/>
  <c r="H268" i="10"/>
  <c r="H226" i="10"/>
  <c r="H140" i="10"/>
  <c r="H55" i="10"/>
  <c r="H621" i="10"/>
  <c r="H512" i="10"/>
  <c r="H384" i="10"/>
  <c r="H256" i="10"/>
  <c r="H21" i="10"/>
  <c r="H37" i="10"/>
  <c r="H53" i="10"/>
  <c r="H69" i="10"/>
  <c r="H85" i="10"/>
  <c r="H101" i="10"/>
  <c r="H117" i="10"/>
  <c r="H133" i="10"/>
  <c r="H149" i="10"/>
  <c r="H165" i="10"/>
  <c r="H181" i="10"/>
  <c r="H197" i="10"/>
  <c r="H213" i="10"/>
  <c r="H229" i="10"/>
  <c r="H19" i="10"/>
  <c r="H40" i="10"/>
  <c r="H62" i="10"/>
  <c r="H83" i="10"/>
  <c r="H104" i="10"/>
  <c r="H126" i="10"/>
  <c r="H147" i="10"/>
  <c r="H168" i="10"/>
  <c r="H190" i="10"/>
  <c r="H211" i="10"/>
  <c r="H232" i="10"/>
  <c r="H250" i="10"/>
  <c r="H266" i="10"/>
  <c r="H282" i="10"/>
  <c r="H298" i="10"/>
  <c r="H314" i="10"/>
  <c r="H330" i="10"/>
  <c r="H346" i="10"/>
  <c r="H362" i="10"/>
  <c r="H378" i="10"/>
  <c r="H394" i="10"/>
  <c r="H410" i="10"/>
  <c r="H426" i="10"/>
  <c r="H442" i="10"/>
  <c r="H458" i="10"/>
  <c r="H474" i="10"/>
  <c r="H490" i="10"/>
  <c r="H506" i="10"/>
  <c r="H522" i="10"/>
  <c r="H538" i="10"/>
  <c r="H554" i="10"/>
  <c r="H570" i="10"/>
  <c r="H586" i="10"/>
  <c r="H602" i="10"/>
  <c r="H618" i="10"/>
  <c r="H634" i="10"/>
  <c r="H650" i="10"/>
  <c r="H666" i="10"/>
  <c r="H10" i="10"/>
  <c r="H31" i="10"/>
  <c r="H52" i="10"/>
  <c r="H74" i="10"/>
  <c r="H95" i="10"/>
  <c r="H116" i="10"/>
  <c r="H138" i="10"/>
  <c r="H159" i="10"/>
  <c r="H180" i="10"/>
  <c r="H202" i="10"/>
  <c r="H223" i="10"/>
  <c r="H243" i="10"/>
  <c r="H259" i="10"/>
  <c r="H275" i="10"/>
  <c r="H291" i="10"/>
  <c r="H307" i="10"/>
  <c r="H323" i="10"/>
  <c r="H339" i="10"/>
  <c r="H355" i="10"/>
  <c r="H371" i="10"/>
  <c r="H387" i="10"/>
  <c r="H403" i="10"/>
  <c r="H419" i="10"/>
  <c r="H435" i="10"/>
  <c r="H451" i="10"/>
  <c r="H467" i="10"/>
  <c r="H483" i="10"/>
  <c r="H499" i="10"/>
  <c r="H515" i="10"/>
  <c r="H531" i="10"/>
  <c r="H547" i="10"/>
  <c r="H563" i="10"/>
  <c r="H579" i="10"/>
  <c r="H22" i="10"/>
  <c r="H43" i="10"/>
  <c r="H64" i="10"/>
  <c r="H86" i="10"/>
  <c r="H107" i="10"/>
  <c r="H128" i="10"/>
  <c r="H150" i="10"/>
  <c r="H171" i="10"/>
  <c r="H192" i="10"/>
  <c r="H214" i="10"/>
  <c r="H235" i="10"/>
  <c r="H668" i="10"/>
  <c r="H647" i="10"/>
  <c r="H625" i="10"/>
  <c r="H604" i="10"/>
  <c r="H581" i="10"/>
  <c r="H549" i="10"/>
  <c r="H517" i="10"/>
  <c r="H485" i="10"/>
  <c r="H453" i="10"/>
  <c r="H600" i="10"/>
  <c r="H480" i="10"/>
  <c r="H352" i="10"/>
  <c r="H194" i="10"/>
  <c r="H9" i="10"/>
  <c r="H25" i="10"/>
  <c r="H41" i="10"/>
  <c r="H57" i="10"/>
  <c r="H73" i="10"/>
  <c r="H89" i="10"/>
  <c r="H105" i="10"/>
  <c r="H121" i="10"/>
  <c r="H137" i="10"/>
  <c r="H153" i="10"/>
  <c r="H169" i="10"/>
  <c r="H185" i="10"/>
  <c r="H201" i="10"/>
  <c r="H217" i="10"/>
  <c r="H233" i="10"/>
  <c r="H24" i="10"/>
  <c r="H46" i="10"/>
  <c r="H67" i="10"/>
  <c r="H88" i="10"/>
  <c r="H110" i="10"/>
  <c r="H131" i="10"/>
  <c r="H152" i="10"/>
  <c r="H174" i="10"/>
  <c r="H195" i="10"/>
  <c r="H216" i="10"/>
  <c r="H238" i="10"/>
  <c r="H254" i="10"/>
  <c r="H270" i="10"/>
  <c r="H286" i="10"/>
  <c r="H302" i="10"/>
  <c r="H318" i="10"/>
  <c r="H334" i="10"/>
  <c r="H350" i="10"/>
  <c r="H366" i="10"/>
  <c r="H382" i="10"/>
  <c r="H398" i="10"/>
  <c r="H414" i="10"/>
  <c r="H430" i="10"/>
  <c r="H446" i="10"/>
  <c r="H462" i="10"/>
  <c r="H478" i="10"/>
  <c r="H494" i="10"/>
  <c r="H510" i="10"/>
  <c r="H526" i="10"/>
  <c r="H542" i="10"/>
  <c r="H558" i="10"/>
  <c r="H574" i="10"/>
  <c r="H590" i="10"/>
  <c r="H606" i="10"/>
  <c r="H622" i="10"/>
  <c r="H638" i="10"/>
  <c r="H654" i="10"/>
  <c r="H670" i="10"/>
  <c r="H15" i="10"/>
  <c r="H36" i="10"/>
  <c r="H58" i="10"/>
  <c r="H79" i="10"/>
  <c r="H100" i="10"/>
  <c r="H122" i="10"/>
  <c r="H143" i="10"/>
  <c r="H664" i="10"/>
  <c r="H576" i="10"/>
  <c r="H448" i="10"/>
  <c r="H320" i="10"/>
  <c r="H108" i="10"/>
  <c r="H13" i="10"/>
  <c r="H29" i="10"/>
  <c r="H45" i="10"/>
  <c r="H61" i="10"/>
  <c r="H77" i="10"/>
  <c r="H93" i="10"/>
  <c r="H109" i="10"/>
  <c r="H125" i="10"/>
  <c r="H141" i="10"/>
  <c r="H157" i="10"/>
  <c r="H173" i="10"/>
  <c r="H189" i="10"/>
  <c r="H205" i="10"/>
  <c r="H221" i="10"/>
  <c r="H237" i="10"/>
  <c r="H30" i="10"/>
  <c r="H51" i="10"/>
  <c r="H72" i="10"/>
  <c r="H94" i="10"/>
  <c r="H115" i="10"/>
  <c r="H136" i="10"/>
  <c r="H158" i="10"/>
  <c r="H179" i="10"/>
  <c r="H200" i="10"/>
  <c r="H222" i="10"/>
  <c r="H242" i="10"/>
  <c r="H258" i="10"/>
  <c r="H274" i="10"/>
  <c r="H290" i="10"/>
  <c r="H306" i="10"/>
  <c r="H322" i="10"/>
  <c r="H338" i="10"/>
  <c r="H354" i="10"/>
  <c r="H370" i="10"/>
  <c r="H386" i="10"/>
  <c r="H402" i="10"/>
  <c r="H418" i="10"/>
  <c r="H434" i="10"/>
  <c r="H450" i="10"/>
  <c r="H466" i="10"/>
  <c r="H482" i="10"/>
  <c r="H498" i="10"/>
  <c r="H514" i="10"/>
  <c r="H530" i="10"/>
  <c r="H546" i="10"/>
  <c r="H562" i="10"/>
  <c r="H578" i="10"/>
  <c r="H594" i="10"/>
  <c r="H610" i="10"/>
  <c r="H626" i="10"/>
  <c r="H642" i="10"/>
  <c r="H658" i="10"/>
  <c r="H674" i="10"/>
  <c r="H20" i="10"/>
  <c r="H42" i="10"/>
  <c r="H63" i="10"/>
  <c r="H84" i="10"/>
  <c r="H106" i="10"/>
  <c r="H170" i="10"/>
  <c r="H212" i="10"/>
  <c r="H251" i="10"/>
  <c r="H283" i="10"/>
  <c r="H315" i="10"/>
  <c r="H347" i="10"/>
  <c r="H379" i="10"/>
  <c r="H411" i="10"/>
  <c r="H443" i="10"/>
  <c r="H475" i="10"/>
  <c r="H507" i="10"/>
  <c r="H539" i="10"/>
  <c r="H571" i="10"/>
  <c r="H32" i="10"/>
  <c r="H75" i="10"/>
  <c r="H118" i="10"/>
  <c r="H160" i="10"/>
  <c r="H203" i="10"/>
  <c r="H679" i="10"/>
  <c r="H636" i="10"/>
  <c r="H593" i="10"/>
  <c r="H533" i="10"/>
  <c r="H469" i="10"/>
  <c r="H413" i="10"/>
  <c r="H373" i="10"/>
  <c r="H325" i="10"/>
  <c r="H285" i="10"/>
  <c r="H245" i="10"/>
  <c r="H124" i="10"/>
  <c r="H18" i="10"/>
  <c r="H656" i="10"/>
  <c r="H624" i="10"/>
  <c r="H597" i="10"/>
  <c r="H564" i="10"/>
  <c r="H516" i="10"/>
  <c r="H476" i="10"/>
  <c r="H436" i="10"/>
  <c r="H388" i="10"/>
  <c r="H348" i="10"/>
  <c r="H308" i="10"/>
  <c r="H260" i="10"/>
  <c r="H183" i="10"/>
  <c r="H76" i="10"/>
  <c r="H127" i="10"/>
  <c r="H186" i="10"/>
  <c r="H228" i="10"/>
  <c r="H263" i="10"/>
  <c r="H295" i="10"/>
  <c r="H327" i="10"/>
  <c r="H359" i="10"/>
  <c r="H391" i="10"/>
  <c r="H423" i="10"/>
  <c r="H455" i="10"/>
  <c r="H487" i="10"/>
  <c r="H519" i="10"/>
  <c r="H551" i="10"/>
  <c r="H583" i="10"/>
  <c r="H48" i="10"/>
  <c r="H91" i="10"/>
  <c r="H134" i="10"/>
  <c r="H176" i="10"/>
  <c r="H219" i="10"/>
  <c r="H663" i="10"/>
  <c r="H620" i="10"/>
  <c r="H573" i="10"/>
  <c r="H509" i="10"/>
  <c r="H445" i="10"/>
  <c r="H405" i="10"/>
  <c r="H357" i="10"/>
  <c r="H317" i="10"/>
  <c r="H277" i="10"/>
  <c r="H210" i="10"/>
  <c r="H103" i="10"/>
  <c r="H677" i="10"/>
  <c r="H645" i="10"/>
  <c r="H619" i="10"/>
  <c r="H592" i="10"/>
  <c r="H548" i="10"/>
  <c r="H508" i="10"/>
  <c r="H468" i="10"/>
  <c r="H420" i="10"/>
  <c r="H380" i="10"/>
  <c r="H340" i="10"/>
  <c r="H292" i="10"/>
  <c r="H252" i="10"/>
  <c r="H162" i="10"/>
  <c r="H34" i="10"/>
  <c r="H148" i="10"/>
  <c r="H191" i="10"/>
  <c r="H234" i="10"/>
  <c r="H267" i="10"/>
  <c r="H299" i="10"/>
  <c r="H331" i="10"/>
  <c r="H363" i="10"/>
  <c r="H395" i="10"/>
  <c r="H427" i="10"/>
  <c r="H459" i="10"/>
  <c r="H491" i="10"/>
  <c r="H523" i="10"/>
  <c r="H555" i="10"/>
  <c r="H11" i="10"/>
  <c r="H54" i="10"/>
  <c r="H96" i="10"/>
  <c r="H139" i="10"/>
  <c r="H182" i="10"/>
  <c r="H224" i="10"/>
  <c r="H657" i="10"/>
  <c r="H615" i="10"/>
  <c r="H565" i="10"/>
  <c r="H501" i="10"/>
  <c r="H437" i="10"/>
  <c r="H389" i="10"/>
  <c r="H349" i="10"/>
  <c r="H309" i="10"/>
  <c r="H261" i="10"/>
  <c r="H188" i="10"/>
  <c r="H82" i="10"/>
  <c r="H667" i="10"/>
  <c r="H640" i="10"/>
  <c r="H613" i="10"/>
  <c r="H580" i="10"/>
  <c r="H540" i="10"/>
  <c r="H500" i="10"/>
  <c r="H452" i="10"/>
  <c r="H412" i="10"/>
  <c r="H372" i="10"/>
  <c r="H324" i="10"/>
  <c r="H284" i="10"/>
  <c r="H244" i="10"/>
  <c r="H119" i="10"/>
  <c r="H12" i="10"/>
  <c r="H164" i="10"/>
  <c r="H207" i="10"/>
  <c r="H247" i="10"/>
  <c r="H279" i="10"/>
  <c r="H311" i="10"/>
  <c r="H343" i="10"/>
  <c r="H375" i="10"/>
  <c r="H407" i="10"/>
  <c r="H439" i="10"/>
  <c r="H471" i="10"/>
  <c r="H503" i="10"/>
  <c r="H535" i="10"/>
  <c r="H567" i="10"/>
  <c r="H27" i="10"/>
  <c r="H70" i="10"/>
  <c r="H112" i="10"/>
  <c r="H155" i="10"/>
  <c r="H198" i="10"/>
  <c r="H240" i="10"/>
  <c r="H641" i="10"/>
  <c r="H599" i="10"/>
  <c r="H541" i="10"/>
  <c r="H477" i="10"/>
  <c r="H421" i="10"/>
  <c r="H381" i="10"/>
  <c r="H341" i="10"/>
  <c r="H293" i="10"/>
  <c r="H253" i="10"/>
  <c r="H167" i="10"/>
  <c r="H39" i="10"/>
  <c r="H661" i="10"/>
  <c r="H635" i="10"/>
  <c r="H603" i="10"/>
  <c r="H572" i="10"/>
  <c r="H532" i="10"/>
  <c r="H484" i="10"/>
  <c r="H444" i="10"/>
  <c r="H404" i="10"/>
  <c r="H356" i="10"/>
  <c r="H316" i="10"/>
  <c r="H276" i="10"/>
  <c r="H204" i="10"/>
  <c r="H98" i="10"/>
  <c r="H16" i="5"/>
  <c r="H32" i="5"/>
  <c r="H48" i="5"/>
  <c r="H64" i="5"/>
  <c r="H80" i="5"/>
  <c r="H96" i="5"/>
  <c r="H13" i="5"/>
  <c r="H29" i="5"/>
  <c r="H45" i="5"/>
  <c r="H61" i="5"/>
  <c r="H77" i="5"/>
  <c r="H93" i="5"/>
  <c r="H22" i="5"/>
  <c r="H54" i="5"/>
  <c r="H86" i="5"/>
  <c r="H111" i="5"/>
  <c r="H127" i="5"/>
  <c r="H143" i="5"/>
  <c r="H159" i="5"/>
  <c r="H175" i="5"/>
  <c r="H191" i="5"/>
  <c r="H207" i="5"/>
  <c r="H223" i="5"/>
  <c r="H239" i="5"/>
  <c r="H255" i="5"/>
  <c r="H271" i="5"/>
  <c r="H287" i="5"/>
  <c r="H303" i="5"/>
  <c r="H319" i="5"/>
  <c r="H335" i="5"/>
  <c r="H351" i="5"/>
  <c r="H367" i="5"/>
  <c r="H383" i="5"/>
  <c r="H399" i="5"/>
  <c r="H415" i="5"/>
  <c r="H431" i="5"/>
  <c r="H447" i="5"/>
  <c r="H463" i="5"/>
  <c r="H479" i="5"/>
  <c r="H495" i="5"/>
  <c r="H511" i="5"/>
  <c r="H527" i="5"/>
  <c r="H543" i="5"/>
  <c r="H559" i="5"/>
  <c r="H575" i="5"/>
  <c r="H591" i="5"/>
  <c r="H607" i="5"/>
  <c r="H623" i="5"/>
  <c r="H639" i="5"/>
  <c r="H655" i="5"/>
  <c r="H671" i="5"/>
  <c r="H23" i="5"/>
  <c r="H55" i="5"/>
  <c r="H87" i="5"/>
  <c r="H112" i="5"/>
  <c r="H128" i="5"/>
  <c r="H144" i="5"/>
  <c r="H160" i="5"/>
  <c r="H176" i="5"/>
  <c r="H192" i="5"/>
  <c r="H208" i="5"/>
  <c r="H224" i="5"/>
  <c r="H240" i="5"/>
  <c r="H256" i="5"/>
  <c r="H272" i="5"/>
  <c r="H288" i="5"/>
  <c r="H304" i="5"/>
  <c r="H320" i="5"/>
  <c r="H336" i="5"/>
  <c r="H352" i="5"/>
  <c r="H368" i="5"/>
  <c r="H384" i="5"/>
  <c r="H400" i="5"/>
  <c r="H416" i="5"/>
  <c r="H432" i="5"/>
  <c r="H448" i="5"/>
  <c r="H464" i="5"/>
  <c r="H480" i="5"/>
  <c r="H496" i="5"/>
  <c r="H512" i="5"/>
  <c r="H528" i="5"/>
  <c r="H544" i="5"/>
  <c r="H560" i="5"/>
  <c r="H576" i="5"/>
  <c r="H592" i="5"/>
  <c r="H608" i="5"/>
  <c r="H624" i="5"/>
  <c r="H640" i="5"/>
  <c r="H656" i="5"/>
  <c r="H672" i="5"/>
  <c r="H18" i="5"/>
  <c r="H50" i="5"/>
  <c r="H82" i="5"/>
  <c r="H109" i="5"/>
  <c r="H125" i="5"/>
  <c r="H141" i="5"/>
  <c r="H157" i="5"/>
  <c r="H173" i="5"/>
  <c r="H189" i="5"/>
  <c r="H205" i="5"/>
  <c r="H221" i="5"/>
  <c r="H237" i="5"/>
  <c r="H253" i="5"/>
  <c r="H12" i="5"/>
  <c r="H36" i="5"/>
  <c r="H56" i="5"/>
  <c r="H76" i="5"/>
  <c r="H100" i="5"/>
  <c r="H21" i="5"/>
  <c r="H41" i="5"/>
  <c r="H65" i="5"/>
  <c r="H85" i="5"/>
  <c r="H14" i="5"/>
  <c r="H62" i="5"/>
  <c r="H102" i="5"/>
  <c r="H123" i="5"/>
  <c r="H147" i="5"/>
  <c r="H167" i="5"/>
  <c r="H187" i="5"/>
  <c r="H211" i="5"/>
  <c r="H231" i="5"/>
  <c r="H251" i="5"/>
  <c r="H275" i="5"/>
  <c r="H295" i="5"/>
  <c r="H315" i="5"/>
  <c r="H339" i="5"/>
  <c r="H359" i="5"/>
  <c r="H379" i="5"/>
  <c r="H403" i="5"/>
  <c r="H423" i="5"/>
  <c r="H443" i="5"/>
  <c r="H467" i="5"/>
  <c r="H487" i="5"/>
  <c r="H507" i="5"/>
  <c r="H531" i="5"/>
  <c r="H551" i="5"/>
  <c r="H571" i="5"/>
  <c r="H595" i="5"/>
  <c r="H615" i="5"/>
  <c r="H635" i="5"/>
  <c r="H659" i="5"/>
  <c r="H679" i="5"/>
  <c r="H47" i="5"/>
  <c r="H95" i="5"/>
  <c r="H120" i="5"/>
  <c r="H140" i="5"/>
  <c r="H164" i="5"/>
  <c r="H184" i="5"/>
  <c r="H204" i="5"/>
  <c r="H228" i="5"/>
  <c r="H248" i="5"/>
  <c r="H268" i="5"/>
  <c r="H292" i="5"/>
  <c r="H312" i="5"/>
  <c r="H332" i="5"/>
  <c r="H356" i="5"/>
  <c r="H376" i="5"/>
  <c r="H396" i="5"/>
  <c r="H420" i="5"/>
  <c r="H440" i="5"/>
  <c r="H460" i="5"/>
  <c r="H484" i="5"/>
  <c r="H504" i="5"/>
  <c r="H524" i="5"/>
  <c r="H548" i="5"/>
  <c r="H568" i="5"/>
  <c r="H588" i="5"/>
  <c r="H612" i="5"/>
  <c r="H632" i="5"/>
  <c r="H652" i="5"/>
  <c r="H676" i="5"/>
  <c r="H34" i="5"/>
  <c r="H74" i="5"/>
  <c r="H113" i="5"/>
  <c r="H133" i="5"/>
  <c r="H153" i="5"/>
  <c r="H177" i="5"/>
  <c r="H197" i="5"/>
  <c r="H217" i="5"/>
  <c r="H241" i="5"/>
  <c r="H261" i="5"/>
  <c r="H277" i="5"/>
  <c r="H293" i="5"/>
  <c r="H309" i="5"/>
  <c r="H325" i="5"/>
  <c r="H341" i="5"/>
  <c r="H357" i="5"/>
  <c r="H373" i="5"/>
  <c r="H389" i="5"/>
  <c r="H405" i="5"/>
  <c r="H421" i="5"/>
  <c r="H437" i="5"/>
  <c r="H453" i="5"/>
  <c r="H469" i="5"/>
  <c r="H485" i="5"/>
  <c r="H501" i="5"/>
  <c r="H517" i="5"/>
  <c r="H533" i="5"/>
  <c r="H11" i="5"/>
  <c r="H43" i="5"/>
  <c r="H75" i="5"/>
  <c r="H106" i="5"/>
  <c r="H122" i="5"/>
  <c r="H138" i="5"/>
  <c r="H649" i="5"/>
  <c r="H617" i="5"/>
  <c r="H585" i="5"/>
  <c r="H553" i="5"/>
  <c r="H494" i="5"/>
  <c r="H430" i="5"/>
  <c r="H366" i="5"/>
  <c r="H302" i="5"/>
  <c r="H238" i="5"/>
  <c r="H174" i="5"/>
  <c r="H670" i="5"/>
  <c r="H638" i="5"/>
  <c r="H606" i="5"/>
  <c r="H574" i="5"/>
  <c r="H538" i="5"/>
  <c r="H474" i="5"/>
  <c r="H410" i="5"/>
  <c r="H346" i="5"/>
  <c r="H282" i="5"/>
  <c r="H218" i="5"/>
  <c r="H154" i="5"/>
  <c r="H653" i="5"/>
  <c r="H621" i="5"/>
  <c r="H589" i="5"/>
  <c r="H557" i="5"/>
  <c r="H502" i="5"/>
  <c r="H438" i="5"/>
  <c r="H374" i="5"/>
  <c r="H310" i="5"/>
  <c r="H246" i="5"/>
  <c r="H182" i="5"/>
  <c r="H666" i="5"/>
  <c r="H634" i="5"/>
  <c r="H602" i="5"/>
  <c r="H570" i="5"/>
  <c r="H530" i="5"/>
  <c r="H466" i="5"/>
  <c r="H402" i="5"/>
  <c r="H338" i="5"/>
  <c r="H274" i="5"/>
  <c r="H210" i="5"/>
  <c r="H146" i="5"/>
  <c r="H20" i="5"/>
  <c r="H40" i="5"/>
  <c r="H60" i="5"/>
  <c r="H84" i="5"/>
  <c r="H104" i="5"/>
  <c r="H25" i="5"/>
  <c r="H49" i="5"/>
  <c r="H69" i="5"/>
  <c r="H89" i="5"/>
  <c r="H30" i="5"/>
  <c r="H70" i="5"/>
  <c r="H107" i="5"/>
  <c r="H131" i="5"/>
  <c r="H151" i="5"/>
  <c r="H171" i="5"/>
  <c r="H195" i="5"/>
  <c r="H215" i="5"/>
  <c r="H235" i="5"/>
  <c r="H259" i="5"/>
  <c r="H279" i="5"/>
  <c r="H299" i="5"/>
  <c r="H323" i="5"/>
  <c r="H343" i="5"/>
  <c r="H363" i="5"/>
  <c r="H387" i="5"/>
  <c r="H407" i="5"/>
  <c r="H427" i="5"/>
  <c r="H451" i="5"/>
  <c r="H471" i="5"/>
  <c r="H491" i="5"/>
  <c r="H515" i="5"/>
  <c r="H535" i="5"/>
  <c r="H555" i="5"/>
  <c r="H579" i="5"/>
  <c r="H599" i="5"/>
  <c r="H619" i="5"/>
  <c r="H643" i="5"/>
  <c r="H663" i="5"/>
  <c r="H15" i="5"/>
  <c r="H63" i="5"/>
  <c r="H103" i="5"/>
  <c r="H124" i="5"/>
  <c r="H148" i="5"/>
  <c r="H168" i="5"/>
  <c r="H188" i="5"/>
  <c r="H212" i="5"/>
  <c r="H232" i="5"/>
  <c r="H252" i="5"/>
  <c r="H276" i="5"/>
  <c r="H296" i="5"/>
  <c r="H316" i="5"/>
  <c r="H340" i="5"/>
  <c r="H360" i="5"/>
  <c r="H380" i="5"/>
  <c r="H404" i="5"/>
  <c r="H424" i="5"/>
  <c r="H444" i="5"/>
  <c r="H468" i="5"/>
  <c r="H488" i="5"/>
  <c r="H508" i="5"/>
  <c r="H532" i="5"/>
  <c r="H552" i="5"/>
  <c r="H572" i="5"/>
  <c r="H596" i="5"/>
  <c r="H616" i="5"/>
  <c r="H636" i="5"/>
  <c r="H660" i="5"/>
  <c r="H8" i="5"/>
  <c r="H42" i="5"/>
  <c r="H90" i="5"/>
  <c r="H117" i="5"/>
  <c r="H137" i="5"/>
  <c r="H161" i="5"/>
  <c r="H181" i="5"/>
  <c r="H201" i="5"/>
  <c r="H225" i="5"/>
  <c r="H245" i="5"/>
  <c r="H265" i="5"/>
  <c r="H281" i="5"/>
  <c r="H297" i="5"/>
  <c r="H313" i="5"/>
  <c r="H329" i="5"/>
  <c r="H345" i="5"/>
  <c r="H361" i="5"/>
  <c r="H377" i="5"/>
  <c r="H393" i="5"/>
  <c r="H409" i="5"/>
  <c r="H425" i="5"/>
  <c r="H441" i="5"/>
  <c r="H457" i="5"/>
  <c r="H473" i="5"/>
  <c r="H489" i="5"/>
  <c r="H505" i="5"/>
  <c r="H521" i="5"/>
  <c r="H537" i="5"/>
  <c r="H19" i="5"/>
  <c r="H51" i="5"/>
  <c r="H83" i="5"/>
  <c r="H110" i="5"/>
  <c r="H126" i="5"/>
  <c r="H673" i="5"/>
  <c r="H641" i="5"/>
  <c r="H609" i="5"/>
  <c r="H577" i="5"/>
  <c r="H542" i="5"/>
  <c r="H478" i="5"/>
  <c r="H414" i="5"/>
  <c r="H350" i="5"/>
  <c r="H286" i="5"/>
  <c r="H222" i="5"/>
  <c r="H158" i="5"/>
  <c r="H662" i="5"/>
  <c r="H630" i="5"/>
  <c r="H598" i="5"/>
  <c r="H566" i="5"/>
  <c r="H522" i="5"/>
  <c r="H458" i="5"/>
  <c r="H394" i="5"/>
  <c r="H330" i="5"/>
  <c r="H24" i="5"/>
  <c r="H44" i="5"/>
  <c r="H68" i="5"/>
  <c r="H88" i="5"/>
  <c r="H9" i="5"/>
  <c r="H33" i="5"/>
  <c r="H53" i="5"/>
  <c r="H73" i="5"/>
  <c r="H97" i="5"/>
  <c r="H38" i="5"/>
  <c r="H78" i="5"/>
  <c r="H115" i="5"/>
  <c r="H135" i="5"/>
  <c r="H155" i="5"/>
  <c r="H179" i="5"/>
  <c r="H199" i="5"/>
  <c r="H219" i="5"/>
  <c r="H243" i="5"/>
  <c r="H263" i="5"/>
  <c r="H283" i="5"/>
  <c r="H307" i="5"/>
  <c r="H327" i="5"/>
  <c r="H347" i="5"/>
  <c r="H371" i="5"/>
  <c r="H391" i="5"/>
  <c r="H411" i="5"/>
  <c r="H435" i="5"/>
  <c r="H455" i="5"/>
  <c r="H475" i="5"/>
  <c r="H499" i="5"/>
  <c r="H519" i="5"/>
  <c r="H539" i="5"/>
  <c r="H563" i="5"/>
  <c r="H583" i="5"/>
  <c r="H603" i="5"/>
  <c r="H627" i="5"/>
  <c r="H647" i="5"/>
  <c r="H667" i="5"/>
  <c r="H31" i="5"/>
  <c r="H71" i="5"/>
  <c r="H108" i="5"/>
  <c r="H132" i="5"/>
  <c r="H152" i="5"/>
  <c r="H172" i="5"/>
  <c r="H196" i="5"/>
  <c r="H216" i="5"/>
  <c r="H236" i="5"/>
  <c r="H260" i="5"/>
  <c r="H280" i="5"/>
  <c r="H300" i="5"/>
  <c r="H324" i="5"/>
  <c r="H344" i="5"/>
  <c r="H364" i="5"/>
  <c r="H388" i="5"/>
  <c r="H408" i="5"/>
  <c r="H428" i="5"/>
  <c r="H452" i="5"/>
  <c r="H472" i="5"/>
  <c r="H492" i="5"/>
  <c r="H516" i="5"/>
  <c r="H536" i="5"/>
  <c r="H556" i="5"/>
  <c r="H580" i="5"/>
  <c r="H600" i="5"/>
  <c r="H620" i="5"/>
  <c r="H644" i="5"/>
  <c r="H664" i="5"/>
  <c r="H10" i="5"/>
  <c r="H58" i="5"/>
  <c r="H98" i="5"/>
  <c r="H121" i="5"/>
  <c r="H145" i="5"/>
  <c r="H165" i="5"/>
  <c r="H185" i="5"/>
  <c r="H209" i="5"/>
  <c r="H229" i="5"/>
  <c r="H28" i="5"/>
  <c r="H52" i="5"/>
  <c r="H72" i="5"/>
  <c r="H92" i="5"/>
  <c r="H17" i="5"/>
  <c r="H37" i="5"/>
  <c r="H57" i="5"/>
  <c r="H81" i="5"/>
  <c r="H101" i="5"/>
  <c r="H46" i="5"/>
  <c r="H94" i="5"/>
  <c r="H119" i="5"/>
  <c r="H139" i="5"/>
  <c r="H163" i="5"/>
  <c r="H183" i="5"/>
  <c r="H203" i="5"/>
  <c r="H227" i="5"/>
  <c r="H247" i="5"/>
  <c r="H267" i="5"/>
  <c r="H291" i="5"/>
  <c r="H311" i="5"/>
  <c r="H331" i="5"/>
  <c r="H355" i="5"/>
  <c r="H375" i="5"/>
  <c r="H395" i="5"/>
  <c r="H419" i="5"/>
  <c r="H439" i="5"/>
  <c r="H459" i="5"/>
  <c r="H483" i="5"/>
  <c r="H503" i="5"/>
  <c r="H523" i="5"/>
  <c r="H547" i="5"/>
  <c r="H567" i="5"/>
  <c r="H587" i="5"/>
  <c r="H611" i="5"/>
  <c r="H631" i="5"/>
  <c r="H651" i="5"/>
  <c r="H675" i="5"/>
  <c r="H39" i="5"/>
  <c r="H79" i="5"/>
  <c r="H116" i="5"/>
  <c r="H136" i="5"/>
  <c r="H156" i="5"/>
  <c r="H180" i="5"/>
  <c r="H200" i="5"/>
  <c r="H220" i="5"/>
  <c r="H244" i="5"/>
  <c r="H264" i="5"/>
  <c r="H284" i="5"/>
  <c r="H308" i="5"/>
  <c r="H328" i="5"/>
  <c r="H348" i="5"/>
  <c r="H372" i="5"/>
  <c r="H392" i="5"/>
  <c r="H412" i="5"/>
  <c r="H436" i="5"/>
  <c r="H456" i="5"/>
  <c r="H476" i="5"/>
  <c r="H500" i="5"/>
  <c r="H520" i="5"/>
  <c r="H540" i="5"/>
  <c r="H564" i="5"/>
  <c r="H584" i="5"/>
  <c r="H604" i="5"/>
  <c r="H628" i="5"/>
  <c r="H648" i="5"/>
  <c r="H668" i="5"/>
  <c r="H26" i="5"/>
  <c r="H66" i="5"/>
  <c r="H105" i="5"/>
  <c r="H129" i="5"/>
  <c r="H149" i="5"/>
  <c r="H169" i="5"/>
  <c r="H193" i="5"/>
  <c r="H213" i="5"/>
  <c r="H233" i="5"/>
  <c r="H249" i="5"/>
  <c r="H285" i="5"/>
  <c r="H317" i="5"/>
  <c r="H349" i="5"/>
  <c r="H381" i="5"/>
  <c r="H413" i="5"/>
  <c r="H445" i="5"/>
  <c r="H477" i="5"/>
  <c r="H509" i="5"/>
  <c r="H541" i="5"/>
  <c r="H59" i="5"/>
  <c r="H114" i="5"/>
  <c r="H665" i="5"/>
  <c r="H601" i="5"/>
  <c r="H526" i="5"/>
  <c r="H398" i="5"/>
  <c r="H270" i="5"/>
  <c r="H142" i="5"/>
  <c r="H622" i="5"/>
  <c r="H558" i="5"/>
  <c r="H442" i="5"/>
  <c r="H314" i="5"/>
  <c r="H234" i="5"/>
  <c r="H677" i="5"/>
  <c r="H637" i="5"/>
  <c r="H597" i="5"/>
  <c r="H549" i="5"/>
  <c r="H470" i="5"/>
  <c r="H390" i="5"/>
  <c r="H294" i="5"/>
  <c r="H214" i="5"/>
  <c r="H674" i="5"/>
  <c r="H626" i="5"/>
  <c r="H586" i="5"/>
  <c r="H546" i="5"/>
  <c r="H450" i="5"/>
  <c r="H370" i="5"/>
  <c r="H290" i="5"/>
  <c r="H194" i="5"/>
  <c r="H257" i="5"/>
  <c r="H289" i="5"/>
  <c r="H321" i="5"/>
  <c r="H353" i="5"/>
  <c r="H385" i="5"/>
  <c r="H417" i="5"/>
  <c r="H449" i="5"/>
  <c r="H481" i="5"/>
  <c r="H513" i="5"/>
  <c r="H545" i="5"/>
  <c r="H67" i="5"/>
  <c r="H118" i="5"/>
  <c r="H657" i="5"/>
  <c r="H593" i="5"/>
  <c r="H510" i="5"/>
  <c r="H382" i="5"/>
  <c r="H254" i="5"/>
  <c r="H678" i="5"/>
  <c r="H614" i="5"/>
  <c r="H550" i="5"/>
  <c r="H426" i="5"/>
  <c r="H298" i="5"/>
  <c r="H202" i="5"/>
  <c r="H669" i="5"/>
  <c r="H629" i="5"/>
  <c r="H581" i="5"/>
  <c r="H534" i="5"/>
  <c r="H454" i="5"/>
  <c r="H358" i="5"/>
  <c r="H278" i="5"/>
  <c r="H198" i="5"/>
  <c r="H658" i="5"/>
  <c r="H618" i="5"/>
  <c r="H578" i="5"/>
  <c r="H514" i="5"/>
  <c r="H434" i="5"/>
  <c r="H354" i="5"/>
  <c r="H258" i="5"/>
  <c r="H178" i="5"/>
  <c r="H269" i="5"/>
  <c r="H301" i="5"/>
  <c r="H333" i="5"/>
  <c r="H365" i="5"/>
  <c r="H397" i="5"/>
  <c r="H429" i="5"/>
  <c r="H461" i="5"/>
  <c r="H493" i="5"/>
  <c r="H525" i="5"/>
  <c r="H27" i="5"/>
  <c r="H91" i="5"/>
  <c r="H130" i="5"/>
  <c r="H633" i="5"/>
  <c r="H569" i="5"/>
  <c r="H462" i="5"/>
  <c r="H334" i="5"/>
  <c r="H206" i="5"/>
  <c r="H654" i="5"/>
  <c r="H590" i="5"/>
  <c r="H506" i="5"/>
  <c r="H378" i="5"/>
  <c r="H266" i="5"/>
  <c r="H186" i="5"/>
  <c r="H661" i="5"/>
  <c r="H613" i="5"/>
  <c r="H573" i="5"/>
  <c r="H518" i="5"/>
  <c r="H422" i="5"/>
  <c r="H342" i="5"/>
  <c r="H262" i="5"/>
  <c r="H166" i="5"/>
  <c r="H650" i="5"/>
  <c r="H610" i="5"/>
  <c r="H562" i="5"/>
  <c r="H498" i="5"/>
  <c r="H418" i="5"/>
  <c r="H322" i="5"/>
  <c r="H242" i="5"/>
  <c r="H162" i="5"/>
  <c r="H273" i="5"/>
  <c r="H305" i="5"/>
  <c r="H337" i="5"/>
  <c r="H369" i="5"/>
  <c r="H401" i="5"/>
  <c r="H433" i="5"/>
  <c r="H465" i="5"/>
  <c r="H497" i="5"/>
  <c r="H529" i="5"/>
  <c r="H35" i="5"/>
  <c r="H99" i="5"/>
  <c r="H134" i="5"/>
  <c r="H625" i="5"/>
  <c r="H561" i="5"/>
  <c r="H446" i="5"/>
  <c r="H318" i="5"/>
  <c r="H190" i="5"/>
  <c r="H646" i="5"/>
  <c r="H582" i="5"/>
  <c r="H490" i="5"/>
  <c r="H362" i="5"/>
  <c r="H250" i="5"/>
  <c r="H170" i="5"/>
  <c r="H645" i="5"/>
  <c r="H605" i="5"/>
  <c r="H565" i="5"/>
  <c r="H486" i="5"/>
  <c r="H406" i="5"/>
  <c r="H326" i="5"/>
  <c r="H230" i="5"/>
  <c r="H150" i="5"/>
  <c r="H642" i="5"/>
  <c r="H594" i="5"/>
  <c r="H554" i="5"/>
  <c r="H482" i="5"/>
  <c r="H386" i="5"/>
  <c r="H306" i="5"/>
  <c r="H226" i="5"/>
  <c r="E6" i="5" l="1"/>
  <c r="E6" i="9"/>
  <c r="H6" i="9"/>
  <c r="H6" i="5"/>
  <c r="H6" i="10"/>
  <c r="E6" i="10"/>
  <c r="C17" i="3" s="1"/>
  <c r="D16" i="3" l="1"/>
  <c r="I6" i="9"/>
  <c r="E16" i="3" s="1"/>
  <c r="D15" i="3"/>
  <c r="I6" i="5"/>
  <c r="E15" i="3" s="1"/>
  <c r="D17" i="3"/>
  <c r="I6" i="10"/>
  <c r="E17" i="3" s="1"/>
  <c r="C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D10" authorId="0" shapeId="0" xr:uid="{3B1B68BE-12FF-6B45-AF6F-EEBB7282A6F9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 the hot sink exergy factor used in the seasonal exergy calculations.</t>
        </r>
      </text>
    </comment>
    <comment ref="F10" authorId="0" shapeId="0" xr:uid="{32D75938-2FCE-AB48-A553-4C3E8006E12A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This is  the cold sink exergy factor used in the seasonal exergy calculations.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<sst xmlns="http://schemas.openxmlformats.org/spreadsheetml/2006/main" count="83" uniqueCount="28">
  <si>
    <t>kW</t>
  </si>
  <si>
    <r>
      <t>T</t>
    </r>
    <r>
      <rPr>
        <vertAlign val="subscript"/>
        <sz val="12"/>
        <color theme="1"/>
        <rFont val="Aptos Narrow (Body)"/>
      </rPr>
      <t>0</t>
    </r>
  </si>
  <si>
    <t>K</t>
  </si>
  <si>
    <t>ºC</t>
  </si>
  <si>
    <t>Total</t>
  </si>
  <si>
    <t>Winter</t>
  </si>
  <si>
    <t>Spring/Autumn</t>
  </si>
  <si>
    <t>Summer</t>
  </si>
  <si>
    <t>Hours</t>
  </si>
  <si>
    <t>Hot Sink</t>
  </si>
  <si>
    <t>Cold Sink</t>
  </si>
  <si>
    <r>
      <t>T</t>
    </r>
    <r>
      <rPr>
        <vertAlign val="subscript"/>
        <sz val="12"/>
        <color theme="1"/>
        <rFont val="Aptos Narrow (Body)"/>
      </rPr>
      <t>cond, h</t>
    </r>
  </si>
  <si>
    <t>Condenser Duty</t>
  </si>
  <si>
    <r>
      <t>T</t>
    </r>
    <r>
      <rPr>
        <vertAlign val="subscript"/>
        <sz val="12"/>
        <color theme="1"/>
        <rFont val="Aptos Narrow (Body)"/>
      </rPr>
      <t>in</t>
    </r>
  </si>
  <si>
    <r>
      <t>T</t>
    </r>
    <r>
      <rPr>
        <vertAlign val="subscript"/>
        <sz val="12"/>
        <color theme="1"/>
        <rFont val="Aptos Narrow (Body)"/>
      </rPr>
      <t>out</t>
    </r>
  </si>
  <si>
    <r>
      <t>E</t>
    </r>
    <r>
      <rPr>
        <vertAlign val="subscript"/>
        <sz val="12"/>
        <color theme="1"/>
        <rFont val="Aptos Narrow (Body)"/>
      </rPr>
      <t>D</t>
    </r>
  </si>
  <si>
    <r>
      <t>Q</t>
    </r>
    <r>
      <rPr>
        <vertAlign val="subscript"/>
        <sz val="12"/>
        <color theme="1"/>
        <rFont val="Aptos Narrow (Body)"/>
      </rPr>
      <t>cond,h</t>
    </r>
  </si>
  <si>
    <r>
      <t>Q</t>
    </r>
    <r>
      <rPr>
        <vertAlign val="subscript"/>
        <sz val="12"/>
        <color theme="1"/>
        <rFont val="Aptos Narrow (Body)"/>
      </rPr>
      <t>cond,c</t>
    </r>
  </si>
  <si>
    <t>kWh</t>
  </si>
  <si>
    <t>Factor</t>
  </si>
  <si>
    <r>
      <t>E</t>
    </r>
    <r>
      <rPr>
        <vertAlign val="subscript"/>
        <sz val="12"/>
        <color theme="1"/>
        <rFont val="Aptos Narrow (Body)"/>
      </rPr>
      <t>D, c</t>
    </r>
  </si>
  <si>
    <r>
      <t>E</t>
    </r>
    <r>
      <rPr>
        <vertAlign val="subscript"/>
        <sz val="12"/>
        <color theme="1"/>
        <rFont val="Aptos Narrow (Body)"/>
      </rPr>
      <t>D, h</t>
    </r>
  </si>
  <si>
    <r>
      <t>Q</t>
    </r>
    <r>
      <rPr>
        <vertAlign val="subscript"/>
        <sz val="12"/>
        <color theme="1"/>
        <rFont val="Aptos Narrow (Body)"/>
      </rPr>
      <t>cond, c</t>
    </r>
  </si>
  <si>
    <r>
      <t>Q</t>
    </r>
    <r>
      <rPr>
        <vertAlign val="subscript"/>
        <sz val="12"/>
        <color theme="1"/>
        <rFont val="Aptos Narrow (Body)"/>
      </rPr>
      <t>cond, h</t>
    </r>
  </si>
  <si>
    <t>Total Exergy Destruction</t>
  </si>
  <si>
    <t>Exergy Destruction</t>
  </si>
  <si>
    <t>Spring/autumn</t>
  </si>
  <si>
    <t>Exergy Destruction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</si>
</sst>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sz val="1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/>
    <xf numFmtId="0" fontId="0" fillId="2" borderId="0" xfId="0" applyFill="1"/>
    <xf numFmtId="167" fontId="0" fillId="0" borderId="0" xfId="1" applyNumberFormat="1" applyFont="1"/>
    <xf numFmtId="167" fontId="0" fillId="0" borderId="4" xfId="1" applyNumberFormat="1" applyFont="1" applyBorder="1"/>
    <xf numFmtId="164" fontId="3" fillId="0" borderId="0" xfId="0" applyNumberFormat="1" applyFont="1"/>
    <xf numFmtId="167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6" fontId="0" fillId="0" borderId="3" xfId="0" applyNumberFormat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3" xfId="0" applyBorder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36811</xdr:colOff>
      <xdr:row>28</xdr:row>
      <xdr:rowOff>18403</xdr:rowOff>
    </xdr:from>
    <xdr:to>
      <xdr:col>15</xdr:col>
      <xdr:colOff>361983</xdr:colOff>
      <xdr:row>39</xdr:row>
      <xdr:rowOff>74969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D7EEA5-DCBF-8140-ABBA-8A493BB24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7608" y="5558548"/>
          <a:ext cx="5294736" cy="2283669"/>
        </a:xfrm>
        <a:prstGeom prst="rect">
          <a:avLst/>
        </a:prstGeom>
      </xdr:spPr>
    </xdr:pic>
    <xdr:clientData/>
  </xdr:twoCellAnchor>
  <xdr:twoCellAnchor editAs="oneCell">
    <xdr:from>
      <xdr:col>9</xdr:col>
      <xdr:colOff>506158</xdr:colOff>
      <xdr:row>2</xdr:row>
      <xdr:rowOff>66307</xdr:rowOff>
    </xdr:from>
    <xdr:to>
      <xdr:col>14</xdr:col>
      <xdr:colOff>722979</xdr:colOff>
      <xdr:row>21</xdr:row>
      <xdr:rowOff>76368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65E118-569D-0E8E-59C8-C5CF136F8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6955" y="471235"/>
          <a:ext cx="4358125" cy="4031620"/>
        </a:xfrm>
        <a:prstGeom prst="rect">
          <a:avLst/>
        </a:prstGeom>
      </xdr:spPr>
    </xdr:pic>
    <xdr:clientData/>
  </xdr:twoCellAnchor>
  <xdr:twoCellAnchor>
    <xdr:from>
      <xdr:col>5</xdr:col>
      <xdr:colOff>18406</xdr:colOff>
      <xdr:row>1</xdr:row>
      <xdr:rowOff>9203</xdr:rowOff>
    </xdr:from>
    <xdr:to>
      <xdr:col>8</xdr:col>
      <xdr:colOff>399406</xdr:colOff>
      <xdr:row>3</xdr:row>
      <xdr:rowOff>196758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990A4-98A4-7D36-12E9-A39959A2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6160" y="211667"/>
          <a:ext cx="2865782" cy="620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15875</xdr:colOff>
      <xdr:row>3</xdr:row>
      <xdr:rowOff>15875</xdr:rowOff>
    </xdr:from>
    <xdr:to>
      <xdr:col>13</xdr:col>
      <xdr:colOff>408081</xdr:colOff>
      <xdr:row>4</xdr:row>
      <xdr:rowOff>208099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CCBBF5-78A8-5045-8E9C-097D1FD5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8375" y="635000"/>
          <a:ext cx="2868706" cy="62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13</xdr:col>
      <xdr:colOff>392206</xdr:colOff>
      <xdr:row>4</xdr:row>
      <xdr:rowOff>192224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665790-E7AC-9E48-8B55-BEE8ADD1F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619125"/>
          <a:ext cx="2868706" cy="62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13</xdr:col>
      <xdr:colOff>392206</xdr:colOff>
      <xdr:row>4</xdr:row>
      <xdr:rowOff>192224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B62BA0-7F18-6C48-9181-002D396F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619125"/>
          <a:ext cx="2868706" cy="620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914B-4CA1-724E-8D37-F68BDFD8B3CB}">
  <dimension ref="A2:J38"/>
  <sheetViews>
    <sheetView tabSelected="1" topLeftCell="A9" zoomScale="170" zoomScaleNormal="170" workbookViewId="0">
      <selection activeCell="H23" sqref="H23"/>
    </sheetView>
  </sheetViews>
  <sheetFormatPr baseColWidth="10" defaultRowHeight="16" x14ac:dyDescent="0.2"/>
  <cols>
    <col min="1" max="1" width="31.33203125" customWidth="1"/>
    <col min="2" max="2" width="6.5" style="1" customWidth="1"/>
    <col min="3" max="3" width="8.1640625" customWidth="1"/>
    <col min="5" max="5" width="8.5" customWidth="1"/>
  </cols>
  <sheetData>
    <row r="2" spans="1:7" x14ac:dyDescent="0.2">
      <c r="A2" s="4"/>
    </row>
    <row r="3" spans="1:7" ht="18" x14ac:dyDescent="0.25">
      <c r="A3" s="4" t="s">
        <v>1</v>
      </c>
      <c r="B3" s="1" t="s">
        <v>2</v>
      </c>
      <c r="C3">
        <v>273</v>
      </c>
    </row>
    <row r="4" spans="1:7" ht="18" x14ac:dyDescent="0.25">
      <c r="A4" s="4" t="s">
        <v>11</v>
      </c>
      <c r="B4" s="1" t="s">
        <v>3</v>
      </c>
      <c r="C4" s="4">
        <v>30</v>
      </c>
      <c r="D4">
        <f>C4+273</f>
        <v>303</v>
      </c>
    </row>
    <row r="5" spans="1:7" x14ac:dyDescent="0.2">
      <c r="A5" s="4"/>
      <c r="C5" s="4"/>
    </row>
    <row r="6" spans="1:7" x14ac:dyDescent="0.2">
      <c r="A6" s="4"/>
      <c r="C6" s="20" t="s">
        <v>9</v>
      </c>
      <c r="D6" s="20"/>
      <c r="E6" s="20" t="s">
        <v>10</v>
      </c>
      <c r="F6" s="20"/>
    </row>
    <row r="7" spans="1:7" x14ac:dyDescent="0.2">
      <c r="A7" s="4"/>
      <c r="C7" s="1" t="str">
        <f>B4</f>
        <v>ºC</v>
      </c>
      <c r="D7" s="1" t="s">
        <v>2</v>
      </c>
      <c r="E7" s="1" t="str">
        <f>B4</f>
        <v>ºC</v>
      </c>
      <c r="F7" s="1" t="s">
        <v>2</v>
      </c>
    </row>
    <row r="8" spans="1:7" ht="18" x14ac:dyDescent="0.25">
      <c r="A8" s="4" t="s">
        <v>13</v>
      </c>
      <c r="C8">
        <v>20</v>
      </c>
      <c r="D8">
        <f>C8+$C$3</f>
        <v>293</v>
      </c>
      <c r="E8">
        <v>10</v>
      </c>
      <c r="F8">
        <f>E8+$C$3</f>
        <v>283</v>
      </c>
    </row>
    <row r="9" spans="1:7" ht="18" x14ac:dyDescent="0.25">
      <c r="A9" s="4" t="s">
        <v>14</v>
      </c>
      <c r="C9">
        <v>28</v>
      </c>
      <c r="D9">
        <f>C9+$C$3</f>
        <v>301</v>
      </c>
      <c r="E9">
        <v>25</v>
      </c>
      <c r="F9">
        <f>E9+$C$3</f>
        <v>298</v>
      </c>
    </row>
    <row r="10" spans="1:7" ht="18" x14ac:dyDescent="0.25">
      <c r="A10" s="4" t="s">
        <v>15</v>
      </c>
      <c r="B10" s="1" t="s">
        <v>0</v>
      </c>
      <c r="D10" s="6">
        <f>$C$3*(((1/(D9-D8))*LN(D9/D8))-1/$D$4)</f>
        <v>1.8257402838060172E-2</v>
      </c>
      <c r="E10" s="6" t="s">
        <v>16</v>
      </c>
      <c r="F10" s="6">
        <f>$C$3*(((1/(F9-F8))*LN(F9/F8))-1/$D$4)</f>
        <v>3.8977818281534057E-2</v>
      </c>
      <c r="G10" s="6" t="s">
        <v>17</v>
      </c>
    </row>
    <row r="11" spans="1:7" x14ac:dyDescent="0.2">
      <c r="A11" s="4"/>
    </row>
    <row r="12" spans="1:7" x14ac:dyDescent="0.2">
      <c r="A12" s="4"/>
      <c r="C12" s="27" t="s">
        <v>27</v>
      </c>
      <c r="D12" s="27"/>
      <c r="E12" s="27"/>
    </row>
    <row r="13" spans="1:7" s="1" customFormat="1" x14ac:dyDescent="0.2">
      <c r="C13" s="26" t="s">
        <v>9</v>
      </c>
      <c r="D13" s="1" t="s">
        <v>10</v>
      </c>
      <c r="E13" s="1" t="s">
        <v>4</v>
      </c>
    </row>
    <row r="14" spans="1:7" ht="18" x14ac:dyDescent="0.25">
      <c r="A14" s="4"/>
      <c r="C14" s="26" t="s">
        <v>21</v>
      </c>
      <c r="D14" s="1" t="s">
        <v>20</v>
      </c>
      <c r="E14" s="1" t="s">
        <v>15</v>
      </c>
    </row>
    <row r="15" spans="1:7" x14ac:dyDescent="0.2">
      <c r="A15" s="4" t="s">
        <v>5</v>
      </c>
      <c r="C15" s="14">
        <f>Winter!E6</f>
        <v>41741</v>
      </c>
      <c r="D15" s="14">
        <f>Winter!H6</f>
        <v>13225</v>
      </c>
      <c r="E15" s="14">
        <f>Winter!I6</f>
        <v>54966</v>
      </c>
    </row>
    <row r="16" spans="1:7" x14ac:dyDescent="0.2">
      <c r="A16" s="4" t="s">
        <v>26</v>
      </c>
      <c r="C16" s="14">
        <f>'Spring Autumn'!E6</f>
        <v>39842</v>
      </c>
      <c r="D16" s="14">
        <f>'Spring Autumn'!H6</f>
        <v>24957</v>
      </c>
      <c r="E16" s="14">
        <f>'Spring Autumn'!I6</f>
        <v>64799</v>
      </c>
    </row>
    <row r="17" spans="1:10" x14ac:dyDescent="0.2">
      <c r="A17" s="4" t="s">
        <v>7</v>
      </c>
      <c r="C17" s="14">
        <f>Summer!E6</f>
        <v>36497</v>
      </c>
      <c r="D17" s="14">
        <f>Summer!H6</f>
        <v>40079</v>
      </c>
      <c r="E17" s="14">
        <f>Summer!I6</f>
        <v>76576</v>
      </c>
    </row>
    <row r="18" spans="1:10" x14ac:dyDescent="0.2">
      <c r="A18" s="4"/>
    </row>
    <row r="19" spans="1:10" x14ac:dyDescent="0.2">
      <c r="A19" s="4"/>
      <c r="C19" s="2"/>
    </row>
    <row r="20" spans="1:10" x14ac:dyDescent="0.2">
      <c r="A20" s="4"/>
      <c r="C20" s="2"/>
    </row>
    <row r="21" spans="1:10" x14ac:dyDescent="0.2">
      <c r="C21" s="2"/>
    </row>
    <row r="22" spans="1:10" x14ac:dyDescent="0.2">
      <c r="A22" s="4"/>
      <c r="C22" s="6"/>
    </row>
    <row r="24" spans="1:10" x14ac:dyDescent="0.2">
      <c r="A24" s="7"/>
      <c r="C24" s="1"/>
    </row>
    <row r="25" spans="1:10" x14ac:dyDescent="0.2">
      <c r="A25" s="4"/>
      <c r="C25" s="6"/>
    </row>
    <row r="26" spans="1:10" x14ac:dyDescent="0.2">
      <c r="A26" s="4"/>
      <c r="C26" s="6"/>
    </row>
    <row r="27" spans="1:10" x14ac:dyDescent="0.2">
      <c r="A27" s="4"/>
      <c r="B27"/>
    </row>
    <row r="28" spans="1:10" x14ac:dyDescent="0.2">
      <c r="A28" s="4"/>
      <c r="B28"/>
    </row>
    <row r="29" spans="1:10" x14ac:dyDescent="0.2">
      <c r="A29" s="4"/>
    </row>
    <row r="30" spans="1:10" x14ac:dyDescent="0.2">
      <c r="C30" s="1"/>
    </row>
    <row r="31" spans="1:10" x14ac:dyDescent="0.2">
      <c r="A31" s="8"/>
      <c r="B31" s="9"/>
      <c r="C31" s="5"/>
      <c r="J31" s="13"/>
    </row>
    <row r="33" spans="3:3" x14ac:dyDescent="0.2">
      <c r="C33" s="3"/>
    </row>
    <row r="37" spans="3:3" x14ac:dyDescent="0.2">
      <c r="C37" s="2"/>
    </row>
    <row r="38" spans="3:3" x14ac:dyDescent="0.2">
      <c r="C38" s="5"/>
    </row>
  </sheetData>
  <mergeCells count="3">
    <mergeCell ref="C6:D6"/>
    <mergeCell ref="E6:F6"/>
    <mergeCell ref="C12:E1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0D1F-C979-024E-968B-25C912241062}">
  <dimension ref="B2:J680"/>
  <sheetViews>
    <sheetView zoomScale="160" zoomScaleNormal="160" workbookViewId="0">
      <selection activeCell="J11" sqref="J11"/>
    </sheetView>
  </sheetViews>
  <sheetFormatPr baseColWidth="10" defaultRowHeight="16" x14ac:dyDescent="0.2"/>
  <cols>
    <col min="2" max="2" width="10.83203125" style="1"/>
    <col min="3" max="3" width="13.1640625" bestFit="1" customWidth="1"/>
    <col min="4" max="4" width="12" bestFit="1" customWidth="1"/>
    <col min="5" max="5" width="11.6640625" customWidth="1"/>
    <col min="6" max="6" width="11.6640625" style="12" bestFit="1" customWidth="1"/>
    <col min="7" max="7" width="12" bestFit="1" customWidth="1"/>
    <col min="8" max="8" width="11" bestFit="1" customWidth="1"/>
  </cols>
  <sheetData>
    <row r="2" spans="2:10" x14ac:dyDescent="0.2">
      <c r="C2" s="18" t="s">
        <v>5</v>
      </c>
      <c r="D2" s="19"/>
      <c r="E2" s="19"/>
      <c r="F2" s="19"/>
      <c r="G2" s="19"/>
      <c r="H2" s="19"/>
    </row>
    <row r="3" spans="2:10" x14ac:dyDescent="0.2">
      <c r="C3" s="20" t="s">
        <v>9</v>
      </c>
      <c r="D3" s="20"/>
      <c r="E3" s="20"/>
      <c r="F3" s="20" t="s">
        <v>10</v>
      </c>
      <c r="G3" s="20"/>
      <c r="H3" s="20"/>
      <c r="I3" s="25"/>
    </row>
    <row r="4" spans="2:10" s="10" customFormat="1" ht="34" x14ac:dyDescent="0.2">
      <c r="C4" s="11" t="s">
        <v>12</v>
      </c>
      <c r="D4" s="11" t="s">
        <v>19</v>
      </c>
      <c r="E4" s="11" t="s">
        <v>25</v>
      </c>
      <c r="F4" s="11" t="s">
        <v>12</v>
      </c>
      <c r="G4" s="11" t="str">
        <f>D4</f>
        <v>Factor</v>
      </c>
      <c r="H4" s="11" t="str">
        <f>E4</f>
        <v>Exergy Destruction</v>
      </c>
      <c r="I4" s="11" t="s">
        <v>24</v>
      </c>
    </row>
    <row r="5" spans="2:10" s="10" customFormat="1" ht="19" x14ac:dyDescent="0.2">
      <c r="C5" s="11" t="s">
        <v>23</v>
      </c>
      <c r="D5" s="21">
        <f>Properties!D10</f>
        <v>1.8257402838060172E-2</v>
      </c>
      <c r="E5" s="11" t="s">
        <v>21</v>
      </c>
      <c r="F5" s="11" t="s">
        <v>22</v>
      </c>
      <c r="G5" s="21">
        <f>Properties!F10</f>
        <v>3.8977818281534057E-2</v>
      </c>
      <c r="H5" s="11" t="s">
        <v>20</v>
      </c>
      <c r="I5" s="11" t="s">
        <v>15</v>
      </c>
    </row>
    <row r="6" spans="2:10" x14ac:dyDescent="0.2">
      <c r="B6" s="1" t="s">
        <v>4</v>
      </c>
      <c r="C6" s="14">
        <f>SUM(C8:C679)</f>
        <v>2286226.9585540341</v>
      </c>
      <c r="D6" s="5"/>
      <c r="E6" s="14">
        <f>ROUND(SUM(E8:E679),0)</f>
        <v>41741</v>
      </c>
      <c r="F6" s="15">
        <f>SUM(F8:F679)</f>
        <v>339293.69968772272</v>
      </c>
      <c r="G6" s="5"/>
      <c r="H6" s="14">
        <f>ROUND(SUM(H8:H679),0)</f>
        <v>13225</v>
      </c>
      <c r="I6" s="17">
        <f>H6+E6</f>
        <v>54966</v>
      </c>
    </row>
    <row r="7" spans="2:10" s="1" customFormat="1" x14ac:dyDescent="0.2">
      <c r="B7" s="1" t="s">
        <v>8</v>
      </c>
      <c r="C7" s="1" t="s">
        <v>18</v>
      </c>
      <c r="D7" s="22"/>
      <c r="E7" s="1" t="s">
        <v>18</v>
      </c>
      <c r="F7" s="23" t="s">
        <v>18</v>
      </c>
      <c r="G7" s="22"/>
      <c r="H7" s="1" t="s">
        <v>0</v>
      </c>
      <c r="J7" s="24"/>
    </row>
    <row r="8" spans="2:10" x14ac:dyDescent="0.2">
      <c r="B8" s="1">
        <v>1</v>
      </c>
      <c r="C8" s="2">
        <v>2524.5</v>
      </c>
      <c r="D8" s="3"/>
      <c r="E8" s="2">
        <f>C8*$D$5</f>
        <v>46.090813464682903</v>
      </c>
      <c r="F8" s="2">
        <v>0</v>
      </c>
      <c r="G8" s="3"/>
      <c r="H8" s="5">
        <f>$G$5*F8</f>
        <v>0</v>
      </c>
    </row>
    <row r="9" spans="2:10" x14ac:dyDescent="0.2">
      <c r="B9" s="1">
        <v>2</v>
      </c>
      <c r="C9" s="2">
        <v>2376</v>
      </c>
      <c r="D9" s="3"/>
      <c r="E9" s="2">
        <f t="shared" ref="E9:E72" si="0">C9*$D$5</f>
        <v>43.379589143230966</v>
      </c>
      <c r="F9" s="2">
        <v>0</v>
      </c>
      <c r="G9" s="3"/>
      <c r="H9" s="5">
        <f t="shared" ref="H9:H72" si="1">$G$5*F9</f>
        <v>0</v>
      </c>
    </row>
    <row r="10" spans="2:10" x14ac:dyDescent="0.2">
      <c r="B10" s="1">
        <v>3</v>
      </c>
      <c r="C10" s="2">
        <v>2524.5</v>
      </c>
      <c r="D10" s="3"/>
      <c r="E10" s="2">
        <f t="shared" si="0"/>
        <v>46.090813464682903</v>
      </c>
      <c r="F10" s="2">
        <v>0</v>
      </c>
      <c r="G10" s="3"/>
      <c r="H10" s="5">
        <f t="shared" si="1"/>
        <v>0</v>
      </c>
    </row>
    <row r="11" spans="2:10" x14ac:dyDescent="0.2">
      <c r="B11" s="1">
        <v>4</v>
      </c>
      <c r="C11" s="2">
        <v>2673</v>
      </c>
      <c r="D11" s="3"/>
      <c r="E11" s="2">
        <f t="shared" si="0"/>
        <v>48.802037786134839</v>
      </c>
      <c r="F11" s="2">
        <v>0</v>
      </c>
      <c r="G11" s="3"/>
      <c r="H11" s="5">
        <f t="shared" si="1"/>
        <v>0</v>
      </c>
    </row>
    <row r="12" spans="2:10" x14ac:dyDescent="0.2">
      <c r="B12" s="1">
        <v>5</v>
      </c>
      <c r="C12" s="2">
        <v>3044.2499999999995</v>
      </c>
      <c r="D12" s="3"/>
      <c r="E12" s="2">
        <f t="shared" si="0"/>
        <v>55.580098589764674</v>
      </c>
      <c r="F12" s="2">
        <v>0</v>
      </c>
      <c r="G12" s="3"/>
      <c r="H12" s="5">
        <f t="shared" si="1"/>
        <v>0</v>
      </c>
    </row>
    <row r="13" spans="2:10" x14ac:dyDescent="0.2">
      <c r="B13" s="1">
        <v>6</v>
      </c>
      <c r="C13" s="2">
        <v>3266.9999999999995</v>
      </c>
      <c r="D13" s="3"/>
      <c r="E13" s="2">
        <f t="shared" si="0"/>
        <v>59.646935071942572</v>
      </c>
      <c r="F13" s="2">
        <v>0</v>
      </c>
      <c r="G13" s="3"/>
      <c r="H13" s="5">
        <f t="shared" si="1"/>
        <v>0</v>
      </c>
    </row>
    <row r="14" spans="2:10" x14ac:dyDescent="0.2">
      <c r="B14" s="1">
        <v>7</v>
      </c>
      <c r="C14" s="2">
        <v>3489.7499999999995</v>
      </c>
      <c r="D14" s="3"/>
      <c r="E14" s="2">
        <f t="shared" si="0"/>
        <v>63.713771554120477</v>
      </c>
      <c r="F14" s="2">
        <v>0</v>
      </c>
      <c r="G14" s="3"/>
      <c r="H14" s="5">
        <f t="shared" si="1"/>
        <v>0</v>
      </c>
    </row>
    <row r="15" spans="2:10" x14ac:dyDescent="0.2">
      <c r="B15" s="1">
        <v>8</v>
      </c>
      <c r="C15" s="2">
        <v>3712.4999999999991</v>
      </c>
      <c r="D15" s="3"/>
      <c r="E15" s="2">
        <f t="shared" si="0"/>
        <v>67.780608036298375</v>
      </c>
      <c r="F15" s="2">
        <v>0</v>
      </c>
      <c r="G15" s="3"/>
      <c r="H15" s="5">
        <f t="shared" si="1"/>
        <v>0</v>
      </c>
    </row>
    <row r="16" spans="2:10" x14ac:dyDescent="0.2">
      <c r="B16" s="1">
        <v>9</v>
      </c>
      <c r="C16" s="2">
        <v>3732.661106464072</v>
      </c>
      <c r="D16" s="3"/>
      <c r="E16" s="2">
        <f t="shared" si="0"/>
        <v>68.148697478673967</v>
      </c>
      <c r="F16" s="2">
        <v>202.58889353592713</v>
      </c>
      <c r="G16" s="3"/>
      <c r="H16" s="5">
        <f t="shared" si="1"/>
        <v>7.8964730781004171</v>
      </c>
    </row>
    <row r="17" spans="2:8" x14ac:dyDescent="0.2">
      <c r="B17" s="1">
        <v>10</v>
      </c>
      <c r="C17" s="2">
        <v>3726.1300151769574</v>
      </c>
      <c r="D17" s="3"/>
      <c r="E17" s="2">
        <f t="shared" si="0"/>
        <v>68.029456714072978</v>
      </c>
      <c r="F17" s="2">
        <v>431.8699848230408</v>
      </c>
      <c r="G17" s="3"/>
      <c r="H17" s="5">
        <f t="shared" si="1"/>
        <v>16.833349789681357</v>
      </c>
    </row>
    <row r="18" spans="2:8" x14ac:dyDescent="0.2">
      <c r="B18" s="1">
        <v>11</v>
      </c>
      <c r="C18" s="2">
        <v>3719.6338503395305</v>
      </c>
      <c r="D18" s="3"/>
      <c r="E18" s="2">
        <f t="shared" si="0"/>
        <v>67.910853615733629</v>
      </c>
      <c r="F18" s="2">
        <v>661.11614966046773</v>
      </c>
      <c r="G18" s="3"/>
      <c r="H18" s="5">
        <f t="shared" si="1"/>
        <v>25.768865144453184</v>
      </c>
    </row>
    <row r="19" spans="2:8" x14ac:dyDescent="0.2">
      <c r="B19" s="1">
        <v>12</v>
      </c>
      <c r="C19" s="2">
        <v>3713.1724928776325</v>
      </c>
      <c r="D19" s="3"/>
      <c r="E19" s="2">
        <f t="shared" si="0"/>
        <v>67.792886009671051</v>
      </c>
      <c r="F19" s="2">
        <v>890.32750712236566</v>
      </c>
      <c r="G19" s="3"/>
      <c r="H19" s="5">
        <f t="shared" si="1"/>
        <v>34.703023783666787</v>
      </c>
    </row>
    <row r="20" spans="2:8" x14ac:dyDescent="0.2">
      <c r="B20" s="1">
        <v>13</v>
      </c>
      <c r="C20" s="2">
        <v>3706.7458240430556</v>
      </c>
      <c r="D20" s="3"/>
      <c r="E20" s="2">
        <f t="shared" si="0"/>
        <v>67.675551727851371</v>
      </c>
      <c r="F20" s="2">
        <v>1119.5041759569444</v>
      </c>
      <c r="G20" s="3"/>
      <c r="H20" s="5">
        <f t="shared" si="1"/>
        <v>43.635830335868306</v>
      </c>
    </row>
    <row r="21" spans="2:8" x14ac:dyDescent="0.2">
      <c r="B21" s="1">
        <v>14</v>
      </c>
      <c r="C21" s="2">
        <v>3700.3537254127764</v>
      </c>
      <c r="D21" s="3"/>
      <c r="E21" s="2">
        <f t="shared" si="0"/>
        <v>67.558848608177755</v>
      </c>
      <c r="F21" s="2">
        <v>1348.6462745872236</v>
      </c>
      <c r="G21" s="3"/>
      <c r="H21" s="5">
        <f t="shared" si="1"/>
        <v>52.567289416928688</v>
      </c>
    </row>
    <row r="22" spans="2:8" x14ac:dyDescent="0.2">
      <c r="B22" s="1">
        <v>15</v>
      </c>
      <c r="C22" s="2">
        <v>3693.9960788882349</v>
      </c>
      <c r="D22" s="3"/>
      <c r="E22" s="2">
        <f t="shared" si="0"/>
        <v>67.442774494477206</v>
      </c>
      <c r="F22" s="2">
        <v>1206.5039211117642</v>
      </c>
      <c r="G22" s="3"/>
      <c r="H22" s="5">
        <f t="shared" si="1"/>
        <v>47.026890593052649</v>
      </c>
    </row>
    <row r="23" spans="2:8" x14ac:dyDescent="0.2">
      <c r="B23" s="1">
        <v>16</v>
      </c>
      <c r="C23" s="2">
        <v>3693.5553560419389</v>
      </c>
      <c r="D23" s="3"/>
      <c r="E23" s="2">
        <f t="shared" si="0"/>
        <v>67.434728039932452</v>
      </c>
      <c r="F23" s="2">
        <v>1404.9446439580611</v>
      </c>
      <c r="G23" s="3"/>
      <c r="H23" s="5">
        <f t="shared" si="1"/>
        <v>54.761677027811871</v>
      </c>
    </row>
    <row r="24" spans="2:8" x14ac:dyDescent="0.2">
      <c r="B24" s="1">
        <v>17</v>
      </c>
      <c r="C24" s="2">
        <v>3701.1356415151108</v>
      </c>
      <c r="D24" s="3"/>
      <c r="E24" s="2">
        <f t="shared" si="0"/>
        <v>67.573124365443647</v>
      </c>
      <c r="F24" s="2">
        <v>2090.3643584848892</v>
      </c>
      <c r="G24" s="3"/>
      <c r="H24" s="5">
        <f t="shared" si="1"/>
        <v>81.47784210721953</v>
      </c>
    </row>
    <row r="25" spans="2:8" x14ac:dyDescent="0.2">
      <c r="B25" s="1">
        <v>18</v>
      </c>
      <c r="C25" s="2">
        <v>3708.683831383988</v>
      </c>
      <c r="D25" s="3"/>
      <c r="E25" s="2">
        <f t="shared" si="0"/>
        <v>67.710934708577895</v>
      </c>
      <c r="F25" s="2">
        <v>1934.3161686160111</v>
      </c>
      <c r="G25" s="3"/>
      <c r="H25" s="5">
        <f t="shared" si="1"/>
        <v>75.395424119348064</v>
      </c>
    </row>
    <row r="26" spans="2:8" x14ac:dyDescent="0.2">
      <c r="B26" s="1">
        <v>19</v>
      </c>
      <c r="C26" s="2">
        <v>3716.199853076329</v>
      </c>
      <c r="D26" s="3"/>
      <c r="E26" s="2">
        <f t="shared" si="0"/>
        <v>67.848157744354566</v>
      </c>
      <c r="F26" s="2">
        <v>2223.8001469236701</v>
      </c>
      <c r="G26" s="3"/>
      <c r="H26" s="5">
        <f t="shared" si="1"/>
        <v>86.678878021239555</v>
      </c>
    </row>
    <row r="27" spans="2:8" x14ac:dyDescent="0.2">
      <c r="B27" s="1">
        <v>20</v>
      </c>
      <c r="C27" s="2">
        <v>3723.6834598947626</v>
      </c>
      <c r="D27" s="3"/>
      <c r="E27" s="2">
        <f t="shared" si="0"/>
        <v>67.984788968720366</v>
      </c>
      <c r="F27" s="2">
        <v>1919.3165401052365</v>
      </c>
      <c r="G27" s="3"/>
      <c r="H27" s="5">
        <f t="shared" si="1"/>
        <v>74.810771324964577</v>
      </c>
    </row>
    <row r="28" spans="2:8" x14ac:dyDescent="0.2">
      <c r="B28" s="1">
        <v>21</v>
      </c>
      <c r="C28" s="2">
        <v>3731.1350065319725</v>
      </c>
      <c r="D28" s="3"/>
      <c r="E28" s="2">
        <f t="shared" si="0"/>
        <v>68.120834857442489</v>
      </c>
      <c r="F28" s="2">
        <v>2357.3649934680266</v>
      </c>
      <c r="G28" s="3"/>
      <c r="H28" s="5">
        <f t="shared" si="1"/>
        <v>91.884944338646463</v>
      </c>
    </row>
    <row r="29" spans="2:8" x14ac:dyDescent="0.2">
      <c r="B29" s="1">
        <v>22</v>
      </c>
      <c r="C29" s="2">
        <v>3738.554246905122</v>
      </c>
      <c r="D29" s="3"/>
      <c r="E29" s="2">
        <f t="shared" si="0"/>
        <v>68.25629091768748</v>
      </c>
      <c r="F29" s="2">
        <v>1607.445753094878</v>
      </c>
      <c r="G29" s="3"/>
      <c r="H29" s="5">
        <f t="shared" si="1"/>
        <v>62.65472846155582</v>
      </c>
    </row>
    <row r="30" spans="2:8" x14ac:dyDescent="0.2">
      <c r="B30" s="1">
        <v>23</v>
      </c>
      <c r="C30" s="2">
        <v>3737.9181410119668</v>
      </c>
      <c r="D30" s="3"/>
      <c r="E30" s="2">
        <f t="shared" si="0"/>
        <v>68.244677276148479</v>
      </c>
      <c r="F30" s="2">
        <v>865.5818589880314</v>
      </c>
      <c r="G30" s="3"/>
      <c r="H30" s="5">
        <f t="shared" si="1"/>
        <v>33.738492407427927</v>
      </c>
    </row>
    <row r="31" spans="2:8" x14ac:dyDescent="0.2">
      <c r="B31" s="1">
        <v>24</v>
      </c>
      <c r="C31" s="2">
        <v>3731.4336777361214</v>
      </c>
      <c r="D31" s="3"/>
      <c r="E31" s="2">
        <f t="shared" si="0"/>
        <v>68.126287817932763</v>
      </c>
      <c r="F31" s="2">
        <v>129.56632226387774</v>
      </c>
      <c r="G31" s="3"/>
      <c r="H31" s="5">
        <f t="shared" si="1"/>
        <v>5.0502125646081071</v>
      </c>
    </row>
    <row r="32" spans="2:8" x14ac:dyDescent="0.2">
      <c r="B32" s="1">
        <v>25</v>
      </c>
      <c r="C32" s="2">
        <v>2524.5</v>
      </c>
      <c r="D32" s="3"/>
      <c r="E32" s="2">
        <f t="shared" si="0"/>
        <v>46.090813464682903</v>
      </c>
      <c r="F32" s="2">
        <v>0</v>
      </c>
      <c r="G32" s="3"/>
      <c r="H32" s="5">
        <f t="shared" si="1"/>
        <v>0</v>
      </c>
    </row>
    <row r="33" spans="2:8" x14ac:dyDescent="0.2">
      <c r="B33" s="1">
        <v>26</v>
      </c>
      <c r="C33" s="2">
        <v>2376</v>
      </c>
      <c r="D33" s="3"/>
      <c r="E33" s="2">
        <f t="shared" si="0"/>
        <v>43.379589143230966</v>
      </c>
      <c r="F33" s="2">
        <v>0</v>
      </c>
      <c r="G33" s="3"/>
      <c r="H33" s="5">
        <f t="shared" si="1"/>
        <v>0</v>
      </c>
    </row>
    <row r="34" spans="2:8" x14ac:dyDescent="0.2">
      <c r="B34" s="1">
        <v>27</v>
      </c>
      <c r="C34" s="2">
        <v>2554.1999999999998</v>
      </c>
      <c r="D34" s="3"/>
      <c r="E34" s="2">
        <f t="shared" si="0"/>
        <v>46.633058328973291</v>
      </c>
      <c r="F34" s="2">
        <v>0</v>
      </c>
      <c r="G34" s="3"/>
      <c r="H34" s="5">
        <f t="shared" si="1"/>
        <v>0</v>
      </c>
    </row>
    <row r="35" spans="2:8" x14ac:dyDescent="0.2">
      <c r="B35" s="1">
        <v>28</v>
      </c>
      <c r="C35" s="2">
        <v>2673</v>
      </c>
      <c r="D35" s="3"/>
      <c r="E35" s="2">
        <f t="shared" si="0"/>
        <v>48.802037786134839</v>
      </c>
      <c r="F35" s="2">
        <v>0</v>
      </c>
      <c r="G35" s="3"/>
      <c r="H35" s="5">
        <f t="shared" si="1"/>
        <v>0</v>
      </c>
    </row>
    <row r="36" spans="2:8" x14ac:dyDescent="0.2">
      <c r="B36" s="1">
        <v>29</v>
      </c>
      <c r="C36" s="2">
        <v>2948.7857142857142</v>
      </c>
      <c r="D36" s="3"/>
      <c r="E36" s="2">
        <f t="shared" si="0"/>
        <v>53.837168668831289</v>
      </c>
      <c r="F36" s="2">
        <v>0</v>
      </c>
      <c r="G36" s="3"/>
      <c r="H36" s="5">
        <f t="shared" si="1"/>
        <v>0</v>
      </c>
    </row>
    <row r="37" spans="2:8" x14ac:dyDescent="0.2">
      <c r="B37" s="1">
        <v>30</v>
      </c>
      <c r="C37" s="2">
        <v>3139.7142857142858</v>
      </c>
      <c r="D37" s="3"/>
      <c r="E37" s="2">
        <f t="shared" si="0"/>
        <v>57.323028510698066</v>
      </c>
      <c r="F37" s="2">
        <v>0</v>
      </c>
      <c r="G37" s="3"/>
      <c r="H37" s="5">
        <f t="shared" si="1"/>
        <v>0</v>
      </c>
    </row>
    <row r="38" spans="2:8" x14ac:dyDescent="0.2">
      <c r="B38" s="1">
        <v>31</v>
      </c>
      <c r="C38" s="2">
        <v>3330.6428571428564</v>
      </c>
      <c r="D38" s="3"/>
      <c r="E38" s="2">
        <f t="shared" si="0"/>
        <v>60.808888352564828</v>
      </c>
      <c r="F38" s="2">
        <v>0</v>
      </c>
      <c r="G38" s="3"/>
      <c r="H38" s="5">
        <f t="shared" si="1"/>
        <v>0</v>
      </c>
    </row>
    <row r="39" spans="2:8" x14ac:dyDescent="0.2">
      <c r="B39" s="1">
        <v>32</v>
      </c>
      <c r="C39" s="2">
        <v>3521.5714285714284</v>
      </c>
      <c r="D39" s="3"/>
      <c r="E39" s="2">
        <f t="shared" si="0"/>
        <v>64.294748194431619</v>
      </c>
      <c r="F39" s="2">
        <v>0</v>
      </c>
      <c r="G39" s="3"/>
      <c r="H39" s="5">
        <f t="shared" si="1"/>
        <v>0</v>
      </c>
    </row>
    <row r="40" spans="2:8" x14ac:dyDescent="0.2">
      <c r="B40" s="1">
        <v>33</v>
      </c>
      <c r="C40" s="2">
        <v>3712.4999999999995</v>
      </c>
      <c r="D40" s="3"/>
      <c r="E40" s="2">
        <f t="shared" si="0"/>
        <v>67.780608036298375</v>
      </c>
      <c r="F40" s="2">
        <v>0</v>
      </c>
      <c r="G40" s="3"/>
      <c r="H40" s="5">
        <f t="shared" si="1"/>
        <v>0</v>
      </c>
    </row>
    <row r="41" spans="2:8" x14ac:dyDescent="0.2">
      <c r="B41" s="1">
        <v>34</v>
      </c>
      <c r="C41" s="2">
        <v>3708.257210025251</v>
      </c>
      <c r="D41" s="3"/>
      <c r="E41" s="2">
        <f t="shared" si="0"/>
        <v>67.703145710572116</v>
      </c>
      <c r="F41" s="2">
        <v>195.17136140332059</v>
      </c>
      <c r="G41" s="3"/>
      <c r="H41" s="5">
        <f t="shared" si="1"/>
        <v>7.6073538585382394</v>
      </c>
    </row>
    <row r="42" spans="2:8" x14ac:dyDescent="0.2">
      <c r="B42" s="1">
        <v>35</v>
      </c>
      <c r="C42" s="2">
        <v>3701.9642499536608</v>
      </c>
      <c r="D42" s="3"/>
      <c r="E42" s="2">
        <f t="shared" si="0"/>
        <v>67.58825260350126</v>
      </c>
      <c r="F42" s="2">
        <v>392.39289290348142</v>
      </c>
      <c r="G42" s="3"/>
      <c r="H42" s="5">
        <f t="shared" si="1"/>
        <v>15.294618874557354</v>
      </c>
    </row>
    <row r="43" spans="2:8" x14ac:dyDescent="0.2">
      <c r="B43" s="1">
        <v>36</v>
      </c>
      <c r="C43" s="2">
        <v>3695.7052772713005</v>
      </c>
      <c r="D43" s="3"/>
      <c r="E43" s="2">
        <f t="shared" si="0"/>
        <v>67.473980017887001</v>
      </c>
      <c r="F43" s="2">
        <v>589.58043701441329</v>
      </c>
      <c r="G43" s="3"/>
      <c r="H43" s="5">
        <f t="shared" si="1"/>
        <v>22.980559136295238</v>
      </c>
    </row>
    <row r="44" spans="2:8" x14ac:dyDescent="0.2">
      <c r="B44" s="1">
        <v>37</v>
      </c>
      <c r="C44" s="2">
        <v>3689.4801757103178</v>
      </c>
      <c r="D44" s="3"/>
      <c r="E44" s="2">
        <f t="shared" si="0"/>
        <v>67.360325830980301</v>
      </c>
      <c r="F44" s="2">
        <v>786.73411000396663</v>
      </c>
      <c r="G44" s="3"/>
      <c r="H44" s="5">
        <f t="shared" si="1"/>
        <v>30.665179175619038</v>
      </c>
    </row>
    <row r="45" spans="2:8" x14ac:dyDescent="0.2">
      <c r="B45" s="1">
        <v>38</v>
      </c>
      <c r="C45" s="2">
        <v>3682.9360256402456</v>
      </c>
      <c r="D45" s="3"/>
      <c r="E45" s="2">
        <f t="shared" si="0"/>
        <v>67.240846646918271</v>
      </c>
      <c r="F45" s="2">
        <v>984.20683150261129</v>
      </c>
      <c r="G45" s="3"/>
      <c r="H45" s="5">
        <f t="shared" si="1"/>
        <v>38.362235029753194</v>
      </c>
    </row>
    <row r="46" spans="2:8" x14ac:dyDescent="0.2">
      <c r="B46" s="1">
        <v>39</v>
      </c>
      <c r="C46" s="2">
        <v>3675.8974787539855</v>
      </c>
      <c r="D46" s="3"/>
      <c r="E46" s="2">
        <f t="shared" si="0"/>
        <v>67.11234106102124</v>
      </c>
      <c r="F46" s="2">
        <v>1182.1739498174429</v>
      </c>
      <c r="G46" s="3"/>
      <c r="H46" s="5">
        <f t="shared" si="1"/>
        <v>46.078561393147652</v>
      </c>
    </row>
    <row r="47" spans="2:8" x14ac:dyDescent="0.2">
      <c r="B47" s="1">
        <v>40</v>
      </c>
      <c r="C47" s="2">
        <v>3674.7605095569952</v>
      </c>
      <c r="D47" s="3"/>
      <c r="E47" s="2">
        <f t="shared" si="0"/>
        <v>67.091582956377323</v>
      </c>
      <c r="F47" s="2">
        <v>1374.2394904430048</v>
      </c>
      <c r="G47" s="3"/>
      <c r="H47" s="5">
        <f t="shared" si="1"/>
        <v>53.5648571337954</v>
      </c>
    </row>
    <row r="48" spans="2:8" x14ac:dyDescent="0.2">
      <c r="B48" s="1">
        <v>41</v>
      </c>
      <c r="C48" s="2">
        <v>3681.6431139835645</v>
      </c>
      <c r="D48" s="3"/>
      <c r="E48" s="2">
        <f t="shared" si="0"/>
        <v>67.217241437968227</v>
      </c>
      <c r="F48" s="2">
        <v>1218.8568860164346</v>
      </c>
      <c r="G48" s="3"/>
      <c r="H48" s="5">
        <f t="shared" si="1"/>
        <v>47.508382214345055</v>
      </c>
    </row>
    <row r="49" spans="2:8" x14ac:dyDescent="0.2">
      <c r="B49" s="1">
        <v>42</v>
      </c>
      <c r="C49" s="2">
        <v>3688.4966306191027</v>
      </c>
      <c r="D49" s="3"/>
      <c r="E49" s="2">
        <f t="shared" si="0"/>
        <v>67.342368852040593</v>
      </c>
      <c r="F49" s="2">
        <v>1509.0033693808973</v>
      </c>
      <c r="G49" s="3"/>
      <c r="H49" s="5">
        <f t="shared" si="1"/>
        <v>58.81765911795123</v>
      </c>
    </row>
    <row r="50" spans="2:8" x14ac:dyDescent="0.2">
      <c r="B50" s="1">
        <v>43</v>
      </c>
      <c r="C50" s="2">
        <v>3695.3204984701524</v>
      </c>
      <c r="D50" s="3"/>
      <c r="E50" s="2">
        <f t="shared" si="0"/>
        <v>67.466954956310886</v>
      </c>
      <c r="F50" s="2">
        <v>1799.1795015298476</v>
      </c>
      <c r="G50" s="3"/>
      <c r="H50" s="5">
        <f t="shared" si="1"/>
        <v>70.128091666491429</v>
      </c>
    </row>
    <row r="51" spans="2:8" x14ac:dyDescent="0.2">
      <c r="B51" s="1">
        <v>44</v>
      </c>
      <c r="C51" s="2">
        <v>3702.11401085228</v>
      </c>
      <c r="D51" s="3"/>
      <c r="E51" s="2">
        <f t="shared" si="0"/>
        <v>67.590986848556739</v>
      </c>
      <c r="F51" s="2">
        <v>1940.8859891477191</v>
      </c>
      <c r="G51" s="3"/>
      <c r="H51" s="5">
        <f t="shared" si="1"/>
        <v>75.651501390175284</v>
      </c>
    </row>
    <row r="52" spans="2:8" x14ac:dyDescent="0.2">
      <c r="B52" s="1">
        <v>45</v>
      </c>
      <c r="C52" s="2">
        <v>3708.8766154646305</v>
      </c>
      <c r="D52" s="3"/>
      <c r="E52" s="2">
        <f t="shared" si="0"/>
        <v>67.714454445198953</v>
      </c>
      <c r="F52" s="2">
        <v>2379.6233845353686</v>
      </c>
      <c r="G52" s="3"/>
      <c r="H52" s="5">
        <f t="shared" si="1"/>
        <v>92.752527860908643</v>
      </c>
    </row>
    <row r="53" spans="2:8" x14ac:dyDescent="0.2">
      <c r="B53" s="1">
        <v>46</v>
      </c>
      <c r="C53" s="2">
        <v>3715.6078396013249</v>
      </c>
      <c r="D53" s="3"/>
      <c r="E53" s="2">
        <f t="shared" si="0"/>
        <v>67.837349115855858</v>
      </c>
      <c r="F53" s="2">
        <v>1630.3921603986751</v>
      </c>
      <c r="G53" s="3"/>
      <c r="H53" s="5">
        <f t="shared" si="1"/>
        <v>63.549129355657286</v>
      </c>
    </row>
    <row r="54" spans="2:8" x14ac:dyDescent="0.2">
      <c r="B54" s="1">
        <v>47</v>
      </c>
      <c r="C54" s="2">
        <v>3714.286624752865</v>
      </c>
      <c r="D54" s="3"/>
      <c r="E54" s="2">
        <f t="shared" si="0"/>
        <v>67.813227164131902</v>
      </c>
      <c r="F54" s="2">
        <v>889.21337524713317</v>
      </c>
      <c r="G54" s="3"/>
      <c r="H54" s="5">
        <f t="shared" si="1"/>
        <v>34.659597353892309</v>
      </c>
    </row>
    <row r="55" spans="2:8" x14ac:dyDescent="0.2">
      <c r="B55" s="1">
        <v>48</v>
      </c>
      <c r="C55" s="2">
        <v>3707.1295380559018</v>
      </c>
      <c r="D55" s="3"/>
      <c r="E55" s="2">
        <f t="shared" si="0"/>
        <v>67.682557349158515</v>
      </c>
      <c r="F55" s="2">
        <v>153.87046194409731</v>
      </c>
      <c r="G55" s="3"/>
      <c r="H55" s="5">
        <f t="shared" si="1"/>
        <v>5.9975349045527269</v>
      </c>
    </row>
    <row r="56" spans="2:8" x14ac:dyDescent="0.2">
      <c r="B56" s="1">
        <v>49</v>
      </c>
      <c r="C56" s="2">
        <v>2524.5</v>
      </c>
      <c r="D56" s="3"/>
      <c r="E56" s="2">
        <f t="shared" si="0"/>
        <v>46.090813464682903</v>
      </c>
      <c r="F56" s="2">
        <v>0</v>
      </c>
      <c r="G56" s="3"/>
      <c r="H56" s="5">
        <f t="shared" si="1"/>
        <v>0</v>
      </c>
    </row>
    <row r="57" spans="2:8" x14ac:dyDescent="0.2">
      <c r="B57" s="1">
        <v>50</v>
      </c>
      <c r="C57" s="2">
        <v>2376</v>
      </c>
      <c r="D57" s="3"/>
      <c r="E57" s="2">
        <f t="shared" si="0"/>
        <v>43.379589143230966</v>
      </c>
      <c r="F57" s="2">
        <v>0</v>
      </c>
      <c r="G57" s="3"/>
      <c r="H57" s="5">
        <f t="shared" si="1"/>
        <v>0</v>
      </c>
    </row>
    <row r="58" spans="2:8" x14ac:dyDescent="0.2">
      <c r="B58" s="1">
        <v>51</v>
      </c>
      <c r="C58" s="2">
        <v>2524.5</v>
      </c>
      <c r="D58" s="3"/>
      <c r="E58" s="2">
        <f t="shared" si="0"/>
        <v>46.090813464682903</v>
      </c>
      <c r="F58" s="2">
        <v>0</v>
      </c>
      <c r="G58" s="3"/>
      <c r="H58" s="5">
        <f t="shared" si="1"/>
        <v>0</v>
      </c>
    </row>
    <row r="59" spans="2:8" x14ac:dyDescent="0.2">
      <c r="B59" s="1">
        <v>52</v>
      </c>
      <c r="C59" s="2">
        <v>2673</v>
      </c>
      <c r="D59" s="3"/>
      <c r="E59" s="2">
        <f t="shared" si="0"/>
        <v>48.802037786134839</v>
      </c>
      <c r="F59" s="2">
        <v>0</v>
      </c>
      <c r="G59" s="3"/>
      <c r="H59" s="5">
        <f t="shared" si="1"/>
        <v>0</v>
      </c>
    </row>
    <row r="60" spans="2:8" x14ac:dyDescent="0.2">
      <c r="B60" s="1">
        <v>53</v>
      </c>
      <c r="C60" s="2">
        <v>2992.8461538461534</v>
      </c>
      <c r="D60" s="3"/>
      <c r="E60" s="2">
        <f t="shared" si="0"/>
        <v>54.641597863108231</v>
      </c>
      <c r="F60" s="2">
        <v>0</v>
      </c>
      <c r="G60" s="3"/>
      <c r="H60" s="5">
        <f t="shared" si="1"/>
        <v>0</v>
      </c>
    </row>
    <row r="61" spans="2:8" x14ac:dyDescent="0.2">
      <c r="B61" s="1">
        <v>54</v>
      </c>
      <c r="C61" s="2">
        <v>3198.4615384615386</v>
      </c>
      <c r="D61" s="3"/>
      <c r="E61" s="2">
        <f t="shared" si="0"/>
        <v>58.395600769734003</v>
      </c>
      <c r="F61" s="2">
        <v>0</v>
      </c>
      <c r="G61" s="3"/>
      <c r="H61" s="5">
        <f t="shared" si="1"/>
        <v>0</v>
      </c>
    </row>
    <row r="62" spans="2:8" x14ac:dyDescent="0.2">
      <c r="B62" s="1">
        <v>55</v>
      </c>
      <c r="C62" s="2">
        <v>3404.0769230769229</v>
      </c>
      <c r="D62" s="3"/>
      <c r="E62" s="2">
        <f t="shared" si="0"/>
        <v>62.149603676359753</v>
      </c>
      <c r="F62" s="2">
        <v>0</v>
      </c>
      <c r="G62" s="3"/>
      <c r="H62" s="5">
        <f t="shared" si="1"/>
        <v>0</v>
      </c>
    </row>
    <row r="63" spans="2:8" x14ac:dyDescent="0.2">
      <c r="B63" s="1">
        <v>56</v>
      </c>
      <c r="C63" s="2">
        <v>3609.6923076923063</v>
      </c>
      <c r="D63" s="3"/>
      <c r="E63" s="2">
        <f t="shared" si="0"/>
        <v>65.903606582985489</v>
      </c>
      <c r="F63" s="2">
        <v>0</v>
      </c>
      <c r="G63" s="3"/>
      <c r="H63" s="5">
        <f t="shared" si="1"/>
        <v>0</v>
      </c>
    </row>
    <row r="64" spans="2:8" x14ac:dyDescent="0.2">
      <c r="B64" s="1">
        <v>57</v>
      </c>
      <c r="C64" s="2">
        <v>3683.1396361592797</v>
      </c>
      <c r="D64" s="3"/>
      <c r="E64" s="2">
        <f t="shared" si="0"/>
        <v>67.244564046186341</v>
      </c>
      <c r="F64" s="2">
        <v>132.16805614841178</v>
      </c>
      <c r="G64" s="3"/>
      <c r="H64" s="5">
        <f t="shared" si="1"/>
        <v>5.1516224751763842</v>
      </c>
    </row>
    <row r="65" spans="2:8" x14ac:dyDescent="0.2">
      <c r="B65" s="1">
        <v>58</v>
      </c>
      <c r="C65" s="2">
        <v>3676.153744205214</v>
      </c>
      <c r="D65" s="3"/>
      <c r="E65" s="2">
        <f t="shared" si="0"/>
        <v>67.11701980259781</v>
      </c>
      <c r="F65" s="2">
        <v>344.7693327178622</v>
      </c>
      <c r="G65" s="3"/>
      <c r="H65" s="5">
        <f t="shared" si="1"/>
        <v>13.438356399722586</v>
      </c>
    </row>
    <row r="66" spans="2:8" x14ac:dyDescent="0.2">
      <c r="B66" s="1">
        <v>59</v>
      </c>
      <c r="C66" s="2">
        <v>3669.2028020050552</v>
      </c>
      <c r="D66" s="3"/>
      <c r="E66" s="2">
        <f t="shared" si="0"/>
        <v>66.990113650745428</v>
      </c>
      <c r="F66" s="2">
        <v>557.33565953340576</v>
      </c>
      <c r="G66" s="3"/>
      <c r="H66" s="5">
        <f t="shared" si="1"/>
        <v>21.723728059112023</v>
      </c>
    </row>
    <row r="67" spans="2:8" x14ac:dyDescent="0.2">
      <c r="B67" s="1">
        <v>60</v>
      </c>
      <c r="C67" s="2">
        <v>3662.2866932522206</v>
      </c>
      <c r="D67" s="3"/>
      <c r="E67" s="2">
        <f t="shared" si="0"/>
        <v>66.863843467173098</v>
      </c>
      <c r="F67" s="2">
        <v>769.8671529016251</v>
      </c>
      <c r="G67" s="3"/>
      <c r="H67" s="5">
        <f t="shared" si="1"/>
        <v>30.007741986721538</v>
      </c>
    </row>
    <row r="68" spans="2:8" x14ac:dyDescent="0.2">
      <c r="B68" s="1">
        <v>61</v>
      </c>
      <c r="C68" s="2">
        <v>3655.4053019532212</v>
      </c>
      <c r="D68" s="3"/>
      <c r="E68" s="2">
        <f t="shared" si="0"/>
        <v>66.738207134140936</v>
      </c>
      <c r="F68" s="2">
        <v>982.36392881600841</v>
      </c>
      <c r="G68" s="3"/>
      <c r="H68" s="5">
        <f t="shared" si="1"/>
        <v>38.290402703724233</v>
      </c>
    </row>
    <row r="69" spans="2:8" x14ac:dyDescent="0.2">
      <c r="B69" s="1">
        <v>62</v>
      </c>
      <c r="C69" s="2">
        <v>3648.5585124269451</v>
      </c>
      <c r="D69" s="3"/>
      <c r="E69" s="2">
        <f t="shared" si="0"/>
        <v>66.613202539612303</v>
      </c>
      <c r="F69" s="2">
        <v>1194.8261029576702</v>
      </c>
      <c r="G69" s="3"/>
      <c r="H69" s="5">
        <f t="shared" si="1"/>
        <v>46.571714719117573</v>
      </c>
    </row>
    <row r="70" spans="2:8" x14ac:dyDescent="0.2">
      <c r="B70" s="1">
        <v>63</v>
      </c>
      <c r="C70" s="2">
        <v>3641.7462093039635</v>
      </c>
      <c r="D70" s="3"/>
      <c r="E70" s="2">
        <f t="shared" si="0"/>
        <v>66.488827577241054</v>
      </c>
      <c r="F70" s="2">
        <v>1407.2537906960365</v>
      </c>
      <c r="G70" s="3"/>
      <c r="H70" s="5">
        <f t="shared" si="1"/>
        <v>54.851682529750072</v>
      </c>
    </row>
    <row r="71" spans="2:8" x14ac:dyDescent="0.2">
      <c r="B71" s="1">
        <v>64</v>
      </c>
      <c r="C71" s="2">
        <v>3640.8210571307786</v>
      </c>
      <c r="D71" s="3"/>
      <c r="E71" s="2">
        <f t="shared" si="0"/>
        <v>66.471936701328715</v>
      </c>
      <c r="F71" s="2">
        <v>1259.6789428692205</v>
      </c>
      <c r="G71" s="3"/>
      <c r="H71" s="5">
        <f t="shared" si="1"/>
        <v>49.099536928231394</v>
      </c>
    </row>
    <row r="72" spans="2:8" x14ac:dyDescent="0.2">
      <c r="B72" s="1">
        <v>65</v>
      </c>
      <c r="C72" s="2">
        <v>3647.9123298721029</v>
      </c>
      <c r="D72" s="3"/>
      <c r="E72" s="2">
        <f t="shared" si="0"/>
        <v>66.601404924401621</v>
      </c>
      <c r="F72" s="2">
        <v>1519.8876701278973</v>
      </c>
      <c r="G72" s="3"/>
      <c r="H72" s="5">
        <f t="shared" si="1"/>
        <v>59.241905414589361</v>
      </c>
    </row>
    <row r="73" spans="2:8" x14ac:dyDescent="0.2">
      <c r="B73" s="1">
        <v>66</v>
      </c>
      <c r="C73" s="2">
        <v>3654.9731850360067</v>
      </c>
      <c r="D73" s="3"/>
      <c r="E73" s="2">
        <f t="shared" ref="E73:E136" si="2">C73*$D$5</f>
        <v>66.730317801510211</v>
      </c>
      <c r="F73" s="2">
        <v>1780.1268149639936</v>
      </c>
      <c r="G73" s="3"/>
      <c r="H73" s="5">
        <f t="shared" ref="H73:H136" si="3">$G$5*F73</f>
        <v>69.385459511752543</v>
      </c>
    </row>
    <row r="74" spans="2:8" x14ac:dyDescent="0.2">
      <c r="B74" s="1">
        <v>67</v>
      </c>
      <c r="C74" s="2">
        <v>3662.0028147799981</v>
      </c>
      <c r="D74" s="3"/>
      <c r="E74" s="2">
        <f t="shared" si="2"/>
        <v>66.858660583548669</v>
      </c>
      <c r="F74" s="2">
        <v>2277.997185220001</v>
      </c>
      <c r="G74" s="3"/>
      <c r="H74" s="5">
        <f t="shared" si="3"/>
        <v>88.791360331351285</v>
      </c>
    </row>
    <row r="75" spans="2:8" x14ac:dyDescent="0.2">
      <c r="B75" s="1">
        <v>68</v>
      </c>
      <c r="C75" s="2">
        <v>3669.000192148957</v>
      </c>
      <c r="D75" s="3"/>
      <c r="E75" s="2">
        <f t="shared" si="2"/>
        <v>66.986414520983686</v>
      </c>
      <c r="F75" s="2">
        <v>2270.9998078510421</v>
      </c>
      <c r="G75" s="3"/>
      <c r="H75" s="5">
        <f t="shared" si="3"/>
        <v>88.518617827816684</v>
      </c>
    </row>
    <row r="76" spans="2:8" x14ac:dyDescent="0.2">
      <c r="B76" s="1">
        <v>69</v>
      </c>
      <c r="C76" s="2">
        <v>3675.9650911822901</v>
      </c>
      <c r="D76" s="3"/>
      <c r="E76" s="2">
        <f t="shared" si="2"/>
        <v>67.113575488361661</v>
      </c>
      <c r="F76" s="2">
        <v>2561.0349088177099</v>
      </c>
      <c r="G76" s="3"/>
      <c r="H76" s="5">
        <f t="shared" si="3"/>
        <v>99.82355328856184</v>
      </c>
    </row>
    <row r="77" spans="2:8" x14ac:dyDescent="0.2">
      <c r="B77" s="1">
        <v>70</v>
      </c>
      <c r="C77" s="2">
        <v>3682.8976126204384</v>
      </c>
      <c r="D77" s="3"/>
      <c r="E77" s="2">
        <f t="shared" si="2"/>
        <v>67.240145324941423</v>
      </c>
      <c r="F77" s="2">
        <v>1781.9023873795618</v>
      </c>
      <c r="G77" s="3"/>
      <c r="H77" s="5">
        <f t="shared" si="3"/>
        <v>69.454667450712265</v>
      </c>
    </row>
    <row r="78" spans="2:8" x14ac:dyDescent="0.2">
      <c r="B78" s="1">
        <v>71</v>
      </c>
      <c r="C78" s="2">
        <v>3681.7798339898204</v>
      </c>
      <c r="D78" s="3"/>
      <c r="E78" s="2">
        <f t="shared" si="2"/>
        <v>67.219737590198463</v>
      </c>
      <c r="F78" s="2">
        <v>1010.8201660101799</v>
      </c>
      <c r="G78" s="3"/>
      <c r="H78" s="5">
        <f t="shared" si="3"/>
        <v>39.399564746054885</v>
      </c>
    </row>
    <row r="79" spans="2:8" x14ac:dyDescent="0.2">
      <c r="B79" s="1">
        <v>72</v>
      </c>
      <c r="C79" s="2">
        <v>3674.8423095894232</v>
      </c>
      <c r="D79" s="3"/>
      <c r="E79" s="2">
        <f t="shared" si="2"/>
        <v>67.093076412521526</v>
      </c>
      <c r="F79" s="2">
        <v>245.55769041057647</v>
      </c>
      <c r="G79" s="3"/>
      <c r="H79" s="5">
        <f t="shared" si="3"/>
        <v>9.5713030344566477</v>
      </c>
    </row>
    <row r="80" spans="2:8" x14ac:dyDescent="0.2">
      <c r="B80" s="1">
        <v>73</v>
      </c>
      <c r="C80" s="2">
        <v>2524.5</v>
      </c>
      <c r="D80" s="3"/>
      <c r="E80" s="2">
        <f t="shared" si="2"/>
        <v>46.090813464682903</v>
      </c>
      <c r="F80" s="2">
        <v>0</v>
      </c>
      <c r="G80" s="3"/>
      <c r="H80" s="5">
        <f t="shared" si="3"/>
        <v>0</v>
      </c>
    </row>
    <row r="81" spans="2:8" x14ac:dyDescent="0.2">
      <c r="B81" s="1">
        <v>74</v>
      </c>
      <c r="C81" s="2">
        <v>2376</v>
      </c>
      <c r="D81" s="3"/>
      <c r="E81" s="2">
        <f t="shared" si="2"/>
        <v>43.379589143230966</v>
      </c>
      <c r="F81" s="2">
        <v>0</v>
      </c>
      <c r="G81" s="3"/>
      <c r="H81" s="5">
        <f t="shared" si="3"/>
        <v>0</v>
      </c>
    </row>
    <row r="82" spans="2:8" x14ac:dyDescent="0.2">
      <c r="B82" s="1">
        <v>75</v>
      </c>
      <c r="C82" s="2">
        <v>2524.5</v>
      </c>
      <c r="D82" s="3"/>
      <c r="E82" s="2">
        <f t="shared" si="2"/>
        <v>46.090813464682903</v>
      </c>
      <c r="F82" s="2">
        <v>0</v>
      </c>
      <c r="G82" s="3"/>
      <c r="H82" s="5">
        <f t="shared" si="3"/>
        <v>0</v>
      </c>
    </row>
    <row r="83" spans="2:8" x14ac:dyDescent="0.2">
      <c r="B83" s="1">
        <v>76</v>
      </c>
      <c r="C83" s="2">
        <v>2673</v>
      </c>
      <c r="D83" s="3"/>
      <c r="E83" s="2">
        <f t="shared" si="2"/>
        <v>48.802037786134839</v>
      </c>
      <c r="F83" s="2">
        <v>0</v>
      </c>
      <c r="G83" s="3"/>
      <c r="H83" s="5">
        <f t="shared" si="3"/>
        <v>0</v>
      </c>
    </row>
    <row r="84" spans="2:8" x14ac:dyDescent="0.2">
      <c r="B84" s="1">
        <v>77</v>
      </c>
      <c r="C84" s="2">
        <v>2969.9999999999995</v>
      </c>
      <c r="D84" s="3"/>
      <c r="E84" s="2">
        <f t="shared" si="2"/>
        <v>54.224486429038706</v>
      </c>
      <c r="F84" s="2">
        <v>0</v>
      </c>
      <c r="G84" s="3"/>
      <c r="H84" s="5">
        <f t="shared" si="3"/>
        <v>0</v>
      </c>
    </row>
    <row r="85" spans="2:8" x14ac:dyDescent="0.2">
      <c r="B85" s="1">
        <v>78</v>
      </c>
      <c r="C85" s="2">
        <v>3167.9999999999995</v>
      </c>
      <c r="D85" s="3"/>
      <c r="E85" s="2">
        <f t="shared" si="2"/>
        <v>57.839452190974619</v>
      </c>
      <c r="F85" s="2">
        <v>0</v>
      </c>
      <c r="G85" s="3"/>
      <c r="H85" s="5">
        <f t="shared" si="3"/>
        <v>0</v>
      </c>
    </row>
    <row r="86" spans="2:8" x14ac:dyDescent="0.2">
      <c r="B86" s="1">
        <v>79</v>
      </c>
      <c r="C86" s="2">
        <v>3365.9999999999995</v>
      </c>
      <c r="D86" s="3"/>
      <c r="E86" s="2">
        <f t="shared" si="2"/>
        <v>61.454417952910532</v>
      </c>
      <c r="F86" s="2">
        <v>0</v>
      </c>
      <c r="G86" s="3"/>
      <c r="H86" s="5">
        <f t="shared" si="3"/>
        <v>0</v>
      </c>
    </row>
    <row r="87" spans="2:8" x14ac:dyDescent="0.2">
      <c r="B87" s="1">
        <v>80</v>
      </c>
      <c r="C87" s="2">
        <v>3563.9999999999995</v>
      </c>
      <c r="D87" s="3"/>
      <c r="E87" s="2">
        <f t="shared" si="2"/>
        <v>65.069383714846452</v>
      </c>
      <c r="F87" s="2">
        <v>0</v>
      </c>
      <c r="G87" s="3"/>
      <c r="H87" s="5">
        <f t="shared" si="3"/>
        <v>0</v>
      </c>
    </row>
    <row r="88" spans="2:8" x14ac:dyDescent="0.2">
      <c r="B88" s="1">
        <v>81</v>
      </c>
      <c r="C88" s="2">
        <v>3660.4575615750896</v>
      </c>
      <c r="D88" s="3"/>
      <c r="E88" s="2">
        <f t="shared" si="2"/>
        <v>66.830448273299865</v>
      </c>
      <c r="F88" s="2">
        <v>101.54243842490951</v>
      </c>
      <c r="G88" s="3"/>
      <c r="H88" s="5">
        <f t="shared" si="3"/>
        <v>3.9579027127899842</v>
      </c>
    </row>
    <row r="89" spans="2:8" x14ac:dyDescent="0.2">
      <c r="B89" s="1">
        <v>82</v>
      </c>
      <c r="C89" s="2">
        <v>3667.5166016643493</v>
      </c>
      <c r="D89" s="3"/>
      <c r="E89" s="2">
        <f t="shared" si="2"/>
        <v>66.959328011859483</v>
      </c>
      <c r="F89" s="2">
        <v>292.48339833565024</v>
      </c>
      <c r="G89" s="3"/>
      <c r="H89" s="5">
        <f t="shared" si="3"/>
        <v>11.400364750692516</v>
      </c>
    </row>
    <row r="90" spans="2:8" x14ac:dyDescent="0.2">
      <c r="B90" s="1">
        <v>83</v>
      </c>
      <c r="C90" s="2">
        <v>3674.550466381012</v>
      </c>
      <c r="D90" s="3"/>
      <c r="E90" s="2">
        <f t="shared" si="2"/>
        <v>67.087748113500012</v>
      </c>
      <c r="F90" s="2">
        <v>483.44953361898797</v>
      </c>
      <c r="G90" s="3"/>
      <c r="H90" s="5">
        <f t="shared" si="3"/>
        <v>18.843808069693303</v>
      </c>
    </row>
    <row r="91" spans="2:8" x14ac:dyDescent="0.2">
      <c r="B91" s="1">
        <v>84</v>
      </c>
      <c r="C91" s="2">
        <v>3681.5587377575075</v>
      </c>
      <c r="D91" s="3"/>
      <c r="E91" s="2">
        <f t="shared" si="2"/>
        <v>67.215700947219148</v>
      </c>
      <c r="F91" s="2">
        <v>674.44126224249248</v>
      </c>
      <c r="G91" s="3"/>
      <c r="H91" s="5">
        <f t="shared" si="3"/>
        <v>26.288248961256329</v>
      </c>
    </row>
    <row r="92" spans="2:8" x14ac:dyDescent="0.2">
      <c r="B92" s="1">
        <v>85</v>
      </c>
      <c r="C92" s="2">
        <v>3688.8938039329219</v>
      </c>
      <c r="D92" s="3"/>
      <c r="E92" s="2">
        <f t="shared" si="2"/>
        <v>67.349620205227509</v>
      </c>
      <c r="F92" s="2">
        <v>865.10619606707724</v>
      </c>
      <c r="G92" s="3"/>
      <c r="H92" s="5">
        <f t="shared" si="3"/>
        <v>33.719952104531707</v>
      </c>
    </row>
    <row r="93" spans="2:8" x14ac:dyDescent="0.2">
      <c r="B93" s="1">
        <v>86</v>
      </c>
      <c r="C93" s="2">
        <v>3696.730485580405</v>
      </c>
      <c r="D93" s="3"/>
      <c r="E93" s="2">
        <f t="shared" si="2"/>
        <v>67.492697658979239</v>
      </c>
      <c r="F93" s="2">
        <v>1055.269514419595</v>
      </c>
      <c r="G93" s="3"/>
      <c r="H93" s="5">
        <f t="shared" si="3"/>
        <v>41.132103371089656</v>
      </c>
    </row>
    <row r="94" spans="2:8" x14ac:dyDescent="0.2">
      <c r="B94" s="1">
        <v>87</v>
      </c>
      <c r="C94" s="2">
        <v>3704.5388448182921</v>
      </c>
      <c r="D94" s="3"/>
      <c r="E94" s="2">
        <f t="shared" si="2"/>
        <v>67.635258019089633</v>
      </c>
      <c r="F94" s="2">
        <v>898.96115518170791</v>
      </c>
      <c r="G94" s="3"/>
      <c r="H94" s="5">
        <f t="shared" si="3"/>
        <v>35.039544548830548</v>
      </c>
    </row>
    <row r="95" spans="2:8" x14ac:dyDescent="0.2">
      <c r="B95" s="1">
        <v>88</v>
      </c>
      <c r="C95" s="2">
        <v>3712.3191015755324</v>
      </c>
      <c r="D95" s="3"/>
      <c r="E95" s="2">
        <f t="shared" si="2"/>
        <v>67.77730530089012</v>
      </c>
      <c r="F95" s="2">
        <v>1237.6808984244676</v>
      </c>
      <c r="G95" s="3"/>
      <c r="H95" s="5">
        <f t="shared" si="3"/>
        <v>48.242101149314713</v>
      </c>
    </row>
    <row r="96" spans="2:8" x14ac:dyDescent="0.2">
      <c r="B96" s="1">
        <v>89</v>
      </c>
      <c r="C96" s="2">
        <v>3720.0706497209067</v>
      </c>
      <c r="D96" s="3"/>
      <c r="E96" s="2">
        <f t="shared" si="2"/>
        <v>67.918828437998826</v>
      </c>
      <c r="F96" s="2">
        <v>1576.4293502790933</v>
      </c>
      <c r="G96" s="3"/>
      <c r="H96" s="5">
        <f t="shared" si="3"/>
        <v>61.445776748855302</v>
      </c>
    </row>
    <row r="97" spans="2:8" x14ac:dyDescent="0.2">
      <c r="B97" s="1">
        <v>90</v>
      </c>
      <c r="C97" s="2">
        <v>3727.7926374092376</v>
      </c>
      <c r="D97" s="3"/>
      <c r="E97" s="2">
        <f t="shared" si="2"/>
        <v>68.059811877935232</v>
      </c>
      <c r="F97" s="2">
        <v>1915.2073625907615</v>
      </c>
      <c r="G97" s="3"/>
      <c r="H97" s="5">
        <f t="shared" si="3"/>
        <v>74.650604550518807</v>
      </c>
    </row>
    <row r="98" spans="2:8" x14ac:dyDescent="0.2">
      <c r="B98" s="1">
        <v>91</v>
      </c>
      <c r="C98" s="2">
        <v>3735.4845996903418</v>
      </c>
      <c r="D98" s="3"/>
      <c r="E98" s="2">
        <f t="shared" si="2"/>
        <v>68.200247131916512</v>
      </c>
      <c r="F98" s="2">
        <v>1499.1404003096582</v>
      </c>
      <c r="G98" s="3"/>
      <c r="H98" s="5">
        <f t="shared" si="3"/>
        <v>58.433222101776082</v>
      </c>
    </row>
    <row r="99" spans="2:8" x14ac:dyDescent="0.2">
      <c r="B99" s="1">
        <v>92</v>
      </c>
      <c r="C99" s="2">
        <v>3743.1475985891552</v>
      </c>
      <c r="D99" s="3"/>
      <c r="E99" s="2">
        <f t="shared" si="2"/>
        <v>68.340153589759765</v>
      </c>
      <c r="F99" s="2">
        <v>1083.1024014108448</v>
      </c>
      <c r="G99" s="3"/>
      <c r="H99" s="5">
        <f t="shared" si="3"/>
        <v>42.216968582485066</v>
      </c>
    </row>
    <row r="100" spans="2:8" x14ac:dyDescent="0.2">
      <c r="B100" s="1">
        <v>93</v>
      </c>
      <c r="C100" s="2">
        <v>3750.7830701716698</v>
      </c>
      <c r="D100" s="3"/>
      <c r="E100" s="2">
        <f t="shared" si="2"/>
        <v>68.479557470300293</v>
      </c>
      <c r="F100" s="2">
        <v>667.09192982833019</v>
      </c>
      <c r="G100" s="3"/>
      <c r="H100" s="5">
        <f t="shared" si="3"/>
        <v>26.001788017926522</v>
      </c>
    </row>
    <row r="101" spans="2:8" x14ac:dyDescent="0.2">
      <c r="B101" s="1">
        <v>94</v>
      </c>
      <c r="C101" s="2">
        <v>3758.3924417222652</v>
      </c>
      <c r="D101" s="3"/>
      <c r="E101" s="2">
        <f t="shared" si="2"/>
        <v>68.61848483204399</v>
      </c>
      <c r="F101" s="2">
        <v>251.10755827773482</v>
      </c>
      <c r="G101" s="3"/>
      <c r="H101" s="5">
        <f t="shared" si="3"/>
        <v>9.787624775669272</v>
      </c>
    </row>
    <row r="102" spans="2:8" x14ac:dyDescent="0.2">
      <c r="B102" s="1">
        <v>95</v>
      </c>
      <c r="C102" s="2">
        <v>3601.1250000000005</v>
      </c>
      <c r="D102" s="3"/>
      <c r="E102" s="2">
        <f t="shared" si="2"/>
        <v>65.747189795209451</v>
      </c>
      <c r="F102" s="2">
        <v>0</v>
      </c>
      <c r="G102" s="3"/>
      <c r="H102" s="5">
        <f t="shared" si="3"/>
        <v>0</v>
      </c>
    </row>
    <row r="103" spans="2:8" x14ac:dyDescent="0.2">
      <c r="B103" s="1">
        <v>96</v>
      </c>
      <c r="C103" s="2">
        <v>2969.9999999999995</v>
      </c>
      <c r="D103" s="3"/>
      <c r="E103" s="2">
        <f t="shared" si="2"/>
        <v>54.224486429038706</v>
      </c>
      <c r="F103" s="2">
        <v>0</v>
      </c>
      <c r="G103" s="3"/>
      <c r="H103" s="5">
        <f t="shared" si="3"/>
        <v>0</v>
      </c>
    </row>
    <row r="104" spans="2:8" x14ac:dyDescent="0.2">
      <c r="B104" s="1">
        <v>97</v>
      </c>
      <c r="C104" s="2">
        <v>2524.5</v>
      </c>
      <c r="D104" s="3"/>
      <c r="E104" s="2">
        <f t="shared" si="2"/>
        <v>46.090813464682903</v>
      </c>
      <c r="F104" s="2">
        <v>0</v>
      </c>
      <c r="G104" s="3"/>
      <c r="H104" s="5">
        <f t="shared" si="3"/>
        <v>0</v>
      </c>
    </row>
    <row r="105" spans="2:8" x14ac:dyDescent="0.2">
      <c r="B105" s="1">
        <v>98</v>
      </c>
      <c r="C105" s="2">
        <v>2376</v>
      </c>
      <c r="D105" s="3"/>
      <c r="E105" s="2">
        <f t="shared" si="2"/>
        <v>43.379589143230966</v>
      </c>
      <c r="F105" s="2">
        <v>0</v>
      </c>
      <c r="G105" s="3"/>
      <c r="H105" s="5">
        <f t="shared" si="3"/>
        <v>0</v>
      </c>
    </row>
    <row r="106" spans="2:8" x14ac:dyDescent="0.2">
      <c r="B106" s="1">
        <v>99</v>
      </c>
      <c r="C106" s="2">
        <v>2524.5</v>
      </c>
      <c r="D106" s="3"/>
      <c r="E106" s="2">
        <f t="shared" si="2"/>
        <v>46.090813464682903</v>
      </c>
      <c r="F106" s="2">
        <v>0</v>
      </c>
      <c r="G106" s="3"/>
      <c r="H106" s="5">
        <f t="shared" si="3"/>
        <v>0</v>
      </c>
    </row>
    <row r="107" spans="2:8" x14ac:dyDescent="0.2">
      <c r="B107" s="1">
        <v>100</v>
      </c>
      <c r="C107" s="2">
        <v>2673</v>
      </c>
      <c r="D107" s="3"/>
      <c r="E107" s="2">
        <f t="shared" si="2"/>
        <v>48.802037786134839</v>
      </c>
      <c r="F107" s="2">
        <v>0</v>
      </c>
      <c r="G107" s="3"/>
      <c r="H107" s="5">
        <f t="shared" si="3"/>
        <v>0</v>
      </c>
    </row>
    <row r="108" spans="2:8" x14ac:dyDescent="0.2">
      <c r="B108" s="1">
        <v>101</v>
      </c>
      <c r="C108" s="2">
        <v>2943</v>
      </c>
      <c r="D108" s="3"/>
      <c r="E108" s="2">
        <f t="shared" si="2"/>
        <v>53.731536552411086</v>
      </c>
      <c r="F108" s="2">
        <v>0</v>
      </c>
      <c r="G108" s="3"/>
      <c r="H108" s="5">
        <f t="shared" si="3"/>
        <v>0</v>
      </c>
    </row>
    <row r="109" spans="2:8" x14ac:dyDescent="0.2">
      <c r="B109" s="1">
        <v>102</v>
      </c>
      <c r="C109" s="2">
        <v>3131.9999999999995</v>
      </c>
      <c r="D109" s="3"/>
      <c r="E109" s="2">
        <f t="shared" si="2"/>
        <v>57.182185688804452</v>
      </c>
      <c r="F109" s="2">
        <v>0</v>
      </c>
      <c r="G109" s="3"/>
      <c r="H109" s="5">
        <f t="shared" si="3"/>
        <v>0</v>
      </c>
    </row>
    <row r="110" spans="2:8" x14ac:dyDescent="0.2">
      <c r="B110" s="1">
        <v>103</v>
      </c>
      <c r="C110" s="2">
        <v>3321</v>
      </c>
      <c r="D110" s="3"/>
      <c r="E110" s="2">
        <f t="shared" si="2"/>
        <v>60.632834825197833</v>
      </c>
      <c r="F110" s="2">
        <v>0</v>
      </c>
      <c r="G110" s="3"/>
      <c r="H110" s="5">
        <f t="shared" si="3"/>
        <v>0</v>
      </c>
    </row>
    <row r="111" spans="2:8" x14ac:dyDescent="0.2">
      <c r="B111" s="1">
        <v>104</v>
      </c>
      <c r="C111" s="2">
        <v>3510</v>
      </c>
      <c r="D111" s="3"/>
      <c r="E111" s="2">
        <f t="shared" si="2"/>
        <v>64.083483961591199</v>
      </c>
      <c r="F111" s="2">
        <v>0</v>
      </c>
      <c r="G111" s="3"/>
      <c r="H111" s="5">
        <f t="shared" si="3"/>
        <v>0</v>
      </c>
    </row>
    <row r="112" spans="2:8" x14ac:dyDescent="0.2">
      <c r="B112" s="1">
        <v>105</v>
      </c>
      <c r="C112" s="2">
        <v>3699</v>
      </c>
      <c r="D112" s="3"/>
      <c r="E112" s="2">
        <f t="shared" si="2"/>
        <v>67.534133097984579</v>
      </c>
      <c r="F112" s="2">
        <v>0</v>
      </c>
      <c r="G112" s="3"/>
      <c r="H112" s="5">
        <f t="shared" si="3"/>
        <v>0</v>
      </c>
    </row>
    <row r="113" spans="2:8" x14ac:dyDescent="0.2">
      <c r="B113" s="1">
        <v>106</v>
      </c>
      <c r="C113" s="2">
        <v>3754.8469061234605</v>
      </c>
      <c r="D113" s="3"/>
      <c r="E113" s="2">
        <f t="shared" si="2"/>
        <v>68.55375256033993</v>
      </c>
      <c r="F113" s="2">
        <v>133.15309387653906</v>
      </c>
      <c r="G113" s="3"/>
      <c r="H113" s="5">
        <f t="shared" si="3"/>
        <v>5.1900170967437846</v>
      </c>
    </row>
    <row r="114" spans="2:8" x14ac:dyDescent="0.2">
      <c r="B114" s="1">
        <v>107</v>
      </c>
      <c r="C114" s="2">
        <v>3762.5495769201107</v>
      </c>
      <c r="D114" s="3"/>
      <c r="E114" s="2">
        <f t="shared" si="2"/>
        <v>68.694383324003326</v>
      </c>
      <c r="F114" s="2">
        <v>314.45042307988888</v>
      </c>
      <c r="G114" s="3"/>
      <c r="H114" s="5">
        <f t="shared" si="3"/>
        <v>12.256591449359412</v>
      </c>
    </row>
    <row r="115" spans="2:8" x14ac:dyDescent="0.2">
      <c r="B115" s="1">
        <v>108</v>
      </c>
      <c r="C115" s="2">
        <v>3770.2260487678459</v>
      </c>
      <c r="D115" s="3"/>
      <c r="E115" s="2">
        <f t="shared" si="2"/>
        <v>68.834535762902462</v>
      </c>
      <c r="F115" s="2">
        <v>495.7739512321541</v>
      </c>
      <c r="G115" s="3"/>
      <c r="H115" s="5">
        <f t="shared" si="3"/>
        <v>19.324186979845031</v>
      </c>
    </row>
    <row r="116" spans="2:8" x14ac:dyDescent="0.2">
      <c r="B116" s="1">
        <v>109</v>
      </c>
      <c r="C116" s="2">
        <v>3777.8757868203161</v>
      </c>
      <c r="D116" s="3"/>
      <c r="E116" s="2">
        <f t="shared" si="2"/>
        <v>68.974200112132038</v>
      </c>
      <c r="F116" s="2">
        <v>677.12421317968392</v>
      </c>
      <c r="G116" s="3"/>
      <c r="H116" s="5">
        <f t="shared" si="3"/>
        <v>26.392824535344449</v>
      </c>
    </row>
    <row r="117" spans="2:8" x14ac:dyDescent="0.2">
      <c r="B117" s="1">
        <v>110</v>
      </c>
      <c r="C117" s="2">
        <v>3785.4983977696147</v>
      </c>
      <c r="D117" s="3"/>
      <c r="E117" s="2">
        <f t="shared" si="2"/>
        <v>69.1133691909112</v>
      </c>
      <c r="F117" s="2">
        <v>584.64445937324217</v>
      </c>
      <c r="G117" s="3"/>
      <c r="H117" s="5">
        <f t="shared" si="3"/>
        <v>22.788165496755955</v>
      </c>
    </row>
    <row r="118" spans="2:8" x14ac:dyDescent="0.2">
      <c r="B118" s="1">
        <v>111</v>
      </c>
      <c r="C118" s="2">
        <v>3793.0940434697459</v>
      </c>
      <c r="D118" s="3"/>
      <c r="E118" s="2">
        <f t="shared" si="2"/>
        <v>69.252045954273669</v>
      </c>
      <c r="F118" s="2">
        <v>492.19167081596879</v>
      </c>
      <c r="G118" s="3"/>
      <c r="H118" s="5">
        <f t="shared" si="3"/>
        <v>19.18455750474946</v>
      </c>
    </row>
    <row r="119" spans="2:8" x14ac:dyDescent="0.2">
      <c r="B119" s="1">
        <v>112</v>
      </c>
      <c r="C119" s="2">
        <v>3800.3983447254332</v>
      </c>
      <c r="D119" s="3"/>
      <c r="E119" s="2">
        <f t="shared" si="2"/>
        <v>69.385403524749307</v>
      </c>
      <c r="F119" s="2">
        <v>400.0302267031384</v>
      </c>
      <c r="G119" s="3"/>
      <c r="H119" s="5">
        <f t="shared" si="3"/>
        <v>15.592305483555801</v>
      </c>
    </row>
    <row r="120" spans="2:8" x14ac:dyDescent="0.2">
      <c r="B120" s="1">
        <v>113</v>
      </c>
      <c r="C120" s="2">
        <v>3805.2969294587338</v>
      </c>
      <c r="D120" s="3"/>
      <c r="E120" s="2">
        <f t="shared" si="2"/>
        <v>69.474838959561552</v>
      </c>
      <c r="F120" s="2">
        <v>310.27449911269468</v>
      </c>
      <c r="G120" s="3"/>
      <c r="H120" s="5">
        <f t="shared" si="3"/>
        <v>12.093823043808614</v>
      </c>
    </row>
    <row r="121" spans="2:8" x14ac:dyDescent="0.2">
      <c r="B121" s="1">
        <v>114</v>
      </c>
      <c r="C121" s="2">
        <v>3810.1744381586327</v>
      </c>
      <c r="D121" s="3"/>
      <c r="E121" s="2">
        <f t="shared" si="2"/>
        <v>69.563889600741746</v>
      </c>
      <c r="F121" s="2">
        <v>220.53984755565307</v>
      </c>
      <c r="G121" s="3"/>
      <c r="H121" s="5">
        <f t="shared" si="3"/>
        <v>8.5961621018614682</v>
      </c>
    </row>
    <row r="122" spans="2:8" x14ac:dyDescent="0.2">
      <c r="B122" s="1">
        <v>115</v>
      </c>
      <c r="C122" s="2">
        <v>3815.0311494996517</v>
      </c>
      <c r="D122" s="3"/>
      <c r="E122" s="2">
        <f t="shared" si="2"/>
        <v>69.652560536162909</v>
      </c>
      <c r="F122" s="2">
        <v>130.82599335749183</v>
      </c>
      <c r="G122" s="3"/>
      <c r="H122" s="5">
        <f t="shared" si="3"/>
        <v>5.0993117955894984</v>
      </c>
    </row>
    <row r="123" spans="2:8" x14ac:dyDescent="0.2">
      <c r="B123" s="1">
        <v>116</v>
      </c>
      <c r="C123" s="2">
        <v>3819.8673402371337</v>
      </c>
      <c r="D123" s="3"/>
      <c r="E123" s="2">
        <f t="shared" si="2"/>
        <v>69.740856818658813</v>
      </c>
      <c r="F123" s="2">
        <v>41.132659762866297</v>
      </c>
      <c r="G123" s="3"/>
      <c r="H123" s="5">
        <f t="shared" si="3"/>
        <v>1.6032613376731704</v>
      </c>
    </row>
    <row r="124" spans="2:8" x14ac:dyDescent="0.2">
      <c r="B124" s="1">
        <v>117</v>
      </c>
      <c r="C124" s="2">
        <v>3824.6830921773121</v>
      </c>
      <c r="D124" s="3"/>
      <c r="E124" s="2">
        <f t="shared" si="2"/>
        <v>69.828779941798814</v>
      </c>
      <c r="F124" s="2">
        <v>333.31690782268788</v>
      </c>
      <c r="G124" s="3"/>
      <c r="H124" s="5">
        <f t="shared" si="3"/>
        <v>12.991965863275565</v>
      </c>
    </row>
    <row r="125" spans="2:8" x14ac:dyDescent="0.2">
      <c r="B125" s="1">
        <v>118</v>
      </c>
      <c r="C125" s="2">
        <v>3712.4999999999995</v>
      </c>
      <c r="D125" s="3"/>
      <c r="E125" s="2">
        <f t="shared" si="2"/>
        <v>67.780608036298375</v>
      </c>
      <c r="F125" s="2">
        <v>0</v>
      </c>
      <c r="G125" s="3"/>
      <c r="H125" s="5">
        <f t="shared" si="3"/>
        <v>0</v>
      </c>
    </row>
    <row r="126" spans="2:8" x14ac:dyDescent="0.2">
      <c r="B126" s="1">
        <v>119</v>
      </c>
      <c r="C126" s="2">
        <v>3267</v>
      </c>
      <c r="D126" s="3"/>
      <c r="E126" s="2">
        <f t="shared" si="2"/>
        <v>59.646935071942586</v>
      </c>
      <c r="F126" s="2">
        <v>0</v>
      </c>
      <c r="G126" s="3"/>
      <c r="H126" s="5">
        <f t="shared" si="3"/>
        <v>0</v>
      </c>
    </row>
    <row r="127" spans="2:8" x14ac:dyDescent="0.2">
      <c r="B127" s="1">
        <v>120</v>
      </c>
      <c r="C127" s="2">
        <v>2821.4999999999995</v>
      </c>
      <c r="D127" s="3"/>
      <c r="E127" s="2">
        <f t="shared" si="2"/>
        <v>51.513262107586769</v>
      </c>
      <c r="F127" s="2">
        <v>0</v>
      </c>
      <c r="G127" s="3"/>
      <c r="H127" s="5">
        <f t="shared" si="3"/>
        <v>0</v>
      </c>
    </row>
    <row r="128" spans="2:8" x14ac:dyDescent="0.2">
      <c r="B128" s="1">
        <v>121</v>
      </c>
      <c r="C128" s="2">
        <v>2376</v>
      </c>
      <c r="D128" s="3"/>
      <c r="E128" s="2">
        <f t="shared" si="2"/>
        <v>43.379589143230966</v>
      </c>
      <c r="F128" s="2">
        <v>0</v>
      </c>
      <c r="G128" s="3"/>
      <c r="H128" s="5">
        <f t="shared" si="3"/>
        <v>0</v>
      </c>
    </row>
    <row r="129" spans="2:8" x14ac:dyDescent="0.2">
      <c r="B129" s="1">
        <v>122</v>
      </c>
      <c r="C129" s="2">
        <v>2376</v>
      </c>
      <c r="D129" s="3"/>
      <c r="E129" s="2">
        <f t="shared" si="2"/>
        <v>43.379589143230966</v>
      </c>
      <c r="F129" s="2">
        <v>0</v>
      </c>
      <c r="G129" s="3"/>
      <c r="H129" s="5">
        <f t="shared" si="3"/>
        <v>0</v>
      </c>
    </row>
    <row r="130" spans="2:8" x14ac:dyDescent="0.2">
      <c r="B130" s="1">
        <v>123</v>
      </c>
      <c r="C130" s="2">
        <v>2545.7142857142858</v>
      </c>
      <c r="D130" s="3"/>
      <c r="E130" s="2">
        <f t="shared" si="2"/>
        <v>46.478131224890326</v>
      </c>
      <c r="F130" s="2">
        <v>0</v>
      </c>
      <c r="G130" s="3"/>
      <c r="H130" s="5">
        <f t="shared" si="3"/>
        <v>0</v>
      </c>
    </row>
    <row r="131" spans="2:8" x14ac:dyDescent="0.2">
      <c r="B131" s="1">
        <v>124</v>
      </c>
      <c r="C131" s="2">
        <v>2715.4285714285716</v>
      </c>
      <c r="D131" s="3"/>
      <c r="E131" s="2">
        <f t="shared" si="2"/>
        <v>49.576673306549679</v>
      </c>
      <c r="F131" s="2">
        <v>0</v>
      </c>
      <c r="G131" s="3"/>
      <c r="H131" s="5">
        <f t="shared" si="3"/>
        <v>0</v>
      </c>
    </row>
    <row r="132" spans="2:8" x14ac:dyDescent="0.2">
      <c r="B132" s="1">
        <v>125</v>
      </c>
      <c r="C132" s="2">
        <v>2885.1428571428573</v>
      </c>
      <c r="D132" s="3"/>
      <c r="E132" s="2">
        <f t="shared" si="2"/>
        <v>52.67521538820904</v>
      </c>
      <c r="F132" s="2">
        <v>0</v>
      </c>
      <c r="G132" s="3"/>
      <c r="H132" s="5">
        <f t="shared" si="3"/>
        <v>0</v>
      </c>
    </row>
    <row r="133" spans="2:8" x14ac:dyDescent="0.2">
      <c r="B133" s="1">
        <v>126</v>
      </c>
      <c r="C133" s="2">
        <v>3054.8571428571431</v>
      </c>
      <c r="D133" s="3"/>
      <c r="E133" s="2">
        <f t="shared" si="2"/>
        <v>55.773757469868393</v>
      </c>
      <c r="F133" s="2">
        <v>0</v>
      </c>
      <c r="G133" s="3"/>
      <c r="H133" s="5">
        <f t="shared" si="3"/>
        <v>0</v>
      </c>
    </row>
    <row r="134" spans="2:8" x14ac:dyDescent="0.2">
      <c r="B134" s="1">
        <v>127</v>
      </c>
      <c r="C134" s="2">
        <v>3224.5714285714284</v>
      </c>
      <c r="D134" s="3"/>
      <c r="E134" s="2">
        <f t="shared" si="2"/>
        <v>58.872299551527739</v>
      </c>
      <c r="F134" s="2">
        <v>0</v>
      </c>
      <c r="G134" s="3"/>
      <c r="H134" s="5">
        <f t="shared" si="3"/>
        <v>0</v>
      </c>
    </row>
    <row r="135" spans="2:8" x14ac:dyDescent="0.2">
      <c r="B135" s="1">
        <v>128</v>
      </c>
      <c r="C135" s="2">
        <v>3394.2857142857147</v>
      </c>
      <c r="D135" s="3"/>
      <c r="E135" s="2">
        <f t="shared" si="2"/>
        <v>61.970841633187106</v>
      </c>
      <c r="F135" s="2">
        <v>0</v>
      </c>
      <c r="G135" s="3"/>
      <c r="H135" s="5">
        <f t="shared" si="3"/>
        <v>0</v>
      </c>
    </row>
    <row r="136" spans="2:8" x14ac:dyDescent="0.2">
      <c r="B136" s="1">
        <v>129</v>
      </c>
      <c r="C136" s="2">
        <v>3564</v>
      </c>
      <c r="D136" s="3"/>
      <c r="E136" s="2">
        <f t="shared" si="2"/>
        <v>65.069383714846452</v>
      </c>
      <c r="F136" s="2">
        <v>0</v>
      </c>
      <c r="G136" s="3"/>
      <c r="H136" s="5">
        <f t="shared" si="3"/>
        <v>0</v>
      </c>
    </row>
    <row r="137" spans="2:8" x14ac:dyDescent="0.2">
      <c r="B137" s="1">
        <v>130</v>
      </c>
      <c r="C137" s="2">
        <v>3733.7142857142858</v>
      </c>
      <c r="D137" s="3"/>
      <c r="E137" s="2">
        <f t="shared" ref="E137:E200" si="4">C137*$D$5</f>
        <v>68.167925796505813</v>
      </c>
      <c r="F137" s="2">
        <v>0</v>
      </c>
      <c r="G137" s="3"/>
      <c r="H137" s="5">
        <f t="shared" ref="H137:H200" si="5">$G$5*F137</f>
        <v>0</v>
      </c>
    </row>
    <row r="138" spans="2:8" x14ac:dyDescent="0.2">
      <c r="B138" s="1">
        <v>131</v>
      </c>
      <c r="C138" s="2">
        <v>3764.8271272522506</v>
      </c>
      <c r="D138" s="3"/>
      <c r="E138" s="2">
        <f t="shared" si="4"/>
        <v>68.735965477901161</v>
      </c>
      <c r="F138" s="2">
        <v>138.60144417632137</v>
      </c>
      <c r="G138" s="3"/>
      <c r="H138" s="5">
        <f t="shared" si="5"/>
        <v>5.4023819046628407</v>
      </c>
    </row>
    <row r="139" spans="2:8" x14ac:dyDescent="0.2">
      <c r="B139" s="1">
        <v>132</v>
      </c>
      <c r="C139" s="2">
        <v>3755.2519492244101</v>
      </c>
      <c r="D139" s="3"/>
      <c r="E139" s="2">
        <f t="shared" si="4"/>
        <v>68.56114759540074</v>
      </c>
      <c r="F139" s="2">
        <v>317.89090791844774</v>
      </c>
      <c r="G139" s="3"/>
      <c r="H139" s="5">
        <f t="shared" si="5"/>
        <v>12.390694042197131</v>
      </c>
    </row>
    <row r="140" spans="2:8" x14ac:dyDescent="0.2">
      <c r="B140" s="1">
        <v>133</v>
      </c>
      <c r="C140" s="2">
        <v>3745.4523949426916</v>
      </c>
      <c r="D140" s="3"/>
      <c r="E140" s="2">
        <f t="shared" si="4"/>
        <v>68.382233185245966</v>
      </c>
      <c r="F140" s="2">
        <v>412.54760505730837</v>
      </c>
      <c r="G140" s="3"/>
      <c r="H140" s="5">
        <f t="shared" si="5"/>
        <v>16.080205582405846</v>
      </c>
    </row>
    <row r="141" spans="2:8" x14ac:dyDescent="0.2">
      <c r="B141" s="1">
        <v>134</v>
      </c>
      <c r="C141" s="2">
        <v>3735.693119367616</v>
      </c>
      <c r="D141" s="3"/>
      <c r="E141" s="2">
        <f t="shared" si="4"/>
        <v>68.204054159664167</v>
      </c>
      <c r="F141" s="2">
        <v>422.30688063238404</v>
      </c>
      <c r="G141" s="3"/>
      <c r="H141" s="5">
        <f t="shared" si="5"/>
        <v>16.460600852330561</v>
      </c>
    </row>
    <row r="142" spans="2:8" x14ac:dyDescent="0.2">
      <c r="B142" s="1">
        <v>135</v>
      </c>
      <c r="C142" s="2">
        <v>3725.9739995101318</v>
      </c>
      <c r="D142" s="3"/>
      <c r="E142" s="2">
        <f t="shared" si="4"/>
        <v>68.026608273194697</v>
      </c>
      <c r="F142" s="2">
        <v>856.31171477558291</v>
      </c>
      <c r="G142" s="3"/>
      <c r="H142" s="5">
        <f t="shared" si="5"/>
        <v>33.377162410871492</v>
      </c>
    </row>
    <row r="143" spans="2:8" x14ac:dyDescent="0.2">
      <c r="B143" s="1">
        <v>136</v>
      </c>
      <c r="C143" s="2">
        <v>3725.0992878755396</v>
      </c>
      <c r="D143" s="3"/>
      <c r="E143" s="2">
        <f t="shared" si="4"/>
        <v>68.010638310514807</v>
      </c>
      <c r="F143" s="2">
        <v>1026.9007121244604</v>
      </c>
      <c r="G143" s="3"/>
      <c r="H143" s="5">
        <f t="shared" si="5"/>
        <v>40.02634935036513</v>
      </c>
    </row>
    <row r="144" spans="2:8" x14ac:dyDescent="0.2">
      <c r="B144" s="1">
        <v>137</v>
      </c>
      <c r="C144" s="2">
        <v>3732.9700944612714</v>
      </c>
      <c r="D144" s="3"/>
      <c r="E144" s="2">
        <f t="shared" si="4"/>
        <v>68.154338797010965</v>
      </c>
      <c r="F144" s="2">
        <v>781.42990553872824</v>
      </c>
      <c r="G144" s="3"/>
      <c r="H144" s="5">
        <f t="shared" si="5"/>
        <v>30.458432857844873</v>
      </c>
    </row>
    <row r="145" spans="2:8" x14ac:dyDescent="0.2">
      <c r="B145" s="1">
        <v>138</v>
      </c>
      <c r="C145" s="2">
        <v>3740.8109576061365</v>
      </c>
      <c r="D145" s="3"/>
      <c r="E145" s="2">
        <f t="shared" si="4"/>
        <v>68.297492594044868</v>
      </c>
      <c r="F145" s="2">
        <v>535.98904239386366</v>
      </c>
      <c r="G145" s="3"/>
      <c r="H145" s="5">
        <f t="shared" si="5"/>
        <v>20.891683495321473</v>
      </c>
    </row>
    <row r="146" spans="2:8" x14ac:dyDescent="0.2">
      <c r="B146" s="1">
        <v>139</v>
      </c>
      <c r="C146" s="2">
        <v>3748.6225895942634</v>
      </c>
      <c r="D146" s="3"/>
      <c r="E146" s="2">
        <f t="shared" si="4"/>
        <v>68.440112706074771</v>
      </c>
      <c r="F146" s="2">
        <v>409.37741040573655</v>
      </c>
      <c r="G146" s="3"/>
      <c r="H146" s="5">
        <f t="shared" si="5"/>
        <v>15.956638311359789</v>
      </c>
    </row>
    <row r="147" spans="2:8" x14ac:dyDescent="0.2">
      <c r="B147" s="1">
        <v>140</v>
      </c>
      <c r="C147" s="2">
        <v>3756.4055786974905</v>
      </c>
      <c r="D147" s="3"/>
      <c r="E147" s="2">
        <f t="shared" si="4"/>
        <v>68.58220987341663</v>
      </c>
      <c r="F147" s="2">
        <v>45.194421302508545</v>
      </c>
      <c r="G147" s="3"/>
      <c r="H147" s="5">
        <f t="shared" si="5"/>
        <v>1.7615799408682697</v>
      </c>
    </row>
    <row r="148" spans="2:8" x14ac:dyDescent="0.2">
      <c r="B148" s="1">
        <v>141</v>
      </c>
      <c r="C148" s="2">
        <v>3563.9999999999991</v>
      </c>
      <c r="D148" s="3"/>
      <c r="E148" s="2">
        <f t="shared" si="4"/>
        <v>65.069383714846438</v>
      </c>
      <c r="F148" s="2">
        <v>0</v>
      </c>
      <c r="G148" s="3"/>
      <c r="H148" s="5">
        <f t="shared" si="5"/>
        <v>0</v>
      </c>
    </row>
    <row r="149" spans="2:8" x14ac:dyDescent="0.2">
      <c r="B149" s="1">
        <v>142</v>
      </c>
      <c r="C149" s="2">
        <v>3326.3999999999996</v>
      </c>
      <c r="D149" s="3"/>
      <c r="E149" s="2">
        <f t="shared" si="4"/>
        <v>60.731424800523349</v>
      </c>
      <c r="F149" s="2">
        <v>0</v>
      </c>
      <c r="G149" s="3"/>
      <c r="H149" s="5">
        <f t="shared" si="5"/>
        <v>0</v>
      </c>
    </row>
    <row r="150" spans="2:8" x14ac:dyDescent="0.2">
      <c r="B150" s="1">
        <v>143</v>
      </c>
      <c r="C150" s="2">
        <v>2673</v>
      </c>
      <c r="D150" s="3"/>
      <c r="E150" s="2">
        <f t="shared" si="4"/>
        <v>48.802037786134839</v>
      </c>
      <c r="F150" s="2">
        <v>0</v>
      </c>
      <c r="G150" s="3"/>
      <c r="H150" s="5">
        <f t="shared" si="5"/>
        <v>0</v>
      </c>
    </row>
    <row r="151" spans="2:8" x14ac:dyDescent="0.2">
      <c r="B151" s="1">
        <v>144</v>
      </c>
      <c r="C151" s="2">
        <v>2524.5</v>
      </c>
      <c r="D151" s="3"/>
      <c r="E151" s="2">
        <f t="shared" si="4"/>
        <v>46.090813464682903</v>
      </c>
      <c r="F151" s="2">
        <v>0</v>
      </c>
      <c r="G151" s="3"/>
      <c r="H151" s="5">
        <f t="shared" si="5"/>
        <v>0</v>
      </c>
    </row>
    <row r="152" spans="2:8" x14ac:dyDescent="0.2">
      <c r="B152" s="1">
        <v>145</v>
      </c>
      <c r="C152" s="2">
        <v>2376</v>
      </c>
      <c r="D152" s="3"/>
      <c r="E152" s="2">
        <f t="shared" si="4"/>
        <v>43.379589143230966</v>
      </c>
      <c r="F152" s="2">
        <v>0</v>
      </c>
      <c r="G152" s="3"/>
      <c r="H152" s="5">
        <f t="shared" si="5"/>
        <v>0</v>
      </c>
    </row>
    <row r="153" spans="2:8" x14ac:dyDescent="0.2">
      <c r="B153" s="1">
        <v>146</v>
      </c>
      <c r="C153" s="2">
        <v>2376</v>
      </c>
      <c r="D153" s="3"/>
      <c r="E153" s="2">
        <f t="shared" si="4"/>
        <v>43.379589143230966</v>
      </c>
      <c r="F153" s="2">
        <v>0</v>
      </c>
      <c r="G153" s="3"/>
      <c r="H153" s="5">
        <f t="shared" si="5"/>
        <v>0</v>
      </c>
    </row>
    <row r="154" spans="2:8" x14ac:dyDescent="0.2">
      <c r="B154" s="1">
        <v>147</v>
      </c>
      <c r="C154" s="2">
        <v>2524.5000000000005</v>
      </c>
      <c r="D154" s="3"/>
      <c r="E154" s="2">
        <f t="shared" si="4"/>
        <v>46.09081346468291</v>
      </c>
      <c r="F154" s="2">
        <v>0</v>
      </c>
      <c r="G154" s="3"/>
      <c r="H154" s="5">
        <f t="shared" si="5"/>
        <v>0</v>
      </c>
    </row>
    <row r="155" spans="2:8" x14ac:dyDescent="0.2">
      <c r="B155" s="1">
        <v>148</v>
      </c>
      <c r="C155" s="2">
        <v>2673</v>
      </c>
      <c r="D155" s="3"/>
      <c r="E155" s="2">
        <f t="shared" si="4"/>
        <v>48.802037786134839</v>
      </c>
      <c r="F155" s="2">
        <v>0</v>
      </c>
      <c r="G155" s="3"/>
      <c r="H155" s="5">
        <f t="shared" si="5"/>
        <v>0</v>
      </c>
    </row>
    <row r="156" spans="2:8" x14ac:dyDescent="0.2">
      <c r="B156" s="1">
        <v>149</v>
      </c>
      <c r="C156" s="2">
        <v>2821.4999999999995</v>
      </c>
      <c r="D156" s="3"/>
      <c r="E156" s="2">
        <f t="shared" si="4"/>
        <v>51.513262107586769</v>
      </c>
      <c r="F156" s="2">
        <v>0</v>
      </c>
      <c r="G156" s="3"/>
      <c r="H156" s="5">
        <f t="shared" si="5"/>
        <v>0</v>
      </c>
    </row>
    <row r="157" spans="2:8" x14ac:dyDescent="0.2">
      <c r="B157" s="1">
        <v>150</v>
      </c>
      <c r="C157" s="2">
        <v>2969.9999999999995</v>
      </c>
      <c r="D157" s="3"/>
      <c r="E157" s="2">
        <f t="shared" si="4"/>
        <v>54.224486429038706</v>
      </c>
      <c r="F157" s="2">
        <v>0</v>
      </c>
      <c r="G157" s="3"/>
      <c r="H157" s="5">
        <f t="shared" si="5"/>
        <v>0</v>
      </c>
    </row>
    <row r="158" spans="2:8" x14ac:dyDescent="0.2">
      <c r="B158" s="1">
        <v>151</v>
      </c>
      <c r="C158" s="2">
        <v>3118.5</v>
      </c>
      <c r="D158" s="3"/>
      <c r="E158" s="2">
        <f t="shared" si="4"/>
        <v>56.935710750490649</v>
      </c>
      <c r="F158" s="2">
        <v>0</v>
      </c>
      <c r="G158" s="3"/>
      <c r="H158" s="5">
        <f t="shared" si="5"/>
        <v>0</v>
      </c>
    </row>
    <row r="159" spans="2:8" x14ac:dyDescent="0.2">
      <c r="B159" s="1">
        <v>152</v>
      </c>
      <c r="C159" s="2">
        <v>3267</v>
      </c>
      <c r="D159" s="3"/>
      <c r="E159" s="2">
        <f t="shared" si="4"/>
        <v>59.646935071942586</v>
      </c>
      <c r="F159" s="2">
        <v>0</v>
      </c>
      <c r="G159" s="3"/>
      <c r="H159" s="5">
        <f t="shared" si="5"/>
        <v>0</v>
      </c>
    </row>
    <row r="160" spans="2:8" x14ac:dyDescent="0.2">
      <c r="B160" s="1">
        <v>153</v>
      </c>
      <c r="C160" s="2">
        <v>3415.5</v>
      </c>
      <c r="D160" s="3"/>
      <c r="E160" s="2">
        <f t="shared" si="4"/>
        <v>62.358159393394516</v>
      </c>
      <c r="F160" s="2">
        <v>0</v>
      </c>
      <c r="G160" s="3"/>
      <c r="H160" s="5">
        <f t="shared" si="5"/>
        <v>0</v>
      </c>
    </row>
    <row r="161" spans="2:8" x14ac:dyDescent="0.2">
      <c r="B161" s="1">
        <v>154</v>
      </c>
      <c r="C161" s="2">
        <v>3564</v>
      </c>
      <c r="D161" s="3"/>
      <c r="E161" s="2">
        <f t="shared" si="4"/>
        <v>65.069383714846452</v>
      </c>
      <c r="F161" s="2">
        <v>0</v>
      </c>
      <c r="G161" s="3"/>
      <c r="H161" s="5">
        <f t="shared" si="5"/>
        <v>0</v>
      </c>
    </row>
    <row r="162" spans="2:8" x14ac:dyDescent="0.2">
      <c r="B162" s="1">
        <v>155</v>
      </c>
      <c r="C162" s="2">
        <v>3712.5000000000005</v>
      </c>
      <c r="D162" s="3"/>
      <c r="E162" s="2">
        <f t="shared" si="4"/>
        <v>67.780608036298403</v>
      </c>
      <c r="F162" s="2">
        <v>0</v>
      </c>
      <c r="G162" s="3"/>
      <c r="H162" s="5">
        <f t="shared" si="5"/>
        <v>0</v>
      </c>
    </row>
    <row r="163" spans="2:8" x14ac:dyDescent="0.2">
      <c r="B163" s="1">
        <v>156</v>
      </c>
      <c r="C163" s="2">
        <v>3742.1908227744166</v>
      </c>
      <c r="D163" s="3"/>
      <c r="E163" s="2">
        <f t="shared" si="4"/>
        <v>68.322685348284367</v>
      </c>
      <c r="F163" s="2">
        <v>118.80917722558434</v>
      </c>
      <c r="G163" s="3"/>
      <c r="H163" s="5">
        <f t="shared" si="5"/>
        <v>4.6309225200774007</v>
      </c>
    </row>
    <row r="164" spans="2:8" x14ac:dyDescent="0.2">
      <c r="B164" s="1">
        <v>157</v>
      </c>
      <c r="C164" s="2">
        <v>3736.0623422459084</v>
      </c>
      <c r="D164" s="3"/>
      <c r="E164" s="2">
        <f t="shared" si="4"/>
        <v>68.21079521049019</v>
      </c>
      <c r="F164" s="2">
        <v>273.43765775409202</v>
      </c>
      <c r="G164" s="3"/>
      <c r="H164" s="5">
        <f t="shared" si="5"/>
        <v>10.658003335267301</v>
      </c>
    </row>
    <row r="165" spans="2:8" x14ac:dyDescent="0.2">
      <c r="B165" s="1">
        <v>158</v>
      </c>
      <c r="C165" s="2">
        <v>3729.9668794727181</v>
      </c>
      <c r="D165" s="3"/>
      <c r="E165" s="2">
        <f t="shared" si="4"/>
        <v>68.099507891155653</v>
      </c>
      <c r="F165" s="2">
        <v>428.03312052728279</v>
      </c>
      <c r="G165" s="3"/>
      <c r="H165" s="5">
        <f t="shared" si="5"/>
        <v>16.683797190390393</v>
      </c>
    </row>
    <row r="166" spans="2:8" x14ac:dyDescent="0.2">
      <c r="B166" s="1">
        <v>159</v>
      </c>
      <c r="C166" s="2">
        <v>3723.9043215991683</v>
      </c>
      <c r="D166" s="3"/>
      <c r="E166" s="2">
        <f t="shared" si="4"/>
        <v>67.988821329829193</v>
      </c>
      <c r="F166" s="2">
        <v>285.59567840083173</v>
      </c>
      <c r="G166" s="3"/>
      <c r="H166" s="5">
        <f t="shared" si="5"/>
        <v>11.13189645469906</v>
      </c>
    </row>
    <row r="167" spans="2:8" x14ac:dyDescent="0.2">
      <c r="B167" s="1">
        <v>160</v>
      </c>
      <c r="C167" s="2">
        <v>3723.8709494384898</v>
      </c>
      <c r="D167" s="3"/>
      <c r="E167" s="2">
        <f t="shared" si="4"/>
        <v>67.988212040848111</v>
      </c>
      <c r="F167" s="2">
        <v>434.12905056151021</v>
      </c>
      <c r="G167" s="3"/>
      <c r="H167" s="5">
        <f t="shared" si="5"/>
        <v>16.921403243521457</v>
      </c>
    </row>
    <row r="168" spans="2:8" x14ac:dyDescent="0.2">
      <c r="B168" s="1">
        <v>161</v>
      </c>
      <c r="C168" s="2">
        <v>3731.8788260511888</v>
      </c>
      <c r="D168" s="3"/>
      <c r="E168" s="2">
        <f t="shared" si="4"/>
        <v>68.134415070043644</v>
      </c>
      <c r="F168" s="2">
        <v>1020.1211739488112</v>
      </c>
      <c r="G168" s="3"/>
      <c r="H168" s="5">
        <f t="shared" si="5"/>
        <v>39.762097743321959</v>
      </c>
    </row>
    <row r="169" spans="2:8" x14ac:dyDescent="0.2">
      <c r="B169" s="1">
        <v>162</v>
      </c>
      <c r="C169" s="2">
        <v>3739.8543710574031</v>
      </c>
      <c r="D169" s="3"/>
      <c r="E169" s="2">
        <f t="shared" si="4"/>
        <v>68.280027808075175</v>
      </c>
      <c r="F169" s="2">
        <v>863.64562894259689</v>
      </c>
      <c r="G169" s="3"/>
      <c r="H169" s="5">
        <f t="shared" si="5"/>
        <v>33.663022384565728</v>
      </c>
    </row>
    <row r="170" spans="2:8" x14ac:dyDescent="0.2">
      <c r="B170" s="1">
        <v>163</v>
      </c>
      <c r="C170" s="2">
        <v>3747.7974995061463</v>
      </c>
      <c r="D170" s="3"/>
      <c r="E170" s="2">
        <f t="shared" si="4"/>
        <v>68.425048703958339</v>
      </c>
      <c r="F170" s="2">
        <v>1152.7025004938528</v>
      </c>
      <c r="G170" s="3"/>
      <c r="H170" s="5">
        <f t="shared" si="5"/>
        <v>44.929828596919315</v>
      </c>
    </row>
    <row r="171" spans="2:8" x14ac:dyDescent="0.2">
      <c r="B171" s="1">
        <v>164</v>
      </c>
      <c r="C171" s="2">
        <v>3755.7079173433635</v>
      </c>
      <c r="D171" s="3"/>
      <c r="E171" s="2">
        <f t="shared" si="4"/>
        <v>68.569472389029784</v>
      </c>
      <c r="F171" s="2">
        <v>818.09208265663665</v>
      </c>
      <c r="G171" s="3"/>
      <c r="H171" s="5">
        <f t="shared" si="5"/>
        <v>31.887444535352124</v>
      </c>
    </row>
    <row r="172" spans="2:8" x14ac:dyDescent="0.2">
      <c r="B172" s="1">
        <v>165</v>
      </c>
      <c r="C172" s="2">
        <v>3763.0570614987205</v>
      </c>
      <c r="D172" s="3"/>
      <c r="E172" s="2">
        <f t="shared" si="4"/>
        <v>68.703648674389115</v>
      </c>
      <c r="F172" s="2">
        <v>484.04293850127988</v>
      </c>
      <c r="G172" s="3"/>
      <c r="H172" s="5">
        <f t="shared" si="5"/>
        <v>18.866937697362651</v>
      </c>
    </row>
    <row r="173" spans="2:8" x14ac:dyDescent="0.2">
      <c r="B173" s="1">
        <v>166</v>
      </c>
      <c r="C173" s="2">
        <v>3768.2610720666689</v>
      </c>
      <c r="D173" s="3"/>
      <c r="E173" s="2">
        <f t="shared" si="4"/>
        <v>68.798660391701674</v>
      </c>
      <c r="F173" s="2">
        <v>152.13892793333071</v>
      </c>
      <c r="G173" s="3"/>
      <c r="H173" s="5">
        <f t="shared" si="5"/>
        <v>5.93004348653277</v>
      </c>
    </row>
    <row r="174" spans="2:8" x14ac:dyDescent="0.2">
      <c r="B174" s="1">
        <v>167</v>
      </c>
      <c r="C174" s="2">
        <v>3593.7</v>
      </c>
      <c r="D174" s="3"/>
      <c r="E174" s="2">
        <f t="shared" si="4"/>
        <v>65.611628579136834</v>
      </c>
      <c r="F174" s="2">
        <v>0</v>
      </c>
      <c r="G174" s="3"/>
      <c r="H174" s="5">
        <f t="shared" si="5"/>
        <v>0</v>
      </c>
    </row>
    <row r="175" spans="2:8" x14ac:dyDescent="0.2">
      <c r="B175" s="1">
        <v>168</v>
      </c>
      <c r="C175" s="2">
        <v>3267</v>
      </c>
      <c r="D175" s="3"/>
      <c r="E175" s="2">
        <f t="shared" si="4"/>
        <v>59.646935071942586</v>
      </c>
      <c r="F175" s="2">
        <v>0</v>
      </c>
      <c r="G175" s="3"/>
      <c r="H175" s="5">
        <f t="shared" si="5"/>
        <v>0</v>
      </c>
    </row>
    <row r="176" spans="2:8" x14ac:dyDescent="0.2">
      <c r="B176" s="1">
        <v>169</v>
      </c>
      <c r="C176" s="2">
        <v>2524.5</v>
      </c>
      <c r="D176" s="3"/>
      <c r="E176" s="2">
        <f t="shared" si="4"/>
        <v>46.090813464682903</v>
      </c>
      <c r="F176" s="2">
        <v>0</v>
      </c>
      <c r="G176" s="3"/>
      <c r="H176" s="5">
        <f t="shared" si="5"/>
        <v>0</v>
      </c>
    </row>
    <row r="177" spans="2:8" x14ac:dyDescent="0.2">
      <c r="B177" s="1">
        <v>170</v>
      </c>
      <c r="C177" s="2">
        <v>2376</v>
      </c>
      <c r="D177" s="3"/>
      <c r="E177" s="2">
        <f t="shared" si="4"/>
        <v>43.379589143230966</v>
      </c>
      <c r="F177" s="2">
        <v>0</v>
      </c>
      <c r="G177" s="3"/>
      <c r="H177" s="5">
        <f t="shared" si="5"/>
        <v>0</v>
      </c>
    </row>
    <row r="178" spans="2:8" x14ac:dyDescent="0.2">
      <c r="B178" s="1">
        <v>171</v>
      </c>
      <c r="C178" s="2">
        <v>2524.5</v>
      </c>
      <c r="D178" s="3"/>
      <c r="E178" s="2">
        <f t="shared" si="4"/>
        <v>46.090813464682903</v>
      </c>
      <c r="F178" s="2">
        <v>0</v>
      </c>
      <c r="G178" s="3"/>
      <c r="H178" s="5">
        <f t="shared" si="5"/>
        <v>0</v>
      </c>
    </row>
    <row r="179" spans="2:8" x14ac:dyDescent="0.2">
      <c r="B179" s="1">
        <v>172</v>
      </c>
      <c r="C179" s="2">
        <v>2673</v>
      </c>
      <c r="D179" s="3"/>
      <c r="E179" s="2">
        <f t="shared" si="4"/>
        <v>48.802037786134839</v>
      </c>
      <c r="F179" s="2">
        <v>0</v>
      </c>
      <c r="G179" s="3"/>
      <c r="H179" s="5">
        <f t="shared" si="5"/>
        <v>0</v>
      </c>
    </row>
    <row r="180" spans="2:8" x14ac:dyDescent="0.2">
      <c r="B180" s="1">
        <v>173</v>
      </c>
      <c r="C180" s="2">
        <v>3044.2499999999995</v>
      </c>
      <c r="D180" s="3"/>
      <c r="E180" s="2">
        <f t="shared" si="4"/>
        <v>55.580098589764674</v>
      </c>
      <c r="F180" s="2">
        <v>0</v>
      </c>
      <c r="G180" s="3"/>
      <c r="H180" s="5">
        <f t="shared" si="5"/>
        <v>0</v>
      </c>
    </row>
    <row r="181" spans="2:8" x14ac:dyDescent="0.2">
      <c r="B181" s="1">
        <v>174</v>
      </c>
      <c r="C181" s="2">
        <v>3266.9999999999995</v>
      </c>
      <c r="D181" s="3"/>
      <c r="E181" s="2">
        <f t="shared" si="4"/>
        <v>59.646935071942572</v>
      </c>
      <c r="F181" s="2">
        <v>0</v>
      </c>
      <c r="G181" s="3"/>
      <c r="H181" s="5">
        <f t="shared" si="5"/>
        <v>0</v>
      </c>
    </row>
    <row r="182" spans="2:8" x14ac:dyDescent="0.2">
      <c r="B182" s="1">
        <v>175</v>
      </c>
      <c r="C182" s="2">
        <v>3489.7499999999995</v>
      </c>
      <c r="D182" s="3"/>
      <c r="E182" s="2">
        <f t="shared" si="4"/>
        <v>63.713771554120477</v>
      </c>
      <c r="F182" s="2">
        <v>0</v>
      </c>
      <c r="G182" s="3"/>
      <c r="H182" s="5">
        <f t="shared" si="5"/>
        <v>0</v>
      </c>
    </row>
    <row r="183" spans="2:8" x14ac:dyDescent="0.2">
      <c r="B183" s="1">
        <v>176</v>
      </c>
      <c r="C183" s="2">
        <v>3712.4999999999991</v>
      </c>
      <c r="D183" s="3"/>
      <c r="E183" s="2">
        <f t="shared" si="4"/>
        <v>67.780608036298375</v>
      </c>
      <c r="F183" s="2">
        <v>0</v>
      </c>
      <c r="G183" s="3"/>
      <c r="H183" s="5">
        <f t="shared" si="5"/>
        <v>0</v>
      </c>
    </row>
    <row r="184" spans="2:8" x14ac:dyDescent="0.2">
      <c r="B184" s="1">
        <v>177</v>
      </c>
      <c r="C184" s="2">
        <v>3726.0636595304009</v>
      </c>
      <c r="D184" s="3"/>
      <c r="E184" s="2">
        <f t="shared" si="4"/>
        <v>68.028245232303206</v>
      </c>
      <c r="F184" s="2">
        <v>209.18634046959824</v>
      </c>
      <c r="G184" s="3"/>
      <c r="H184" s="5">
        <f t="shared" si="5"/>
        <v>8.1536271658031136</v>
      </c>
    </row>
    <row r="185" spans="2:8" x14ac:dyDescent="0.2">
      <c r="B185" s="1">
        <v>178</v>
      </c>
      <c r="C185" s="2">
        <v>3719.1610427236305</v>
      </c>
      <c r="D185" s="3"/>
      <c r="E185" s="2">
        <f t="shared" si="4"/>
        <v>67.902221376625235</v>
      </c>
      <c r="F185" s="2">
        <v>438.83895727636764</v>
      </c>
      <c r="G185" s="3"/>
      <c r="H185" s="5">
        <f t="shared" si="5"/>
        <v>17.104985131576147</v>
      </c>
    </row>
    <row r="186" spans="2:8" x14ac:dyDescent="0.2">
      <c r="B186" s="1">
        <v>179</v>
      </c>
      <c r="C186" s="2">
        <v>3712.2927220376459</v>
      </c>
      <c r="D186" s="3"/>
      <c r="E186" s="2">
        <f t="shared" si="4"/>
        <v>67.776823679040234</v>
      </c>
      <c r="F186" s="2">
        <v>668.45727796235224</v>
      </c>
      <c r="G186" s="3"/>
      <c r="H186" s="5">
        <f t="shared" si="5"/>
        <v>26.055006309385465</v>
      </c>
    </row>
    <row r="187" spans="2:8" x14ac:dyDescent="0.2">
      <c r="B187" s="1">
        <v>180</v>
      </c>
      <c r="C187" s="2">
        <v>3705.4585836404772</v>
      </c>
      <c r="D187" s="3"/>
      <c r="E187" s="2">
        <f t="shared" si="4"/>
        <v>67.652050061272078</v>
      </c>
      <c r="F187" s="2">
        <v>898.04141635952101</v>
      </c>
      <c r="G187" s="3"/>
      <c r="H187" s="5">
        <f t="shared" si="5"/>
        <v>35.003695136152878</v>
      </c>
    </row>
    <row r="188" spans="2:8" x14ac:dyDescent="0.2">
      <c r="B188" s="1">
        <v>181</v>
      </c>
      <c r="C188" s="2">
        <v>3698.6585140060124</v>
      </c>
      <c r="D188" s="3"/>
      <c r="E188" s="2">
        <f t="shared" si="4"/>
        <v>67.527898450628797</v>
      </c>
      <c r="F188" s="2">
        <v>1127.5914859939876</v>
      </c>
      <c r="G188" s="3"/>
      <c r="H188" s="5">
        <f t="shared" si="5"/>
        <v>43.951056036878605</v>
      </c>
    </row>
    <row r="189" spans="2:8" x14ac:dyDescent="0.2">
      <c r="B189" s="1">
        <v>182</v>
      </c>
      <c r="C189" s="2">
        <v>3691.8923999133144</v>
      </c>
      <c r="D189" s="3"/>
      <c r="E189" s="2">
        <f t="shared" si="4"/>
        <v>67.404366779990127</v>
      </c>
      <c r="F189" s="2">
        <v>1357.1076000866856</v>
      </c>
      <c r="G189" s="3"/>
      <c r="H189" s="5">
        <f t="shared" si="5"/>
        <v>52.897093424667624</v>
      </c>
    </row>
    <row r="190" spans="2:8" x14ac:dyDescent="0.2">
      <c r="B190" s="1">
        <v>183</v>
      </c>
      <c r="C190" s="2">
        <v>3685.1601284459271</v>
      </c>
      <c r="D190" s="3"/>
      <c r="E190" s="2">
        <f t="shared" si="4"/>
        <v>67.281452987794864</v>
      </c>
      <c r="F190" s="2">
        <v>1215.339871554072</v>
      </c>
      <c r="G190" s="3"/>
      <c r="H190" s="5">
        <f t="shared" si="5"/>
        <v>47.37129666373756</v>
      </c>
    </row>
    <row r="191" spans="2:8" x14ac:dyDescent="0.2">
      <c r="B191" s="1">
        <v>184</v>
      </c>
      <c r="C191" s="2">
        <v>3684.4250010681958</v>
      </c>
      <c r="D191" s="3"/>
      <c r="E191" s="2">
        <f t="shared" si="4"/>
        <v>67.268031471122328</v>
      </c>
      <c r="F191" s="2">
        <v>1414.0749989318042</v>
      </c>
      <c r="G191" s="3"/>
      <c r="H191" s="5">
        <f t="shared" si="5"/>
        <v>55.117558344824332</v>
      </c>
    </row>
    <row r="192" spans="2:8" x14ac:dyDescent="0.2">
      <c r="B192" s="1">
        <v>185</v>
      </c>
      <c r="C192" s="2">
        <v>3691.7222360878345</v>
      </c>
      <c r="D192" s="3"/>
      <c r="E192" s="2">
        <f t="shared" si="4"/>
        <v>67.401260030479875</v>
      </c>
      <c r="F192" s="2">
        <v>2099.7777639121655</v>
      </c>
      <c r="G192" s="3"/>
      <c r="H192" s="5">
        <f t="shared" si="5"/>
        <v>81.844756113374302</v>
      </c>
    </row>
    <row r="193" spans="2:8" x14ac:dyDescent="0.2">
      <c r="B193" s="1">
        <v>186</v>
      </c>
      <c r="C193" s="2">
        <v>3698.9837499180571</v>
      </c>
      <c r="D193" s="3"/>
      <c r="E193" s="2">
        <f t="shared" si="4"/>
        <v>67.533836413692399</v>
      </c>
      <c r="F193" s="2">
        <v>1944.016250081942</v>
      </c>
      <c r="G193" s="3"/>
      <c r="H193" s="5">
        <f t="shared" si="5"/>
        <v>75.773512132043194</v>
      </c>
    </row>
    <row r="194" spans="2:8" x14ac:dyDescent="0.2">
      <c r="B194" s="1">
        <v>187</v>
      </c>
      <c r="C194" s="2">
        <v>3706.2094367786185</v>
      </c>
      <c r="D194" s="3"/>
      <c r="E194" s="2">
        <f t="shared" si="4"/>
        <v>67.665758689487348</v>
      </c>
      <c r="F194" s="2">
        <v>2233.7905632213806</v>
      </c>
      <c r="G194" s="3"/>
      <c r="H194" s="5">
        <f t="shared" si="5"/>
        <v>87.068282652248584</v>
      </c>
    </row>
    <row r="195" spans="2:8" x14ac:dyDescent="0.2">
      <c r="B195" s="1">
        <v>188</v>
      </c>
      <c r="C195" s="2">
        <v>3713.3990172496251</v>
      </c>
      <c r="D195" s="3"/>
      <c r="E195" s="2">
        <f t="shared" si="4"/>
        <v>67.79702175638316</v>
      </c>
      <c r="F195" s="2">
        <v>1929.600982750374</v>
      </c>
      <c r="G195" s="3"/>
      <c r="H195" s="5">
        <f t="shared" si="5"/>
        <v>75.211636461513606</v>
      </c>
    </row>
    <row r="196" spans="2:8" x14ac:dyDescent="0.2">
      <c r="B196" s="1">
        <v>189</v>
      </c>
      <c r="C196" s="2">
        <v>3720.5528137888577</v>
      </c>
      <c r="D196" s="3"/>
      <c r="E196" s="2">
        <f t="shared" si="4"/>
        <v>67.927631501621448</v>
      </c>
      <c r="F196" s="2">
        <v>2367.9471862111413</v>
      </c>
      <c r="G196" s="3"/>
      <c r="H196" s="5">
        <f t="shared" si="5"/>
        <v>92.297415124407749</v>
      </c>
    </row>
    <row r="197" spans="2:8" x14ac:dyDescent="0.2">
      <c r="B197" s="1">
        <v>190</v>
      </c>
      <c r="C197" s="2">
        <v>3728.11151145445</v>
      </c>
      <c r="D197" s="3"/>
      <c r="E197" s="2">
        <f t="shared" si="4"/>
        <v>68.065633689833277</v>
      </c>
      <c r="F197" s="2">
        <v>1617.88848854555</v>
      </c>
      <c r="G197" s="3"/>
      <c r="H197" s="5">
        <f t="shared" si="5"/>
        <v>63.061763506314243</v>
      </c>
    </row>
    <row r="198" spans="2:8" x14ac:dyDescent="0.2">
      <c r="B198" s="1">
        <v>191</v>
      </c>
      <c r="C198" s="2">
        <v>3728.0397434203323</v>
      </c>
      <c r="D198" s="3"/>
      <c r="E198" s="2">
        <f t="shared" si="4"/>
        <v>68.064323391923494</v>
      </c>
      <c r="F198" s="2">
        <v>875.46025657966584</v>
      </c>
      <c r="G198" s="3"/>
      <c r="H198" s="5">
        <f t="shared" si="5"/>
        <v>34.123530793667399</v>
      </c>
    </row>
    <row r="199" spans="2:8" x14ac:dyDescent="0.2">
      <c r="B199" s="1">
        <v>192</v>
      </c>
      <c r="C199" s="2">
        <v>3722.0513855824129</v>
      </c>
      <c r="D199" s="3"/>
      <c r="E199" s="2">
        <f t="shared" si="4"/>
        <v>67.954991530538138</v>
      </c>
      <c r="F199" s="2">
        <v>138.94861441758621</v>
      </c>
      <c r="G199" s="3"/>
      <c r="H199" s="5">
        <f t="shared" si="5"/>
        <v>5.4159138432396183</v>
      </c>
    </row>
    <row r="200" spans="2:8" x14ac:dyDescent="0.2">
      <c r="B200" s="1">
        <v>193</v>
      </c>
      <c r="C200" s="2">
        <v>2524.5</v>
      </c>
      <c r="D200" s="3"/>
      <c r="E200" s="2">
        <f t="shared" si="4"/>
        <v>46.090813464682903</v>
      </c>
      <c r="F200" s="2">
        <v>0</v>
      </c>
      <c r="G200" s="3"/>
      <c r="H200" s="5">
        <f t="shared" si="5"/>
        <v>0</v>
      </c>
    </row>
    <row r="201" spans="2:8" x14ac:dyDescent="0.2">
      <c r="B201" s="1">
        <v>194</v>
      </c>
      <c r="C201" s="2">
        <v>2376</v>
      </c>
      <c r="D201" s="3"/>
      <c r="E201" s="2">
        <f t="shared" ref="E201:E264" si="6">C201*$D$5</f>
        <v>43.379589143230966</v>
      </c>
      <c r="F201" s="2">
        <v>0</v>
      </c>
      <c r="G201" s="3"/>
      <c r="H201" s="5">
        <f t="shared" ref="H201:H264" si="7">$G$5*F201</f>
        <v>0</v>
      </c>
    </row>
    <row r="202" spans="2:8" x14ac:dyDescent="0.2">
      <c r="B202" s="1">
        <v>195</v>
      </c>
      <c r="C202" s="2">
        <v>2554.1999999999998</v>
      </c>
      <c r="D202" s="3"/>
      <c r="E202" s="2">
        <f t="shared" si="6"/>
        <v>46.633058328973291</v>
      </c>
      <c r="F202" s="2">
        <v>0</v>
      </c>
      <c r="G202" s="3"/>
      <c r="H202" s="5">
        <f t="shared" si="7"/>
        <v>0</v>
      </c>
    </row>
    <row r="203" spans="2:8" x14ac:dyDescent="0.2">
      <c r="B203" s="1">
        <v>196</v>
      </c>
      <c r="C203" s="2">
        <v>2673</v>
      </c>
      <c r="D203" s="3"/>
      <c r="E203" s="2">
        <f t="shared" si="6"/>
        <v>48.802037786134839</v>
      </c>
      <c r="F203" s="2">
        <v>0</v>
      </c>
      <c r="G203" s="3"/>
      <c r="H203" s="5">
        <f t="shared" si="7"/>
        <v>0</v>
      </c>
    </row>
    <row r="204" spans="2:8" x14ac:dyDescent="0.2">
      <c r="B204" s="1">
        <v>197</v>
      </c>
      <c r="C204" s="2">
        <v>2948.7857142857142</v>
      </c>
      <c r="D204" s="3"/>
      <c r="E204" s="2">
        <f t="shared" si="6"/>
        <v>53.837168668831289</v>
      </c>
      <c r="F204" s="2">
        <v>0</v>
      </c>
      <c r="G204" s="3"/>
      <c r="H204" s="5">
        <f t="shared" si="7"/>
        <v>0</v>
      </c>
    </row>
    <row r="205" spans="2:8" x14ac:dyDescent="0.2">
      <c r="B205" s="1">
        <v>198</v>
      </c>
      <c r="C205" s="2">
        <v>3139.7142857142858</v>
      </c>
      <c r="D205" s="3"/>
      <c r="E205" s="2">
        <f t="shared" si="6"/>
        <v>57.323028510698066</v>
      </c>
      <c r="F205" s="2">
        <v>0</v>
      </c>
      <c r="G205" s="3"/>
      <c r="H205" s="5">
        <f t="shared" si="7"/>
        <v>0</v>
      </c>
    </row>
    <row r="206" spans="2:8" x14ac:dyDescent="0.2">
      <c r="B206" s="1">
        <v>199</v>
      </c>
      <c r="C206" s="2">
        <v>3330.6428571428564</v>
      </c>
      <c r="D206" s="3"/>
      <c r="E206" s="2">
        <f t="shared" si="6"/>
        <v>60.808888352564828</v>
      </c>
      <c r="F206" s="2">
        <v>0</v>
      </c>
      <c r="G206" s="3"/>
      <c r="H206" s="5">
        <f t="shared" si="7"/>
        <v>0</v>
      </c>
    </row>
    <row r="207" spans="2:8" x14ac:dyDescent="0.2">
      <c r="B207" s="1">
        <v>200</v>
      </c>
      <c r="C207" s="2">
        <v>3521.5714285714284</v>
      </c>
      <c r="D207" s="3"/>
      <c r="E207" s="2">
        <f t="shared" si="6"/>
        <v>64.294748194431619</v>
      </c>
      <c r="F207" s="2">
        <v>0</v>
      </c>
      <c r="G207" s="3"/>
      <c r="H207" s="5">
        <f t="shared" si="7"/>
        <v>0</v>
      </c>
    </row>
    <row r="208" spans="2:8" x14ac:dyDescent="0.2">
      <c r="B208" s="1">
        <v>201</v>
      </c>
      <c r="C208" s="2">
        <v>3709.5603778306117</v>
      </c>
      <c r="D208" s="3"/>
      <c r="E208" s="2">
        <f t="shared" si="6"/>
        <v>67.726938170160182</v>
      </c>
      <c r="F208" s="2">
        <v>2.9396221693878033</v>
      </c>
      <c r="G208" s="3"/>
      <c r="H208" s="5">
        <f t="shared" si="7"/>
        <v>0.11458005873476672</v>
      </c>
    </row>
    <row r="209" spans="2:8" x14ac:dyDescent="0.2">
      <c r="B209" s="1">
        <v>202</v>
      </c>
      <c r="C209" s="2">
        <v>3703.7076192990153</v>
      </c>
      <c r="D209" s="3"/>
      <c r="E209" s="2">
        <f t="shared" si="6"/>
        <v>67.620081999934925</v>
      </c>
      <c r="F209" s="2">
        <v>199.72095212955628</v>
      </c>
      <c r="G209" s="3"/>
      <c r="H209" s="5">
        <f t="shared" si="7"/>
        <v>7.7846869791208073</v>
      </c>
    </row>
    <row r="210" spans="2:8" x14ac:dyDescent="0.2">
      <c r="B210" s="1">
        <v>203</v>
      </c>
      <c r="C210" s="2">
        <v>3697.8868188718238</v>
      </c>
      <c r="D210" s="3"/>
      <c r="E210" s="2">
        <f t="shared" si="6"/>
        <v>67.513809301695744</v>
      </c>
      <c r="F210" s="2">
        <v>396.47032398531837</v>
      </c>
      <c r="G210" s="3"/>
      <c r="H210" s="5">
        <f t="shared" si="7"/>
        <v>15.453548242320673</v>
      </c>
    </row>
    <row r="211" spans="2:8" x14ac:dyDescent="0.2">
      <c r="B211" s="1">
        <v>204</v>
      </c>
      <c r="C211" s="2">
        <v>3692.097866815714</v>
      </c>
      <c r="D211" s="3"/>
      <c r="E211" s="2">
        <f t="shared" si="6"/>
        <v>67.408118071997123</v>
      </c>
      <c r="F211" s="2">
        <v>593.18784746999972</v>
      </c>
      <c r="G211" s="3"/>
      <c r="H211" s="5">
        <f t="shared" si="7"/>
        <v>23.121168125499992</v>
      </c>
    </row>
    <row r="212" spans="2:8" x14ac:dyDescent="0.2">
      <c r="B212" s="1">
        <v>205</v>
      </c>
      <c r="C212" s="2">
        <v>3686.3406536991815</v>
      </c>
      <c r="D212" s="3"/>
      <c r="E212" s="2">
        <f t="shared" si="6"/>
        <v>67.303006312904031</v>
      </c>
      <c r="F212" s="2">
        <v>789.87363201510288</v>
      </c>
      <c r="G212" s="3"/>
      <c r="H212" s="5">
        <f t="shared" si="7"/>
        <v>30.787550894059983</v>
      </c>
    </row>
    <row r="213" spans="2:8" x14ac:dyDescent="0.2">
      <c r="B213" s="1">
        <v>206</v>
      </c>
      <c r="C213" s="2">
        <v>3679.7335623419453</v>
      </c>
      <c r="D213" s="3"/>
      <c r="E213" s="2">
        <f t="shared" si="6"/>
        <v>67.182377984407097</v>
      </c>
      <c r="F213" s="2">
        <v>987.40929480091154</v>
      </c>
      <c r="G213" s="3"/>
      <c r="H213" s="5">
        <f t="shared" si="7"/>
        <v>38.487060062247622</v>
      </c>
    </row>
    <row r="214" spans="2:8" x14ac:dyDescent="0.2">
      <c r="B214" s="1">
        <v>207</v>
      </c>
      <c r="C214" s="2">
        <v>3673.1596613617189</v>
      </c>
      <c r="D214" s="3"/>
      <c r="E214" s="2">
        <f t="shared" si="6"/>
        <v>67.06235562599359</v>
      </c>
      <c r="F214" s="2">
        <v>1184.9117672097095</v>
      </c>
      <c r="G214" s="3"/>
      <c r="H214" s="5">
        <f t="shared" si="7"/>
        <v>46.185275541951441</v>
      </c>
    </row>
    <row r="215" spans="2:8" x14ac:dyDescent="0.2">
      <c r="B215" s="1">
        <v>208</v>
      </c>
      <c r="C215" s="2">
        <v>3672.5040168179066</v>
      </c>
      <c r="D215" s="3"/>
      <c r="E215" s="2">
        <f t="shared" si="6"/>
        <v>67.050385259438627</v>
      </c>
      <c r="F215" s="2">
        <v>1376.4959831820934</v>
      </c>
      <c r="G215" s="3"/>
      <c r="H215" s="5">
        <f t="shared" si="7"/>
        <v>53.652810297733197</v>
      </c>
    </row>
    <row r="216" spans="2:8" x14ac:dyDescent="0.2">
      <c r="B216" s="1">
        <v>209</v>
      </c>
      <c r="C216" s="2">
        <v>3679.866164434743</v>
      </c>
      <c r="D216" s="3"/>
      <c r="E216" s="2">
        <f t="shared" si="6"/>
        <v>67.184798954232477</v>
      </c>
      <c r="F216" s="2">
        <v>1220.633835565256</v>
      </c>
      <c r="G216" s="3"/>
      <c r="H216" s="5">
        <f t="shared" si="7"/>
        <v>47.577643830954472</v>
      </c>
    </row>
    <row r="217" spans="2:8" x14ac:dyDescent="0.2">
      <c r="B217" s="1">
        <v>210</v>
      </c>
      <c r="C217" s="2">
        <v>3687.1938758468723</v>
      </c>
      <c r="D217" s="3"/>
      <c r="E217" s="2">
        <f t="shared" si="6"/>
        <v>67.318583933364778</v>
      </c>
      <c r="F217" s="2">
        <v>1510.3061241531277</v>
      </c>
      <c r="G217" s="3"/>
      <c r="H217" s="5">
        <f t="shared" si="7"/>
        <v>58.868437656728624</v>
      </c>
    </row>
    <row r="218" spans="2:8" x14ac:dyDescent="0.2">
      <c r="B218" s="1">
        <v>211</v>
      </c>
      <c r="C218" s="2">
        <v>3694.4867091360516</v>
      </c>
      <c r="D218" s="3"/>
      <c r="E218" s="2">
        <f t="shared" si="6"/>
        <v>67.451732128556131</v>
      </c>
      <c r="F218" s="2">
        <v>1800.0132908639484</v>
      </c>
      <c r="G218" s="3"/>
      <c r="H218" s="5">
        <f t="shared" si="7"/>
        <v>70.160590955641084</v>
      </c>
    </row>
    <row r="219" spans="2:8" x14ac:dyDescent="0.2">
      <c r="B219" s="1">
        <v>212</v>
      </c>
      <c r="C219" s="2">
        <v>3701.7440762978422</v>
      </c>
      <c r="D219" s="3"/>
      <c r="E219" s="2">
        <f t="shared" si="6"/>
        <v>67.584232804372661</v>
      </c>
      <c r="F219" s="2">
        <v>1941.2559237021569</v>
      </c>
      <c r="G219" s="3"/>
      <c r="H219" s="5">
        <f t="shared" si="7"/>
        <v>75.66592063201422</v>
      </c>
    </row>
    <row r="220" spans="2:8" x14ac:dyDescent="0.2">
      <c r="B220" s="1">
        <v>213</v>
      </c>
      <c r="C220" s="2">
        <v>3708.9655433084672</v>
      </c>
      <c r="D220" s="3"/>
      <c r="E220" s="2">
        <f t="shared" si="6"/>
        <v>67.716078036667398</v>
      </c>
      <c r="F220" s="2">
        <v>2379.5344566915319</v>
      </c>
      <c r="G220" s="3"/>
      <c r="H220" s="5">
        <f t="shared" si="7"/>
        <v>92.749061647571409</v>
      </c>
    </row>
    <row r="221" spans="2:8" x14ac:dyDescent="0.2">
      <c r="B221" s="1">
        <v>214</v>
      </c>
      <c r="C221" s="2">
        <v>3716.1507553285537</v>
      </c>
      <c r="D221" s="3"/>
      <c r="E221" s="2">
        <f t="shared" si="6"/>
        <v>67.847261346994983</v>
      </c>
      <c r="F221" s="2">
        <v>1629.8492446714463</v>
      </c>
      <c r="G221" s="3"/>
      <c r="H221" s="5">
        <f t="shared" si="7"/>
        <v>63.527967685099171</v>
      </c>
    </row>
    <row r="222" spans="2:8" x14ac:dyDescent="0.2">
      <c r="B222" s="1">
        <v>215</v>
      </c>
      <c r="C222" s="2">
        <v>3715.2786855777854</v>
      </c>
      <c r="D222" s="3"/>
      <c r="E222" s="2">
        <f t="shared" si="6"/>
        <v>67.831339618252329</v>
      </c>
      <c r="F222" s="2">
        <v>888.2213144222128</v>
      </c>
      <c r="G222" s="3"/>
      <c r="H222" s="5">
        <f t="shared" si="7"/>
        <v>34.620928987334338</v>
      </c>
    </row>
    <row r="223" spans="2:8" x14ac:dyDescent="0.2">
      <c r="B223" s="1">
        <v>216</v>
      </c>
      <c r="C223" s="2">
        <v>3708.5670618214399</v>
      </c>
      <c r="D223" s="3"/>
      <c r="E223" s="2">
        <f t="shared" si="6"/>
        <v>67.708802799635237</v>
      </c>
      <c r="F223" s="2">
        <v>152.4329381785592</v>
      </c>
      <c r="G223" s="3"/>
      <c r="H223" s="5">
        <f t="shared" si="7"/>
        <v>5.9415033644441957</v>
      </c>
    </row>
    <row r="224" spans="2:8" x14ac:dyDescent="0.2">
      <c r="B224" s="1">
        <v>217</v>
      </c>
      <c r="C224" s="2">
        <v>2524.5</v>
      </c>
      <c r="D224" s="3"/>
      <c r="E224" s="2">
        <f t="shared" si="6"/>
        <v>46.090813464682903</v>
      </c>
      <c r="F224" s="2">
        <v>0</v>
      </c>
      <c r="G224" s="3"/>
      <c r="H224" s="5">
        <f t="shared" si="7"/>
        <v>0</v>
      </c>
    </row>
    <row r="225" spans="2:8" x14ac:dyDescent="0.2">
      <c r="B225" s="1">
        <v>218</v>
      </c>
      <c r="C225" s="2">
        <v>2376</v>
      </c>
      <c r="D225" s="3"/>
      <c r="E225" s="2">
        <f t="shared" si="6"/>
        <v>43.379589143230966</v>
      </c>
      <c r="F225" s="2">
        <v>0</v>
      </c>
      <c r="G225" s="3"/>
      <c r="H225" s="5">
        <f t="shared" si="7"/>
        <v>0</v>
      </c>
    </row>
    <row r="226" spans="2:8" x14ac:dyDescent="0.2">
      <c r="B226" s="1">
        <v>219</v>
      </c>
      <c r="C226" s="2">
        <v>2524.5</v>
      </c>
      <c r="D226" s="3"/>
      <c r="E226" s="2">
        <f t="shared" si="6"/>
        <v>46.090813464682903</v>
      </c>
      <c r="F226" s="2">
        <v>0</v>
      </c>
      <c r="G226" s="3"/>
      <c r="H226" s="5">
        <f t="shared" si="7"/>
        <v>0</v>
      </c>
    </row>
    <row r="227" spans="2:8" x14ac:dyDescent="0.2">
      <c r="B227" s="1">
        <v>220</v>
      </c>
      <c r="C227" s="2">
        <v>2673</v>
      </c>
      <c r="D227" s="3"/>
      <c r="E227" s="2">
        <f t="shared" si="6"/>
        <v>48.802037786134839</v>
      </c>
      <c r="F227" s="2">
        <v>0</v>
      </c>
      <c r="G227" s="3"/>
      <c r="H227" s="5">
        <f t="shared" si="7"/>
        <v>0</v>
      </c>
    </row>
    <row r="228" spans="2:8" x14ac:dyDescent="0.2">
      <c r="B228" s="1">
        <v>221</v>
      </c>
      <c r="C228" s="2">
        <v>2992.8461538461534</v>
      </c>
      <c r="D228" s="3"/>
      <c r="E228" s="2">
        <f t="shared" si="6"/>
        <v>54.641597863108231</v>
      </c>
      <c r="F228" s="2">
        <v>0</v>
      </c>
      <c r="G228" s="3"/>
      <c r="H228" s="5">
        <f t="shared" si="7"/>
        <v>0</v>
      </c>
    </row>
    <row r="229" spans="2:8" x14ac:dyDescent="0.2">
      <c r="B229" s="1">
        <v>222</v>
      </c>
      <c r="C229" s="2">
        <v>3198.4615384615386</v>
      </c>
      <c r="D229" s="3"/>
      <c r="E229" s="2">
        <f t="shared" si="6"/>
        <v>58.395600769734003</v>
      </c>
      <c r="F229" s="2">
        <v>0</v>
      </c>
      <c r="G229" s="3"/>
      <c r="H229" s="5">
        <f t="shared" si="7"/>
        <v>0</v>
      </c>
    </row>
    <row r="230" spans="2:8" x14ac:dyDescent="0.2">
      <c r="B230" s="1">
        <v>223</v>
      </c>
      <c r="C230" s="2">
        <v>3404.0769230769229</v>
      </c>
      <c r="D230" s="3"/>
      <c r="E230" s="2">
        <f t="shared" si="6"/>
        <v>62.149603676359753</v>
      </c>
      <c r="F230" s="2">
        <v>0</v>
      </c>
      <c r="G230" s="3"/>
      <c r="H230" s="5">
        <f t="shared" si="7"/>
        <v>0</v>
      </c>
    </row>
    <row r="231" spans="2:8" x14ac:dyDescent="0.2">
      <c r="B231" s="1">
        <v>224</v>
      </c>
      <c r="C231" s="2">
        <v>3609.6923076923063</v>
      </c>
      <c r="D231" s="3"/>
      <c r="E231" s="2">
        <f t="shared" si="6"/>
        <v>65.903606582985489</v>
      </c>
      <c r="F231" s="2">
        <v>0</v>
      </c>
      <c r="G231" s="3"/>
      <c r="H231" s="5">
        <f t="shared" si="7"/>
        <v>0</v>
      </c>
    </row>
    <row r="232" spans="2:8" x14ac:dyDescent="0.2">
      <c r="B232" s="1">
        <v>225</v>
      </c>
      <c r="C232" s="2">
        <v>3688.5069705267197</v>
      </c>
      <c r="D232" s="3"/>
      <c r="E232" s="2">
        <f t="shared" si="6"/>
        <v>67.342557631899254</v>
      </c>
      <c r="F232" s="2">
        <v>126.8007217809718</v>
      </c>
      <c r="G232" s="3"/>
      <c r="H232" s="5">
        <f t="shared" si="7"/>
        <v>4.9424154915460763</v>
      </c>
    </row>
    <row r="233" spans="2:8" x14ac:dyDescent="0.2">
      <c r="B233" s="1">
        <v>226</v>
      </c>
      <c r="C233" s="2">
        <v>3681.9462648902199</v>
      </c>
      <c r="D233" s="3"/>
      <c r="E233" s="2">
        <f t="shared" si="6"/>
        <v>67.222776186191751</v>
      </c>
      <c r="F233" s="2">
        <v>338.97681203285629</v>
      </c>
      <c r="G233" s="3"/>
      <c r="H233" s="5">
        <f t="shared" si="7"/>
        <v>13.212576581070399</v>
      </c>
    </row>
    <row r="234" spans="2:8" x14ac:dyDescent="0.2">
      <c r="B234" s="1">
        <v>227</v>
      </c>
      <c r="C234" s="2">
        <v>3675.4185229729483</v>
      </c>
      <c r="D234" s="3"/>
      <c r="E234" s="2">
        <f t="shared" si="6"/>
        <v>67.103596572385229</v>
      </c>
      <c r="F234" s="2">
        <v>551.11993856551271</v>
      </c>
      <c r="G234" s="3"/>
      <c r="H234" s="5">
        <f t="shared" si="7"/>
        <v>21.481452816736766</v>
      </c>
    </row>
    <row r="235" spans="2:8" x14ac:dyDescent="0.2">
      <c r="B235" s="1">
        <v>228</v>
      </c>
      <c r="C235" s="2">
        <v>3668.9236348991985</v>
      </c>
      <c r="D235" s="3"/>
      <c r="E235" s="2">
        <f t="shared" si="6"/>
        <v>66.985016784434677</v>
      </c>
      <c r="F235" s="2">
        <v>763.2302112546472</v>
      </c>
      <c r="G235" s="3"/>
      <c r="H235" s="5">
        <f t="shared" si="7"/>
        <v>29.749048481260488</v>
      </c>
    </row>
    <row r="236" spans="2:8" x14ac:dyDescent="0.2">
      <c r="B236" s="1">
        <v>229</v>
      </c>
      <c r="C236" s="2">
        <v>3662.4614910893702</v>
      </c>
      <c r="D236" s="3"/>
      <c r="E236" s="2">
        <f t="shared" si="6"/>
        <v>66.867034821701154</v>
      </c>
      <c r="F236" s="2">
        <v>975.30773967985942</v>
      </c>
      <c r="G236" s="3"/>
      <c r="H236" s="5">
        <f t="shared" si="7"/>
        <v>38.015367845815284</v>
      </c>
    </row>
    <row r="237" spans="2:8" x14ac:dyDescent="0.2">
      <c r="B237" s="1">
        <v>230</v>
      </c>
      <c r="C237" s="2">
        <v>3656.0319822593174</v>
      </c>
      <c r="D237" s="3"/>
      <c r="E237" s="2">
        <f t="shared" si="6"/>
        <v>66.749648688940013</v>
      </c>
      <c r="F237" s="2">
        <v>1187.3526331252979</v>
      </c>
      <c r="G237" s="3"/>
      <c r="H237" s="5">
        <f t="shared" si="7"/>
        <v>46.280415170058838</v>
      </c>
    </row>
    <row r="238" spans="2:8" x14ac:dyDescent="0.2">
      <c r="B238" s="1">
        <v>231</v>
      </c>
      <c r="C238" s="2">
        <v>3649.6349994196735</v>
      </c>
      <c r="D238" s="3"/>
      <c r="E238" s="2">
        <f t="shared" si="6"/>
        <v>66.632856396288489</v>
      </c>
      <c r="F238" s="2">
        <v>1399.3650005803265</v>
      </c>
      <c r="G238" s="3"/>
      <c r="H238" s="5">
        <f t="shared" si="7"/>
        <v>54.544194702158769</v>
      </c>
    </row>
    <row r="239" spans="2:8" x14ac:dyDescent="0.2">
      <c r="B239" s="1">
        <v>232</v>
      </c>
      <c r="C239" s="2">
        <v>3649.8039065213493</v>
      </c>
      <c r="D239" s="3"/>
      <c r="E239" s="2">
        <f t="shared" si="6"/>
        <v>66.63594020128599</v>
      </c>
      <c r="F239" s="2">
        <v>1250.6960934786498</v>
      </c>
      <c r="G239" s="3"/>
      <c r="H239" s="5">
        <f t="shared" si="7"/>
        <v>48.749405057035347</v>
      </c>
    </row>
    <row r="240" spans="2:8" x14ac:dyDescent="0.2">
      <c r="B240" s="1">
        <v>233</v>
      </c>
      <c r="C240" s="2">
        <v>3658.1569334868277</v>
      </c>
      <c r="D240" s="3"/>
      <c r="E240" s="2">
        <f t="shared" si="6"/>
        <v>66.788444779511906</v>
      </c>
      <c r="F240" s="2">
        <v>1509.6430665131725</v>
      </c>
      <c r="G240" s="3"/>
      <c r="H240" s="5">
        <f t="shared" si="7"/>
        <v>58.842593116528271</v>
      </c>
    </row>
    <row r="241" spans="2:8" x14ac:dyDescent="0.2">
      <c r="B241" s="1">
        <v>234</v>
      </c>
      <c r="C241" s="2">
        <v>3666.4752723370971</v>
      </c>
      <c r="D241" s="3"/>
      <c r="E241" s="2">
        <f t="shared" si="6"/>
        <v>66.940316042844756</v>
      </c>
      <c r="F241" s="2">
        <v>1768.6247276629033</v>
      </c>
      <c r="G241" s="3"/>
      <c r="H241" s="5">
        <f t="shared" si="7"/>
        <v>68.93713324307231</v>
      </c>
    </row>
    <row r="242" spans="2:8" x14ac:dyDescent="0.2">
      <c r="B242" s="1">
        <v>235</v>
      </c>
      <c r="C242" s="2">
        <v>3674.7582275080526</v>
      </c>
      <c r="D242" s="3"/>
      <c r="E242" s="2">
        <f t="shared" si="6"/>
        <v>67.091541292090483</v>
      </c>
      <c r="F242" s="2">
        <v>2265.2417724919464</v>
      </c>
      <c r="G242" s="3"/>
      <c r="H242" s="5">
        <f t="shared" si="7"/>
        <v>88.294182171931197</v>
      </c>
    </row>
    <row r="243" spans="2:8" x14ac:dyDescent="0.2">
      <c r="B243" s="1">
        <v>236</v>
      </c>
      <c r="C243" s="2">
        <v>3683.0048837340419</v>
      </c>
      <c r="D243" s="3"/>
      <c r="E243" s="2">
        <f t="shared" si="6"/>
        <v>67.242103816875371</v>
      </c>
      <c r="F243" s="2">
        <v>2256.9951162659572</v>
      </c>
      <c r="G243" s="3"/>
      <c r="H243" s="5">
        <f t="shared" si="7"/>
        <v>87.972745504124319</v>
      </c>
    </row>
    <row r="244" spans="2:8" x14ac:dyDescent="0.2">
      <c r="B244" s="1">
        <v>237</v>
      </c>
      <c r="C244" s="2">
        <v>3691.2150813796729</v>
      </c>
      <c r="D244" s="3"/>
      <c r="E244" s="2">
        <f t="shared" si="6"/>
        <v>67.392000702671751</v>
      </c>
      <c r="F244" s="2">
        <v>2545.7849186203271</v>
      </c>
      <c r="G244" s="3"/>
      <c r="H244" s="5">
        <f t="shared" si="7"/>
        <v>99.229141941853072</v>
      </c>
    </row>
    <row r="245" spans="2:8" x14ac:dyDescent="0.2">
      <c r="B245" s="1">
        <v>238</v>
      </c>
      <c r="C245" s="2">
        <v>3699.3888577368089</v>
      </c>
      <c r="D245" s="3"/>
      <c r="E245" s="2">
        <f t="shared" si="6"/>
        <v>67.541232630332189</v>
      </c>
      <c r="F245" s="2">
        <v>1765.4111422631913</v>
      </c>
      <c r="G245" s="3"/>
      <c r="H245" s="5">
        <f t="shared" si="7"/>
        <v>68.811874695330147</v>
      </c>
    </row>
    <row r="246" spans="2:8" x14ac:dyDescent="0.2">
      <c r="B246" s="1">
        <v>239</v>
      </c>
      <c r="C246" s="2">
        <v>3699.5132855736906</v>
      </c>
      <c r="D246" s="3"/>
      <c r="E246" s="2">
        <f t="shared" si="6"/>
        <v>67.543504359474412</v>
      </c>
      <c r="F246" s="2">
        <v>993.08671442630975</v>
      </c>
      <c r="G246" s="3"/>
      <c r="H246" s="5">
        <f t="shared" si="7"/>
        <v>38.708353492714409</v>
      </c>
    </row>
    <row r="247" spans="2:8" x14ac:dyDescent="0.2">
      <c r="B247" s="1">
        <v>240</v>
      </c>
      <c r="C247" s="2">
        <v>3693.8433699813822</v>
      </c>
      <c r="D247" s="3"/>
      <c r="E247" s="2">
        <f t="shared" si="6"/>
        <v>67.439986426447845</v>
      </c>
      <c r="F247" s="2">
        <v>226.5566300186174</v>
      </c>
      <c r="G247" s="3"/>
      <c r="H247" s="5">
        <f t="shared" si="7"/>
        <v>8.8306831553424132</v>
      </c>
    </row>
    <row r="248" spans="2:8" x14ac:dyDescent="0.2">
      <c r="B248" s="1">
        <v>241</v>
      </c>
      <c r="C248" s="2">
        <v>2524.5</v>
      </c>
      <c r="D248" s="3"/>
      <c r="E248" s="2">
        <f t="shared" si="6"/>
        <v>46.090813464682903</v>
      </c>
      <c r="F248" s="2">
        <v>0</v>
      </c>
      <c r="G248" s="3"/>
      <c r="H248" s="5">
        <f t="shared" si="7"/>
        <v>0</v>
      </c>
    </row>
    <row r="249" spans="2:8" x14ac:dyDescent="0.2">
      <c r="B249" s="1">
        <v>242</v>
      </c>
      <c r="C249" s="2">
        <v>2376</v>
      </c>
      <c r="D249" s="3"/>
      <c r="E249" s="2">
        <f t="shared" si="6"/>
        <v>43.379589143230966</v>
      </c>
      <c r="F249" s="2">
        <v>0</v>
      </c>
      <c r="G249" s="3"/>
      <c r="H249" s="5">
        <f t="shared" si="7"/>
        <v>0</v>
      </c>
    </row>
    <row r="250" spans="2:8" x14ac:dyDescent="0.2">
      <c r="B250" s="1">
        <v>243</v>
      </c>
      <c r="C250" s="2">
        <v>2524.5</v>
      </c>
      <c r="D250" s="3"/>
      <c r="E250" s="2">
        <f t="shared" si="6"/>
        <v>46.090813464682903</v>
      </c>
      <c r="F250" s="2">
        <v>0</v>
      </c>
      <c r="G250" s="3"/>
      <c r="H250" s="5">
        <f t="shared" si="7"/>
        <v>0</v>
      </c>
    </row>
    <row r="251" spans="2:8" x14ac:dyDescent="0.2">
      <c r="B251" s="1">
        <v>244</v>
      </c>
      <c r="C251" s="2">
        <v>2673</v>
      </c>
      <c r="D251" s="3"/>
      <c r="E251" s="2">
        <f t="shared" si="6"/>
        <v>48.802037786134839</v>
      </c>
      <c r="F251" s="2">
        <v>0</v>
      </c>
      <c r="G251" s="3"/>
      <c r="H251" s="5">
        <f t="shared" si="7"/>
        <v>0</v>
      </c>
    </row>
    <row r="252" spans="2:8" x14ac:dyDescent="0.2">
      <c r="B252" s="1">
        <v>245</v>
      </c>
      <c r="C252" s="2">
        <v>2969.9999999999995</v>
      </c>
      <c r="D252" s="3"/>
      <c r="E252" s="2">
        <f t="shared" si="6"/>
        <v>54.224486429038706</v>
      </c>
      <c r="F252" s="2">
        <v>0</v>
      </c>
      <c r="G252" s="3"/>
      <c r="H252" s="5">
        <f t="shared" si="7"/>
        <v>0</v>
      </c>
    </row>
    <row r="253" spans="2:8" x14ac:dyDescent="0.2">
      <c r="B253" s="1">
        <v>246</v>
      </c>
      <c r="C253" s="2">
        <v>3167.9999999999995</v>
      </c>
      <c r="D253" s="3"/>
      <c r="E253" s="2">
        <f t="shared" si="6"/>
        <v>57.839452190974619</v>
      </c>
      <c r="F253" s="2">
        <v>0</v>
      </c>
      <c r="G253" s="3"/>
      <c r="H253" s="5">
        <f t="shared" si="7"/>
        <v>0</v>
      </c>
    </row>
    <row r="254" spans="2:8" x14ac:dyDescent="0.2">
      <c r="B254" s="1">
        <v>247</v>
      </c>
      <c r="C254" s="2">
        <v>3365.9999999999995</v>
      </c>
      <c r="D254" s="3"/>
      <c r="E254" s="2">
        <f t="shared" si="6"/>
        <v>61.454417952910532</v>
      </c>
      <c r="F254" s="2">
        <v>0</v>
      </c>
      <c r="G254" s="3"/>
      <c r="H254" s="5">
        <f t="shared" si="7"/>
        <v>0</v>
      </c>
    </row>
    <row r="255" spans="2:8" x14ac:dyDescent="0.2">
      <c r="B255" s="1">
        <v>248</v>
      </c>
      <c r="C255" s="2">
        <v>3563.9999999999995</v>
      </c>
      <c r="D255" s="3"/>
      <c r="E255" s="2">
        <f t="shared" si="6"/>
        <v>65.069383714846452</v>
      </c>
      <c r="F255" s="2">
        <v>0</v>
      </c>
      <c r="G255" s="3"/>
      <c r="H255" s="5">
        <f t="shared" si="7"/>
        <v>0</v>
      </c>
    </row>
    <row r="256" spans="2:8" x14ac:dyDescent="0.2">
      <c r="B256" s="1">
        <v>249</v>
      </c>
      <c r="C256" s="2">
        <v>3691.0515321247517</v>
      </c>
      <c r="D256" s="3"/>
      <c r="E256" s="2">
        <f t="shared" si="6"/>
        <v>67.389014718040784</v>
      </c>
      <c r="F256" s="2">
        <v>70.948467875247388</v>
      </c>
      <c r="G256" s="3"/>
      <c r="H256" s="5">
        <f t="shared" si="7"/>
        <v>2.7654164881946492</v>
      </c>
    </row>
    <row r="257" spans="2:8" x14ac:dyDescent="0.2">
      <c r="B257" s="1">
        <v>250</v>
      </c>
      <c r="C257" s="2">
        <v>3699.3004024637848</v>
      </c>
      <c r="D257" s="3"/>
      <c r="E257" s="2">
        <f t="shared" si="6"/>
        <v>67.539617666779449</v>
      </c>
      <c r="F257" s="2">
        <v>260.6995975362147</v>
      </c>
      <c r="G257" s="3"/>
      <c r="H257" s="5">
        <f t="shared" si="7"/>
        <v>10.16150153883564</v>
      </c>
    </row>
    <row r="258" spans="2:8" x14ac:dyDescent="0.2">
      <c r="B258" s="1">
        <v>251</v>
      </c>
      <c r="C258" s="2">
        <v>3707.5203037972587</v>
      </c>
      <c r="D258" s="3"/>
      <c r="E258" s="2">
        <f t="shared" si="6"/>
        <v>67.689691716713781</v>
      </c>
      <c r="F258" s="2">
        <v>450.47969620274125</v>
      </c>
      <c r="G258" s="3"/>
      <c r="H258" s="5">
        <f t="shared" si="7"/>
        <v>17.558715738111115</v>
      </c>
    </row>
    <row r="259" spans="2:8" x14ac:dyDescent="0.2">
      <c r="B259" s="1">
        <v>252</v>
      </c>
      <c r="C259" s="2">
        <v>3715.7108362274316</v>
      </c>
      <c r="D259" s="3"/>
      <c r="E259" s="2">
        <f t="shared" si="6"/>
        <v>67.839229566749651</v>
      </c>
      <c r="F259" s="2">
        <v>640.28916377256837</v>
      </c>
      <c r="G259" s="3"/>
      <c r="H259" s="5">
        <f t="shared" si="7"/>
        <v>24.95707467316257</v>
      </c>
    </row>
    <row r="260" spans="2:8" x14ac:dyDescent="0.2">
      <c r="B260" s="1">
        <v>253</v>
      </c>
      <c r="C260" s="2">
        <v>3723.8716022167678</v>
      </c>
      <c r="D260" s="3"/>
      <c r="E260" s="2">
        <f t="shared" si="6"/>
        <v>67.988223958884092</v>
      </c>
      <c r="F260" s="2">
        <v>830.12839778323132</v>
      </c>
      <c r="G260" s="3"/>
      <c r="H260" s="5">
        <f t="shared" si="7"/>
        <v>32.356593839135812</v>
      </c>
    </row>
    <row r="261" spans="2:8" x14ac:dyDescent="0.2">
      <c r="B261" s="1">
        <v>254</v>
      </c>
      <c r="C261" s="2">
        <v>3732.0022066219117</v>
      </c>
      <c r="D261" s="3"/>
      <c r="E261" s="2">
        <f t="shared" si="6"/>
        <v>68.136667678825717</v>
      </c>
      <c r="F261" s="2">
        <v>1019.9977933780883</v>
      </c>
      <c r="G261" s="3"/>
      <c r="H261" s="5">
        <f t="shared" si="7"/>
        <v>39.757288637856846</v>
      </c>
    </row>
    <row r="262" spans="2:8" x14ac:dyDescent="0.2">
      <c r="B262" s="1">
        <v>255</v>
      </c>
      <c r="C262" s="2">
        <v>3740.1024318747754</v>
      </c>
      <c r="D262" s="3"/>
      <c r="E262" s="2">
        <f t="shared" si="6"/>
        <v>68.284556754346283</v>
      </c>
      <c r="F262" s="2">
        <v>863.39756812522455</v>
      </c>
      <c r="G262" s="3"/>
      <c r="H262" s="5">
        <f t="shared" si="7"/>
        <v>33.653353515103426</v>
      </c>
    </row>
    <row r="263" spans="2:8" x14ac:dyDescent="0.2">
      <c r="B263" s="1">
        <v>256</v>
      </c>
      <c r="C263" s="2">
        <v>3748.1725110924617</v>
      </c>
      <c r="D263" s="3"/>
      <c r="E263" s="2">
        <f t="shared" si="6"/>
        <v>68.431895441558638</v>
      </c>
      <c r="F263" s="2">
        <v>1201.8274889075383</v>
      </c>
      <c r="G263" s="3"/>
      <c r="H263" s="5">
        <f t="shared" si="7"/>
        <v>46.844613468390413</v>
      </c>
    </row>
    <row r="264" spans="2:8" x14ac:dyDescent="0.2">
      <c r="B264" s="1">
        <v>257</v>
      </c>
      <c r="C264" s="2">
        <v>3756.2118513137352</v>
      </c>
      <c r="D264" s="3"/>
      <c r="E264" s="2">
        <f t="shared" si="6"/>
        <v>68.578672914530642</v>
      </c>
      <c r="F264" s="2">
        <v>1540.2881486862648</v>
      </c>
      <c r="G264" s="3"/>
      <c r="H264" s="5">
        <f t="shared" si="7"/>
        <v>60.03707156069374</v>
      </c>
    </row>
    <row r="265" spans="2:8" x14ac:dyDescent="0.2">
      <c r="B265" s="1">
        <v>258</v>
      </c>
      <c r="C265" s="2">
        <v>3763.6903080473157</v>
      </c>
      <c r="D265" s="3"/>
      <c r="E265" s="2">
        <f t="shared" ref="E265:E328" si="8">C265*$D$5</f>
        <v>68.715210111722627</v>
      </c>
      <c r="F265" s="2">
        <v>1879.3096919526834</v>
      </c>
      <c r="G265" s="3"/>
      <c r="H265" s="5">
        <f t="shared" ref="H265:H328" si="9">$G$5*F265</f>
        <v>73.251391667657444</v>
      </c>
    </row>
    <row r="266" spans="2:8" x14ac:dyDescent="0.2">
      <c r="B266" s="1">
        <v>259</v>
      </c>
      <c r="C266" s="2">
        <v>3769.0225167617268</v>
      </c>
      <c r="D266" s="3"/>
      <c r="E266" s="2">
        <f t="shared" si="8"/>
        <v>68.812562394238242</v>
      </c>
      <c r="F266" s="2">
        <v>1465.6024832382732</v>
      </c>
      <c r="G266" s="3"/>
      <c r="H266" s="5">
        <f t="shared" si="9"/>
        <v>57.125987264626474</v>
      </c>
    </row>
    <row r="267" spans="2:8" x14ac:dyDescent="0.2">
      <c r="B267" s="1">
        <v>260</v>
      </c>
      <c r="C267" s="2">
        <v>3774.3287684462248</v>
      </c>
      <c r="D267" s="3"/>
      <c r="E267" s="2">
        <f t="shared" si="8"/>
        <v>68.909440768802256</v>
      </c>
      <c r="F267" s="2">
        <v>1051.9212315537752</v>
      </c>
      <c r="G267" s="3"/>
      <c r="H267" s="5">
        <f t="shared" si="9"/>
        <v>41.001594609990562</v>
      </c>
    </row>
    <row r="268" spans="2:8" x14ac:dyDescent="0.2">
      <c r="B268" s="1">
        <v>261</v>
      </c>
      <c r="C268" s="2">
        <v>3779.6104980491154</v>
      </c>
      <c r="D268" s="3"/>
      <c r="E268" s="2">
        <f t="shared" si="8"/>
        <v>69.005871433843936</v>
      </c>
      <c r="F268" s="2">
        <v>638.26450195088455</v>
      </c>
      <c r="G268" s="3"/>
      <c r="H268" s="5">
        <f t="shared" si="9"/>
        <v>24.878157772595419</v>
      </c>
    </row>
    <row r="269" spans="2:8" x14ac:dyDescent="0.2">
      <c r="B269" s="1">
        <v>262</v>
      </c>
      <c r="C269" s="2">
        <v>3784.8691317787147</v>
      </c>
      <c r="D269" s="3"/>
      <c r="E269" s="2">
        <f t="shared" si="8"/>
        <v>69.101880428223041</v>
      </c>
      <c r="F269" s="2">
        <v>224.63086822128525</v>
      </c>
      <c r="G269" s="3"/>
      <c r="H269" s="5">
        <f t="shared" si="9"/>
        <v>8.7556211619524795</v>
      </c>
    </row>
    <row r="270" spans="2:8" x14ac:dyDescent="0.2">
      <c r="B270" s="1">
        <v>263</v>
      </c>
      <c r="C270" s="2">
        <v>3601.1250000000005</v>
      </c>
      <c r="D270" s="3"/>
      <c r="E270" s="2">
        <f t="shared" si="8"/>
        <v>65.747189795209451</v>
      </c>
      <c r="F270" s="2">
        <v>0</v>
      </c>
      <c r="G270" s="3"/>
      <c r="H270" s="5">
        <f t="shared" si="9"/>
        <v>0</v>
      </c>
    </row>
    <row r="271" spans="2:8" x14ac:dyDescent="0.2">
      <c r="B271" s="1">
        <v>264</v>
      </c>
      <c r="C271" s="2">
        <v>2969.9999999999995</v>
      </c>
      <c r="D271" s="3"/>
      <c r="E271" s="2">
        <f t="shared" si="8"/>
        <v>54.224486429038706</v>
      </c>
      <c r="F271" s="2">
        <v>0</v>
      </c>
      <c r="G271" s="3"/>
      <c r="H271" s="5">
        <f t="shared" si="9"/>
        <v>0</v>
      </c>
    </row>
    <row r="272" spans="2:8" x14ac:dyDescent="0.2">
      <c r="B272" s="1">
        <v>265</v>
      </c>
      <c r="C272" s="2">
        <v>2524.5</v>
      </c>
      <c r="D272" s="3"/>
      <c r="E272" s="2">
        <f t="shared" si="8"/>
        <v>46.090813464682903</v>
      </c>
      <c r="F272" s="2">
        <v>0</v>
      </c>
      <c r="G272" s="3"/>
      <c r="H272" s="5">
        <f t="shared" si="9"/>
        <v>0</v>
      </c>
    </row>
    <row r="273" spans="2:8" x14ac:dyDescent="0.2">
      <c r="B273" s="1">
        <v>266</v>
      </c>
      <c r="C273" s="2">
        <v>2376</v>
      </c>
      <c r="D273" s="3"/>
      <c r="E273" s="2">
        <f t="shared" si="8"/>
        <v>43.379589143230966</v>
      </c>
      <c r="F273" s="2">
        <v>0</v>
      </c>
      <c r="G273" s="3"/>
      <c r="H273" s="5">
        <f t="shared" si="9"/>
        <v>0</v>
      </c>
    </row>
    <row r="274" spans="2:8" x14ac:dyDescent="0.2">
      <c r="B274" s="1">
        <v>267</v>
      </c>
      <c r="C274" s="2">
        <v>2524.5</v>
      </c>
      <c r="D274" s="3"/>
      <c r="E274" s="2">
        <f t="shared" si="8"/>
        <v>46.090813464682903</v>
      </c>
      <c r="F274" s="2">
        <v>0</v>
      </c>
      <c r="G274" s="3"/>
      <c r="H274" s="5">
        <f t="shared" si="9"/>
        <v>0</v>
      </c>
    </row>
    <row r="275" spans="2:8" x14ac:dyDescent="0.2">
      <c r="B275" s="1">
        <v>268</v>
      </c>
      <c r="C275" s="2">
        <v>2673</v>
      </c>
      <c r="D275" s="3"/>
      <c r="E275" s="2">
        <f t="shared" si="8"/>
        <v>48.802037786134839</v>
      </c>
      <c r="F275" s="2">
        <v>0</v>
      </c>
      <c r="G275" s="3"/>
      <c r="H275" s="5">
        <f t="shared" si="9"/>
        <v>0</v>
      </c>
    </row>
    <row r="276" spans="2:8" x14ac:dyDescent="0.2">
      <c r="B276" s="1">
        <v>269</v>
      </c>
      <c r="C276" s="2">
        <v>2943</v>
      </c>
      <c r="D276" s="3"/>
      <c r="E276" s="2">
        <f t="shared" si="8"/>
        <v>53.731536552411086</v>
      </c>
      <c r="F276" s="2">
        <v>0</v>
      </c>
      <c r="G276" s="3"/>
      <c r="H276" s="5">
        <f t="shared" si="9"/>
        <v>0</v>
      </c>
    </row>
    <row r="277" spans="2:8" x14ac:dyDescent="0.2">
      <c r="B277" s="1">
        <v>270</v>
      </c>
      <c r="C277" s="2">
        <v>3131.9999999999995</v>
      </c>
      <c r="D277" s="3"/>
      <c r="E277" s="2">
        <f t="shared" si="8"/>
        <v>57.182185688804452</v>
      </c>
      <c r="F277" s="2">
        <v>0</v>
      </c>
      <c r="G277" s="3"/>
      <c r="H277" s="5">
        <f t="shared" si="9"/>
        <v>0</v>
      </c>
    </row>
    <row r="278" spans="2:8" x14ac:dyDescent="0.2">
      <c r="B278" s="1">
        <v>271</v>
      </c>
      <c r="C278" s="2">
        <v>3321</v>
      </c>
      <c r="D278" s="3"/>
      <c r="E278" s="2">
        <f t="shared" si="8"/>
        <v>60.632834825197833</v>
      </c>
      <c r="F278" s="2">
        <v>0</v>
      </c>
      <c r="G278" s="3"/>
      <c r="H278" s="5">
        <f t="shared" si="9"/>
        <v>0</v>
      </c>
    </row>
    <row r="279" spans="2:8" x14ac:dyDescent="0.2">
      <c r="B279" s="1">
        <v>272</v>
      </c>
      <c r="C279" s="2">
        <v>3510</v>
      </c>
      <c r="D279" s="3"/>
      <c r="E279" s="2">
        <f t="shared" si="8"/>
        <v>64.083483961591199</v>
      </c>
      <c r="F279" s="2">
        <v>0</v>
      </c>
      <c r="G279" s="3"/>
      <c r="H279" s="5">
        <f t="shared" si="9"/>
        <v>0</v>
      </c>
    </row>
    <row r="280" spans="2:8" x14ac:dyDescent="0.2">
      <c r="B280" s="1">
        <v>273</v>
      </c>
      <c r="C280" s="2">
        <v>3699</v>
      </c>
      <c r="D280" s="3"/>
      <c r="E280" s="2">
        <f t="shared" si="8"/>
        <v>67.534133097984579</v>
      </c>
      <c r="F280" s="2">
        <v>0</v>
      </c>
      <c r="G280" s="3"/>
      <c r="H280" s="5">
        <f t="shared" si="9"/>
        <v>0</v>
      </c>
    </row>
    <row r="281" spans="2:8" x14ac:dyDescent="0.2">
      <c r="B281" s="1">
        <v>274</v>
      </c>
      <c r="C281" s="2">
        <v>3754.0297544169098</v>
      </c>
      <c r="D281" s="3"/>
      <c r="E281" s="2">
        <f t="shared" si="8"/>
        <v>68.53883349245362</v>
      </c>
      <c r="F281" s="2">
        <v>133.97024558308976</v>
      </c>
      <c r="G281" s="3"/>
      <c r="H281" s="5">
        <f t="shared" si="9"/>
        <v>5.2218678874701636</v>
      </c>
    </row>
    <row r="282" spans="2:8" x14ac:dyDescent="0.2">
      <c r="B282" s="1">
        <v>275</v>
      </c>
      <c r="C282" s="2">
        <v>3759.4293883669288</v>
      </c>
      <c r="D282" s="3"/>
      <c r="E282" s="2">
        <f t="shared" si="8"/>
        <v>68.637416784657191</v>
      </c>
      <c r="F282" s="2">
        <v>317.57061163307071</v>
      </c>
      <c r="G282" s="3"/>
      <c r="H282" s="5">
        <f t="shared" si="9"/>
        <v>12.378209591789457</v>
      </c>
    </row>
    <row r="283" spans="2:8" x14ac:dyDescent="0.2">
      <c r="B283" s="1">
        <v>276</v>
      </c>
      <c r="C283" s="2">
        <v>3764.8073850257233</v>
      </c>
      <c r="D283" s="3"/>
      <c r="E283" s="2">
        <f t="shared" si="8"/>
        <v>68.735605036118542</v>
      </c>
      <c r="F283" s="2">
        <v>501.19261497427669</v>
      </c>
      <c r="G283" s="3"/>
      <c r="H283" s="5">
        <f t="shared" si="9"/>
        <v>19.535394670514222</v>
      </c>
    </row>
    <row r="284" spans="2:8" x14ac:dyDescent="0.2">
      <c r="B284" s="1">
        <v>277</v>
      </c>
      <c r="C284" s="2">
        <v>3770.1631935672458</v>
      </c>
      <c r="D284" s="3"/>
      <c r="E284" s="2">
        <f t="shared" si="8"/>
        <v>68.833388190184635</v>
      </c>
      <c r="F284" s="2">
        <v>684.8368064327542</v>
      </c>
      <c r="G284" s="3"/>
      <c r="H284" s="5">
        <f t="shared" si="9"/>
        <v>26.693444593642006</v>
      </c>
    </row>
    <row r="285" spans="2:8" x14ac:dyDescent="0.2">
      <c r="B285" s="1">
        <v>278</v>
      </c>
      <c r="C285" s="2">
        <v>3775.496409300451</v>
      </c>
      <c r="D285" s="3"/>
      <c r="E285" s="2">
        <f t="shared" si="8"/>
        <v>68.930758858248041</v>
      </c>
      <c r="F285" s="2">
        <v>594.64644784240591</v>
      </c>
      <c r="G285" s="3"/>
      <c r="H285" s="5">
        <f t="shared" si="9"/>
        <v>23.178021185761018</v>
      </c>
    </row>
    <row r="286" spans="2:8" x14ac:dyDescent="0.2">
      <c r="B286" s="1">
        <v>279</v>
      </c>
      <c r="C286" s="2">
        <v>3780.8071826401642</v>
      </c>
      <c r="D286" s="3"/>
      <c r="E286" s="2">
        <f t="shared" si="8"/>
        <v>69.027719786492824</v>
      </c>
      <c r="F286" s="2">
        <v>504.47853164555045</v>
      </c>
      <c r="G286" s="3"/>
      <c r="H286" s="5">
        <f t="shared" si="9"/>
        <v>19.663472533415394</v>
      </c>
    </row>
    <row r="287" spans="2:8" x14ac:dyDescent="0.2">
      <c r="B287" s="1">
        <v>280</v>
      </c>
      <c r="C287" s="2">
        <v>3786.0958008606954</v>
      </c>
      <c r="D287" s="3"/>
      <c r="E287" s="2">
        <f t="shared" si="8"/>
        <v>69.124276219801757</v>
      </c>
      <c r="F287" s="2">
        <v>414.3327705678762</v>
      </c>
      <c r="G287" s="3"/>
      <c r="H287" s="5">
        <f t="shared" si="9"/>
        <v>16.149787439279223</v>
      </c>
    </row>
    <row r="288" spans="2:8" x14ac:dyDescent="0.2">
      <c r="B288" s="1">
        <v>281</v>
      </c>
      <c r="C288" s="2">
        <v>3791.3625492339806</v>
      </c>
      <c r="D288" s="3"/>
      <c r="E288" s="2">
        <f t="shared" si="8"/>
        <v>69.220433366499535</v>
      </c>
      <c r="F288" s="2">
        <v>324.2088793374478</v>
      </c>
      <c r="G288" s="3"/>
      <c r="H288" s="5">
        <f t="shared" si="9"/>
        <v>12.636954784074842</v>
      </c>
    </row>
    <row r="289" spans="2:8" x14ac:dyDescent="0.2">
      <c r="B289" s="1">
        <v>282</v>
      </c>
      <c r="C289" s="2">
        <v>3796.6077110191732</v>
      </c>
      <c r="D289" s="3"/>
      <c r="E289" s="2">
        <f t="shared" si="8"/>
        <v>69.316196398162589</v>
      </c>
      <c r="F289" s="2">
        <v>234.10657469511261</v>
      </c>
      <c r="G289" s="3"/>
      <c r="H289" s="5">
        <f t="shared" si="9"/>
        <v>9.1249635269784779</v>
      </c>
    </row>
    <row r="290" spans="2:8" x14ac:dyDescent="0.2">
      <c r="B290" s="1">
        <v>283</v>
      </c>
      <c r="C290" s="2">
        <v>3801.8315674524079</v>
      </c>
      <c r="D290" s="3"/>
      <c r="E290" s="2">
        <f t="shared" si="8"/>
        <v>69.411570449432347</v>
      </c>
      <c r="F290" s="2">
        <v>144.02557540473572</v>
      </c>
      <c r="G290" s="3"/>
      <c r="H290" s="5">
        <f t="shared" si="9"/>
        <v>5.61380270601917</v>
      </c>
    </row>
    <row r="291" spans="2:8" x14ac:dyDescent="0.2">
      <c r="B291" s="1">
        <v>284</v>
      </c>
      <c r="C291" s="2">
        <v>3807.0343977367233</v>
      </c>
      <c r="D291" s="3"/>
      <c r="E291" s="2">
        <f t="shared" si="8"/>
        <v>69.506560617831155</v>
      </c>
      <c r="F291" s="2">
        <v>53.965602263276651</v>
      </c>
      <c r="G291" s="3"/>
      <c r="H291" s="5">
        <f t="shared" si="9"/>
        <v>2.1034614384715402</v>
      </c>
    </row>
    <row r="292" spans="2:8" x14ac:dyDescent="0.2">
      <c r="B292" s="1">
        <v>285</v>
      </c>
      <c r="C292" s="2">
        <v>3812.2162860125741</v>
      </c>
      <c r="D292" s="3"/>
      <c r="E292" s="2">
        <f t="shared" si="8"/>
        <v>69.601168439545177</v>
      </c>
      <c r="F292" s="2">
        <v>345.78371398742593</v>
      </c>
      <c r="G292" s="3"/>
      <c r="H292" s="5">
        <f t="shared" si="9"/>
        <v>13.477894768515833</v>
      </c>
    </row>
    <row r="293" spans="2:8" x14ac:dyDescent="0.2">
      <c r="B293" s="1">
        <v>286</v>
      </c>
      <c r="C293" s="2">
        <v>3712.4999999999995</v>
      </c>
      <c r="D293" s="3"/>
      <c r="E293" s="2">
        <f t="shared" si="8"/>
        <v>67.780608036298375</v>
      </c>
      <c r="F293" s="2">
        <v>0</v>
      </c>
      <c r="G293" s="3"/>
      <c r="H293" s="5">
        <f t="shared" si="9"/>
        <v>0</v>
      </c>
    </row>
    <row r="294" spans="2:8" x14ac:dyDescent="0.2">
      <c r="B294" s="1">
        <v>287</v>
      </c>
      <c r="C294" s="2">
        <v>3267</v>
      </c>
      <c r="D294" s="3"/>
      <c r="E294" s="2">
        <f t="shared" si="8"/>
        <v>59.646935071942586</v>
      </c>
      <c r="F294" s="2">
        <v>0</v>
      </c>
      <c r="G294" s="3"/>
      <c r="H294" s="5">
        <f t="shared" si="9"/>
        <v>0</v>
      </c>
    </row>
    <row r="295" spans="2:8" x14ac:dyDescent="0.2">
      <c r="B295" s="1">
        <v>288</v>
      </c>
      <c r="C295" s="2">
        <v>2821.4999999999995</v>
      </c>
      <c r="D295" s="3"/>
      <c r="E295" s="2">
        <f t="shared" si="8"/>
        <v>51.513262107586769</v>
      </c>
      <c r="F295" s="2">
        <v>0</v>
      </c>
      <c r="G295" s="3"/>
      <c r="H295" s="5">
        <f t="shared" si="9"/>
        <v>0</v>
      </c>
    </row>
    <row r="296" spans="2:8" x14ac:dyDescent="0.2">
      <c r="B296" s="1">
        <v>289</v>
      </c>
      <c r="C296" s="2">
        <v>2376</v>
      </c>
      <c r="D296" s="3"/>
      <c r="E296" s="2">
        <f t="shared" si="8"/>
        <v>43.379589143230966</v>
      </c>
      <c r="F296" s="2">
        <v>0</v>
      </c>
      <c r="G296" s="3"/>
      <c r="H296" s="5">
        <f t="shared" si="9"/>
        <v>0</v>
      </c>
    </row>
    <row r="297" spans="2:8" x14ac:dyDescent="0.2">
      <c r="B297" s="1">
        <v>290</v>
      </c>
      <c r="C297" s="2">
        <v>2376</v>
      </c>
      <c r="D297" s="3"/>
      <c r="E297" s="2">
        <f t="shared" si="8"/>
        <v>43.379589143230966</v>
      </c>
      <c r="F297" s="2">
        <v>0</v>
      </c>
      <c r="G297" s="3"/>
      <c r="H297" s="5">
        <f t="shared" si="9"/>
        <v>0</v>
      </c>
    </row>
    <row r="298" spans="2:8" x14ac:dyDescent="0.2">
      <c r="B298" s="1">
        <v>291</v>
      </c>
      <c r="C298" s="2">
        <v>2545.7142857142858</v>
      </c>
      <c r="D298" s="3"/>
      <c r="E298" s="2">
        <f t="shared" si="8"/>
        <v>46.478131224890326</v>
      </c>
      <c r="F298" s="2">
        <v>0</v>
      </c>
      <c r="G298" s="3"/>
      <c r="H298" s="5">
        <f t="shared" si="9"/>
        <v>0</v>
      </c>
    </row>
    <row r="299" spans="2:8" x14ac:dyDescent="0.2">
      <c r="B299" s="1">
        <v>292</v>
      </c>
      <c r="C299" s="2">
        <v>2715.4285714285716</v>
      </c>
      <c r="D299" s="3"/>
      <c r="E299" s="2">
        <f t="shared" si="8"/>
        <v>49.576673306549679</v>
      </c>
      <c r="F299" s="2">
        <v>0</v>
      </c>
      <c r="G299" s="3"/>
      <c r="H299" s="5">
        <f t="shared" si="9"/>
        <v>0</v>
      </c>
    </row>
    <row r="300" spans="2:8" x14ac:dyDescent="0.2">
      <c r="B300" s="1">
        <v>293</v>
      </c>
      <c r="C300" s="2">
        <v>2885.1428571428573</v>
      </c>
      <c r="D300" s="3"/>
      <c r="E300" s="2">
        <f t="shared" si="8"/>
        <v>52.67521538820904</v>
      </c>
      <c r="F300" s="2">
        <v>0</v>
      </c>
      <c r="G300" s="3"/>
      <c r="H300" s="5">
        <f t="shared" si="9"/>
        <v>0</v>
      </c>
    </row>
    <row r="301" spans="2:8" x14ac:dyDescent="0.2">
      <c r="B301" s="1">
        <v>294</v>
      </c>
      <c r="C301" s="2">
        <v>3054.8571428571431</v>
      </c>
      <c r="D301" s="3"/>
      <c r="E301" s="2">
        <f t="shared" si="8"/>
        <v>55.773757469868393</v>
      </c>
      <c r="F301" s="2">
        <v>0</v>
      </c>
      <c r="G301" s="3"/>
      <c r="H301" s="5">
        <f t="shared" si="9"/>
        <v>0</v>
      </c>
    </row>
    <row r="302" spans="2:8" x14ac:dyDescent="0.2">
      <c r="B302" s="1">
        <v>295</v>
      </c>
      <c r="C302" s="2">
        <v>3224.5714285714284</v>
      </c>
      <c r="D302" s="3"/>
      <c r="E302" s="2">
        <f t="shared" si="8"/>
        <v>58.872299551527739</v>
      </c>
      <c r="F302" s="2">
        <v>0</v>
      </c>
      <c r="G302" s="3"/>
      <c r="H302" s="5">
        <f t="shared" si="9"/>
        <v>0</v>
      </c>
    </row>
    <row r="303" spans="2:8" x14ac:dyDescent="0.2">
      <c r="B303" s="1">
        <v>296</v>
      </c>
      <c r="C303" s="2">
        <v>3394.2857142857147</v>
      </c>
      <c r="D303" s="3"/>
      <c r="E303" s="2">
        <f t="shared" si="8"/>
        <v>61.970841633187106</v>
      </c>
      <c r="F303" s="2">
        <v>0</v>
      </c>
      <c r="G303" s="3"/>
      <c r="H303" s="5">
        <f t="shared" si="9"/>
        <v>0</v>
      </c>
    </row>
    <row r="304" spans="2:8" x14ac:dyDescent="0.2">
      <c r="B304" s="1">
        <v>297</v>
      </c>
      <c r="C304" s="2">
        <v>3564</v>
      </c>
      <c r="D304" s="3"/>
      <c r="E304" s="2">
        <f t="shared" si="8"/>
        <v>65.069383714846452</v>
      </c>
      <c r="F304" s="2">
        <v>0</v>
      </c>
      <c r="G304" s="3"/>
      <c r="H304" s="5">
        <f t="shared" si="9"/>
        <v>0</v>
      </c>
    </row>
    <row r="305" spans="2:8" x14ac:dyDescent="0.2">
      <c r="B305" s="1">
        <v>298</v>
      </c>
      <c r="C305" s="2">
        <v>3733.7142857142858</v>
      </c>
      <c r="D305" s="3"/>
      <c r="E305" s="2">
        <f t="shared" si="8"/>
        <v>68.167925796505813</v>
      </c>
      <c r="F305" s="2">
        <v>0</v>
      </c>
      <c r="G305" s="3"/>
      <c r="H305" s="5">
        <f t="shared" si="9"/>
        <v>0</v>
      </c>
    </row>
    <row r="306" spans="2:8" x14ac:dyDescent="0.2">
      <c r="B306" s="1">
        <v>299</v>
      </c>
      <c r="C306" s="2">
        <v>3756.8348842309169</v>
      </c>
      <c r="D306" s="3"/>
      <c r="E306" s="2">
        <f t="shared" si="8"/>
        <v>68.590047877480998</v>
      </c>
      <c r="F306" s="2">
        <v>146.59368719765507</v>
      </c>
      <c r="G306" s="3"/>
      <c r="H306" s="5">
        <f t="shared" si="9"/>
        <v>5.7139021008102446</v>
      </c>
    </row>
    <row r="307" spans="2:8" x14ac:dyDescent="0.2">
      <c r="B307" s="1">
        <v>300</v>
      </c>
      <c r="C307" s="2">
        <v>3747.3691664408216</v>
      </c>
      <c r="D307" s="3"/>
      <c r="E307" s="2">
        <f t="shared" si="8"/>
        <v>68.417228454635833</v>
      </c>
      <c r="F307" s="2">
        <v>325.77369070203622</v>
      </c>
      <c r="G307" s="3"/>
      <c r="H307" s="5">
        <f t="shared" si="9"/>
        <v>12.697947717088649</v>
      </c>
    </row>
    <row r="308" spans="2:8" x14ac:dyDescent="0.2">
      <c r="B308" s="1">
        <v>301</v>
      </c>
      <c r="C308" s="2">
        <v>3737.9421846462355</v>
      </c>
      <c r="D308" s="3"/>
      <c r="E308" s="2">
        <f t="shared" si="8"/>
        <v>68.245116250465017</v>
      </c>
      <c r="F308" s="2">
        <v>420.05781535376445</v>
      </c>
      <c r="G308" s="3"/>
      <c r="H308" s="5">
        <f t="shared" si="9"/>
        <v>16.372937194597217</v>
      </c>
    </row>
    <row r="309" spans="2:8" x14ac:dyDescent="0.2">
      <c r="B309" s="1">
        <v>302</v>
      </c>
      <c r="C309" s="2">
        <v>3728.5538208309704</v>
      </c>
      <c r="D309" s="3"/>
      <c r="E309" s="2">
        <f t="shared" si="8"/>
        <v>68.073709110299461</v>
      </c>
      <c r="F309" s="2">
        <v>429.44617916902962</v>
      </c>
      <c r="G309" s="3"/>
      <c r="H309" s="5">
        <f t="shared" si="9"/>
        <v>16.738875133349552</v>
      </c>
    </row>
    <row r="310" spans="2:8" x14ac:dyDescent="0.2">
      <c r="B310" s="1">
        <v>303</v>
      </c>
      <c r="C310" s="2">
        <v>3720.7912731003653</v>
      </c>
      <c r="D310" s="3"/>
      <c r="E310" s="2">
        <f t="shared" si="8"/>
        <v>67.931985149332135</v>
      </c>
      <c r="F310" s="2">
        <v>861.49444118534939</v>
      </c>
      <c r="G310" s="3"/>
      <c r="H310" s="5">
        <f t="shared" si="9"/>
        <v>33.579173779074281</v>
      </c>
    </row>
    <row r="311" spans="2:8" x14ac:dyDescent="0.2">
      <c r="B311" s="1">
        <v>304</v>
      </c>
      <c r="C311" s="2">
        <v>3720.0966872172585</v>
      </c>
      <c r="D311" s="3"/>
      <c r="E311" s="2">
        <f t="shared" si="8"/>
        <v>67.919303815058626</v>
      </c>
      <c r="F311" s="2">
        <v>1031.9033127827415</v>
      </c>
      <c r="G311" s="3"/>
      <c r="H311" s="5">
        <f t="shared" si="9"/>
        <v>40.221339809758696</v>
      </c>
    </row>
    <row r="312" spans="2:8" x14ac:dyDescent="0.2">
      <c r="B312" s="1">
        <v>305</v>
      </c>
      <c r="C312" s="2">
        <v>3727.4413246001163</v>
      </c>
      <c r="D312" s="3"/>
      <c r="E312" s="2">
        <f t="shared" si="8"/>
        <v>68.053397818456929</v>
      </c>
      <c r="F312" s="2">
        <v>786.9586753998833</v>
      </c>
      <c r="G312" s="3"/>
      <c r="H312" s="5">
        <f t="shared" si="9"/>
        <v>30.673932244813397</v>
      </c>
    </row>
    <row r="313" spans="2:8" x14ac:dyDescent="0.2">
      <c r="B313" s="1">
        <v>306</v>
      </c>
      <c r="C313" s="2">
        <v>3734.7572084726708</v>
      </c>
      <c r="D313" s="3"/>
      <c r="E313" s="2">
        <f t="shared" si="8"/>
        <v>68.186966857434626</v>
      </c>
      <c r="F313" s="2">
        <v>542.04279152732943</v>
      </c>
      <c r="G313" s="3"/>
      <c r="H313" s="5">
        <f t="shared" si="9"/>
        <v>21.127645428967696</v>
      </c>
    </row>
    <row r="314" spans="2:8" x14ac:dyDescent="0.2">
      <c r="B314" s="1">
        <v>307</v>
      </c>
      <c r="C314" s="2">
        <v>3742.045046331898</v>
      </c>
      <c r="D314" s="3"/>
      <c r="E314" s="2">
        <f t="shared" si="8"/>
        <v>68.320023849049008</v>
      </c>
      <c r="F314" s="2">
        <v>415.95495366810201</v>
      </c>
      <c r="G314" s="3"/>
      <c r="H314" s="5">
        <f t="shared" si="9"/>
        <v>16.213016597379198</v>
      </c>
    </row>
    <row r="315" spans="2:8" x14ac:dyDescent="0.2">
      <c r="B315" s="1">
        <v>308</v>
      </c>
      <c r="C315" s="2">
        <v>3749.3054215821567</v>
      </c>
      <c r="D315" s="3"/>
      <c r="E315" s="2">
        <f t="shared" si="8"/>
        <v>68.452579444748451</v>
      </c>
      <c r="F315" s="2">
        <v>52.294578417842331</v>
      </c>
      <c r="G315" s="3"/>
      <c r="H315" s="5">
        <f t="shared" si="9"/>
        <v>2.038328574680091</v>
      </c>
    </row>
    <row r="316" spans="2:8" x14ac:dyDescent="0.2">
      <c r="B316" s="1">
        <v>309</v>
      </c>
      <c r="C316" s="2">
        <v>3563.9999999999991</v>
      </c>
      <c r="D316" s="3"/>
      <c r="E316" s="2">
        <f t="shared" si="8"/>
        <v>65.069383714846438</v>
      </c>
      <c r="F316" s="2">
        <v>0</v>
      </c>
      <c r="G316" s="3"/>
      <c r="H316" s="5">
        <f t="shared" si="9"/>
        <v>0</v>
      </c>
    </row>
    <row r="317" spans="2:8" x14ac:dyDescent="0.2">
      <c r="B317" s="1">
        <v>310</v>
      </c>
      <c r="C317" s="2">
        <v>3326.3999999999996</v>
      </c>
      <c r="D317" s="3"/>
      <c r="E317" s="2">
        <f t="shared" si="8"/>
        <v>60.731424800523349</v>
      </c>
      <c r="F317" s="2">
        <v>0</v>
      </c>
      <c r="G317" s="3"/>
      <c r="H317" s="5">
        <f t="shared" si="9"/>
        <v>0</v>
      </c>
    </row>
    <row r="318" spans="2:8" x14ac:dyDescent="0.2">
      <c r="B318" s="1">
        <v>311</v>
      </c>
      <c r="C318" s="2">
        <v>2673</v>
      </c>
      <c r="D318" s="3"/>
      <c r="E318" s="2">
        <f t="shared" si="8"/>
        <v>48.802037786134839</v>
      </c>
      <c r="F318" s="2">
        <v>0</v>
      </c>
      <c r="G318" s="3"/>
      <c r="H318" s="5">
        <f t="shared" si="9"/>
        <v>0</v>
      </c>
    </row>
    <row r="319" spans="2:8" x14ac:dyDescent="0.2">
      <c r="B319" s="1">
        <v>312</v>
      </c>
      <c r="C319" s="2">
        <v>2524.5</v>
      </c>
      <c r="D319" s="3"/>
      <c r="E319" s="2">
        <f t="shared" si="8"/>
        <v>46.090813464682903</v>
      </c>
      <c r="F319" s="2">
        <v>0</v>
      </c>
      <c r="G319" s="3"/>
      <c r="H319" s="5">
        <f t="shared" si="9"/>
        <v>0</v>
      </c>
    </row>
    <row r="320" spans="2:8" x14ac:dyDescent="0.2">
      <c r="B320" s="1">
        <v>313</v>
      </c>
      <c r="C320" s="2">
        <v>2376</v>
      </c>
      <c r="D320" s="3"/>
      <c r="E320" s="2">
        <f t="shared" si="8"/>
        <v>43.379589143230966</v>
      </c>
      <c r="F320" s="2">
        <v>0</v>
      </c>
      <c r="G320" s="3"/>
      <c r="H320" s="5">
        <f t="shared" si="9"/>
        <v>0</v>
      </c>
    </row>
    <row r="321" spans="2:8" x14ac:dyDescent="0.2">
      <c r="B321" s="1">
        <v>314</v>
      </c>
      <c r="C321" s="2">
        <v>2376</v>
      </c>
      <c r="D321" s="3"/>
      <c r="E321" s="2">
        <f t="shared" si="8"/>
        <v>43.379589143230966</v>
      </c>
      <c r="F321" s="2">
        <v>0</v>
      </c>
      <c r="G321" s="3"/>
      <c r="H321" s="5">
        <f t="shared" si="9"/>
        <v>0</v>
      </c>
    </row>
    <row r="322" spans="2:8" x14ac:dyDescent="0.2">
      <c r="B322" s="1">
        <v>315</v>
      </c>
      <c r="C322" s="2">
        <v>2524.5000000000005</v>
      </c>
      <c r="D322" s="3"/>
      <c r="E322" s="2">
        <f t="shared" si="8"/>
        <v>46.09081346468291</v>
      </c>
      <c r="F322" s="2">
        <v>0</v>
      </c>
      <c r="G322" s="3"/>
      <c r="H322" s="5">
        <f t="shared" si="9"/>
        <v>0</v>
      </c>
    </row>
    <row r="323" spans="2:8" x14ac:dyDescent="0.2">
      <c r="B323" s="1">
        <v>316</v>
      </c>
      <c r="C323" s="2">
        <v>2673</v>
      </c>
      <c r="D323" s="3"/>
      <c r="E323" s="2">
        <f t="shared" si="8"/>
        <v>48.802037786134839</v>
      </c>
      <c r="F323" s="2">
        <v>0</v>
      </c>
      <c r="G323" s="3"/>
      <c r="H323" s="5">
        <f t="shared" si="9"/>
        <v>0</v>
      </c>
    </row>
    <row r="324" spans="2:8" x14ac:dyDescent="0.2">
      <c r="B324" s="1">
        <v>317</v>
      </c>
      <c r="C324" s="2">
        <v>2821.4999999999995</v>
      </c>
      <c r="D324" s="3"/>
      <c r="E324" s="2">
        <f t="shared" si="8"/>
        <v>51.513262107586769</v>
      </c>
      <c r="F324" s="2">
        <v>0</v>
      </c>
      <c r="G324" s="3"/>
      <c r="H324" s="5">
        <f t="shared" si="9"/>
        <v>0</v>
      </c>
    </row>
    <row r="325" spans="2:8" x14ac:dyDescent="0.2">
      <c r="B325" s="1">
        <v>318</v>
      </c>
      <c r="C325" s="2">
        <v>2969.9999999999995</v>
      </c>
      <c r="D325" s="3"/>
      <c r="E325" s="2">
        <f t="shared" si="8"/>
        <v>54.224486429038706</v>
      </c>
      <c r="F325" s="2">
        <v>0</v>
      </c>
      <c r="G325" s="3"/>
      <c r="H325" s="5">
        <f t="shared" si="9"/>
        <v>0</v>
      </c>
    </row>
    <row r="326" spans="2:8" x14ac:dyDescent="0.2">
      <c r="B326" s="1">
        <v>319</v>
      </c>
      <c r="C326" s="2">
        <v>3118.5</v>
      </c>
      <c r="D326" s="3"/>
      <c r="E326" s="2">
        <f t="shared" si="8"/>
        <v>56.935710750490649</v>
      </c>
      <c r="F326" s="2">
        <v>0</v>
      </c>
      <c r="G326" s="3"/>
      <c r="H326" s="5">
        <f t="shared" si="9"/>
        <v>0</v>
      </c>
    </row>
    <row r="327" spans="2:8" x14ac:dyDescent="0.2">
      <c r="B327" s="1">
        <v>320</v>
      </c>
      <c r="C327" s="2">
        <v>3267</v>
      </c>
      <c r="D327" s="3"/>
      <c r="E327" s="2">
        <f t="shared" si="8"/>
        <v>59.646935071942586</v>
      </c>
      <c r="F327" s="2">
        <v>0</v>
      </c>
      <c r="G327" s="3"/>
      <c r="H327" s="5">
        <f t="shared" si="9"/>
        <v>0</v>
      </c>
    </row>
    <row r="328" spans="2:8" x14ac:dyDescent="0.2">
      <c r="B328" s="1">
        <v>321</v>
      </c>
      <c r="C328" s="2">
        <v>3415.5</v>
      </c>
      <c r="D328" s="3"/>
      <c r="E328" s="2">
        <f t="shared" si="8"/>
        <v>62.358159393394516</v>
      </c>
      <c r="F328" s="2">
        <v>0</v>
      </c>
      <c r="G328" s="3"/>
      <c r="H328" s="5">
        <f t="shared" si="9"/>
        <v>0</v>
      </c>
    </row>
    <row r="329" spans="2:8" x14ac:dyDescent="0.2">
      <c r="B329" s="1">
        <v>322</v>
      </c>
      <c r="C329" s="2">
        <v>3564</v>
      </c>
      <c r="D329" s="3"/>
      <c r="E329" s="2">
        <f t="shared" ref="E329:E392" si="10">C329*$D$5</f>
        <v>65.069383714846452</v>
      </c>
      <c r="F329" s="2">
        <v>0</v>
      </c>
      <c r="G329" s="3"/>
      <c r="H329" s="5">
        <f t="shared" ref="H329:H392" si="11">$G$5*F329</f>
        <v>0</v>
      </c>
    </row>
    <row r="330" spans="2:8" x14ac:dyDescent="0.2">
      <c r="B330" s="1">
        <v>323</v>
      </c>
      <c r="C330" s="2">
        <v>3712.5000000000005</v>
      </c>
      <c r="D330" s="3"/>
      <c r="E330" s="2">
        <f t="shared" si="10"/>
        <v>67.780608036298403</v>
      </c>
      <c r="F330" s="2">
        <v>0</v>
      </c>
      <c r="G330" s="3"/>
      <c r="H330" s="5">
        <f t="shared" si="11"/>
        <v>0</v>
      </c>
    </row>
    <row r="331" spans="2:8" x14ac:dyDescent="0.2">
      <c r="B331" s="1">
        <v>324</v>
      </c>
      <c r="C331" s="2">
        <v>3712.8569857173429</v>
      </c>
      <c r="D331" s="3"/>
      <c r="E331" s="2">
        <f t="shared" si="10"/>
        <v>67.787125668347358</v>
      </c>
      <c r="F331" s="2">
        <v>148.14301428265799</v>
      </c>
      <c r="G331" s="3"/>
      <c r="H331" s="5">
        <f t="shared" si="11"/>
        <v>5.7742914903881477</v>
      </c>
    </row>
    <row r="332" spans="2:8" x14ac:dyDescent="0.2">
      <c r="B332" s="1">
        <v>325</v>
      </c>
      <c r="C332" s="2">
        <v>3706.2399828299781</v>
      </c>
      <c r="D332" s="3"/>
      <c r="E332" s="2">
        <f t="shared" si="10"/>
        <v>67.666316381052127</v>
      </c>
      <c r="F332" s="2">
        <v>303.26001717002237</v>
      </c>
      <c r="G332" s="3"/>
      <c r="H332" s="5">
        <f t="shared" si="11"/>
        <v>11.82041384130803</v>
      </c>
    </row>
    <row r="333" spans="2:8" x14ac:dyDescent="0.2">
      <c r="B333" s="1">
        <v>326</v>
      </c>
      <c r="C333" s="2">
        <v>3699.6560482288778</v>
      </c>
      <c r="D333" s="3"/>
      <c r="E333" s="2">
        <f t="shared" si="10"/>
        <v>67.546110834780393</v>
      </c>
      <c r="F333" s="2">
        <v>458.3439517711231</v>
      </c>
      <c r="G333" s="3"/>
      <c r="H333" s="5">
        <f t="shared" si="11"/>
        <v>17.865247262575046</v>
      </c>
    </row>
    <row r="334" spans="2:8" x14ac:dyDescent="0.2">
      <c r="B334" s="1">
        <v>327</v>
      </c>
      <c r="C334" s="2">
        <v>3693.1050719140731</v>
      </c>
      <c r="D334" s="3"/>
      <c r="E334" s="2">
        <f t="shared" si="10"/>
        <v>67.426507021218413</v>
      </c>
      <c r="F334" s="2">
        <v>316.39492808592695</v>
      </c>
      <c r="G334" s="3"/>
      <c r="H334" s="5">
        <f t="shared" si="11"/>
        <v>12.332384012132296</v>
      </c>
    </row>
    <row r="335" spans="2:8" x14ac:dyDescent="0.2">
      <c r="B335" s="1">
        <v>328</v>
      </c>
      <c r="C335" s="2">
        <v>3692.5981238959826</v>
      </c>
      <c r="D335" s="3"/>
      <c r="E335" s="2">
        <f t="shared" si="10"/>
        <v>67.417251467034177</v>
      </c>
      <c r="F335" s="2">
        <v>465.40187610401745</v>
      </c>
      <c r="G335" s="3"/>
      <c r="H335" s="5">
        <f t="shared" si="11"/>
        <v>18.140349754667419</v>
      </c>
    </row>
    <row r="336" spans="2:8" x14ac:dyDescent="0.2">
      <c r="B336" s="1">
        <v>329</v>
      </c>
      <c r="C336" s="2">
        <v>3700.1360179843232</v>
      </c>
      <c r="D336" s="3"/>
      <c r="E336" s="2">
        <f t="shared" si="10"/>
        <v>67.554873835955647</v>
      </c>
      <c r="F336" s="2">
        <v>1051.8639820156768</v>
      </c>
      <c r="G336" s="3"/>
      <c r="H336" s="5">
        <f t="shared" si="11"/>
        <v>40.99936314789786</v>
      </c>
    </row>
    <row r="337" spans="2:8" x14ac:dyDescent="0.2">
      <c r="B337" s="1">
        <v>330</v>
      </c>
      <c r="C337" s="2">
        <v>3707.6425461834474</v>
      </c>
      <c r="D337" s="3"/>
      <c r="E337" s="2">
        <f t="shared" si="10"/>
        <v>67.691923545202314</v>
      </c>
      <c r="F337" s="2">
        <v>895.85745381655261</v>
      </c>
      <c r="G337" s="3"/>
      <c r="H337" s="5">
        <f t="shared" si="11"/>
        <v>34.918569041019374</v>
      </c>
    </row>
    <row r="338" spans="2:8" x14ac:dyDescent="0.2">
      <c r="B338" s="1">
        <v>331</v>
      </c>
      <c r="C338" s="2">
        <v>3715.1176173945041</v>
      </c>
      <c r="D338" s="3"/>
      <c r="E338" s="2">
        <f t="shared" si="10"/>
        <v>67.828398931545763</v>
      </c>
      <c r="F338" s="2">
        <v>1185.382382605495</v>
      </c>
      <c r="G338" s="3"/>
      <c r="H338" s="5">
        <f t="shared" si="11"/>
        <v>46.203619103328862</v>
      </c>
    </row>
    <row r="339" spans="2:8" x14ac:dyDescent="0.2">
      <c r="B339" s="1">
        <v>332</v>
      </c>
      <c r="C339" s="2">
        <v>3722.5609313575969</v>
      </c>
      <c r="D339" s="3"/>
      <c r="E339" s="2">
        <f t="shared" si="10"/>
        <v>67.964294513020107</v>
      </c>
      <c r="F339" s="2">
        <v>851.23906864240325</v>
      </c>
      <c r="G339" s="3"/>
      <c r="H339" s="5">
        <f t="shared" si="11"/>
        <v>33.179441731685891</v>
      </c>
    </row>
    <row r="340" spans="2:8" x14ac:dyDescent="0.2">
      <c r="B340" s="1">
        <v>333</v>
      </c>
      <c r="C340" s="2">
        <v>3729.9732245368264</v>
      </c>
      <c r="D340" s="3"/>
      <c r="E340" s="2">
        <f t="shared" si="10"/>
        <v>68.099623735547112</v>
      </c>
      <c r="F340" s="2">
        <v>517.126775463174</v>
      </c>
      <c r="G340" s="3"/>
      <c r="H340" s="5">
        <f t="shared" si="11"/>
        <v>20.15647348251926</v>
      </c>
    </row>
    <row r="341" spans="2:8" x14ac:dyDescent="0.2">
      <c r="B341" s="1">
        <v>334</v>
      </c>
      <c r="C341" s="2">
        <v>3737.3555434207715</v>
      </c>
      <c r="D341" s="3"/>
      <c r="E341" s="2">
        <f t="shared" si="10"/>
        <v>68.234405705290314</v>
      </c>
      <c r="F341" s="2">
        <v>183.04445657922815</v>
      </c>
      <c r="G341" s="3"/>
      <c r="H341" s="5">
        <f t="shared" si="11"/>
        <v>7.1346735659873062</v>
      </c>
    </row>
    <row r="342" spans="2:8" x14ac:dyDescent="0.2">
      <c r="B342" s="1">
        <v>335</v>
      </c>
      <c r="C342" s="2">
        <v>3593.7</v>
      </c>
      <c r="D342" s="3"/>
      <c r="E342" s="2">
        <f t="shared" si="10"/>
        <v>65.611628579136834</v>
      </c>
      <c r="F342" s="2">
        <v>0</v>
      </c>
      <c r="G342" s="3"/>
      <c r="H342" s="5">
        <f t="shared" si="11"/>
        <v>0</v>
      </c>
    </row>
    <row r="343" spans="2:8" x14ac:dyDescent="0.2">
      <c r="B343" s="1">
        <v>336</v>
      </c>
      <c r="C343" s="2">
        <v>3267</v>
      </c>
      <c r="D343" s="3"/>
      <c r="E343" s="2">
        <f t="shared" si="10"/>
        <v>59.646935071942586</v>
      </c>
      <c r="F343" s="2">
        <v>0</v>
      </c>
      <c r="G343" s="3"/>
      <c r="H343" s="5">
        <f t="shared" si="11"/>
        <v>0</v>
      </c>
    </row>
    <row r="344" spans="2:8" x14ac:dyDescent="0.2">
      <c r="B344" s="1">
        <v>337</v>
      </c>
      <c r="C344" s="2">
        <v>2524.5</v>
      </c>
      <c r="D344" s="3"/>
      <c r="E344" s="2">
        <f t="shared" si="10"/>
        <v>46.090813464682903</v>
      </c>
      <c r="F344" s="2">
        <v>0</v>
      </c>
      <c r="G344" s="3"/>
      <c r="H344" s="5">
        <f t="shared" si="11"/>
        <v>0</v>
      </c>
    </row>
    <row r="345" spans="2:8" x14ac:dyDescent="0.2">
      <c r="B345" s="1">
        <v>338</v>
      </c>
      <c r="C345" s="2">
        <v>2376</v>
      </c>
      <c r="D345" s="3"/>
      <c r="E345" s="2">
        <f t="shared" si="10"/>
        <v>43.379589143230966</v>
      </c>
      <c r="F345" s="2">
        <v>0</v>
      </c>
      <c r="G345" s="3"/>
      <c r="H345" s="5">
        <f t="shared" si="11"/>
        <v>0</v>
      </c>
    </row>
    <row r="346" spans="2:8" x14ac:dyDescent="0.2">
      <c r="B346" s="1">
        <v>339</v>
      </c>
      <c r="C346" s="2">
        <v>2524.5</v>
      </c>
      <c r="D346" s="3"/>
      <c r="E346" s="2">
        <f t="shared" si="10"/>
        <v>46.090813464682903</v>
      </c>
      <c r="F346" s="2">
        <v>0</v>
      </c>
      <c r="G346" s="3"/>
      <c r="H346" s="5">
        <f t="shared" si="11"/>
        <v>0</v>
      </c>
    </row>
    <row r="347" spans="2:8" x14ac:dyDescent="0.2">
      <c r="B347" s="1">
        <v>340</v>
      </c>
      <c r="C347" s="2">
        <v>2673</v>
      </c>
      <c r="D347" s="3"/>
      <c r="E347" s="2">
        <f t="shared" si="10"/>
        <v>48.802037786134839</v>
      </c>
      <c r="F347" s="2">
        <v>0</v>
      </c>
      <c r="G347" s="3"/>
      <c r="H347" s="5">
        <f t="shared" si="11"/>
        <v>0</v>
      </c>
    </row>
    <row r="348" spans="2:8" x14ac:dyDescent="0.2">
      <c r="B348" s="1">
        <v>341</v>
      </c>
      <c r="C348" s="2">
        <v>3044.2499999999995</v>
      </c>
      <c r="D348" s="3"/>
      <c r="E348" s="2">
        <f t="shared" si="10"/>
        <v>55.580098589764674</v>
      </c>
      <c r="F348" s="2">
        <v>0</v>
      </c>
      <c r="G348" s="3"/>
      <c r="H348" s="5">
        <f t="shared" si="11"/>
        <v>0</v>
      </c>
    </row>
    <row r="349" spans="2:8" x14ac:dyDescent="0.2">
      <c r="B349" s="1">
        <v>342</v>
      </c>
      <c r="C349" s="2">
        <v>3266.9999999999995</v>
      </c>
      <c r="D349" s="3"/>
      <c r="E349" s="2">
        <f t="shared" si="10"/>
        <v>59.646935071942572</v>
      </c>
      <c r="F349" s="2">
        <v>0</v>
      </c>
      <c r="G349" s="3"/>
      <c r="H349" s="5">
        <f t="shared" si="11"/>
        <v>0</v>
      </c>
    </row>
    <row r="350" spans="2:8" x14ac:dyDescent="0.2">
      <c r="B350" s="1">
        <v>343</v>
      </c>
      <c r="C350" s="2">
        <v>3489.7499999999995</v>
      </c>
      <c r="D350" s="3"/>
      <c r="E350" s="2">
        <f t="shared" si="10"/>
        <v>63.713771554120477</v>
      </c>
      <c r="F350" s="2">
        <v>0</v>
      </c>
      <c r="G350" s="3"/>
      <c r="H350" s="5">
        <f t="shared" si="11"/>
        <v>0</v>
      </c>
    </row>
    <row r="351" spans="2:8" x14ac:dyDescent="0.2">
      <c r="B351" s="1">
        <v>344</v>
      </c>
      <c r="C351" s="2">
        <v>3712.2687185513055</v>
      </c>
      <c r="D351" s="3"/>
      <c r="E351" s="2">
        <f t="shared" si="10"/>
        <v>67.776385437720606</v>
      </c>
      <c r="F351" s="2">
        <v>0.23128144869360767</v>
      </c>
      <c r="G351" s="3"/>
      <c r="H351" s="5">
        <f t="shared" si="11"/>
        <v>9.0148462790693822E-3</v>
      </c>
    </row>
    <row r="352" spans="2:8" x14ac:dyDescent="0.2">
      <c r="B352" s="1">
        <v>345</v>
      </c>
      <c r="C352" s="2">
        <v>3711.7156524821721</v>
      </c>
      <c r="D352" s="3"/>
      <c r="E352" s="2">
        <f t="shared" si="10"/>
        <v>67.766287887700372</v>
      </c>
      <c r="F352" s="2">
        <v>223.53434751782697</v>
      </c>
      <c r="G352" s="3"/>
      <c r="H352" s="5">
        <f t="shared" si="11"/>
        <v>8.712881177231143</v>
      </c>
    </row>
    <row r="353" spans="2:8" x14ac:dyDescent="0.2">
      <c r="B353" s="1">
        <v>346</v>
      </c>
      <c r="C353" s="2">
        <v>3705.1601811193045</v>
      </c>
      <c r="D353" s="3"/>
      <c r="E353" s="2">
        <f t="shared" si="10"/>
        <v>67.646602006235128</v>
      </c>
      <c r="F353" s="2">
        <v>452.83981888069366</v>
      </c>
      <c r="G353" s="3"/>
      <c r="H353" s="5">
        <f t="shared" si="11"/>
        <v>17.650708170974472</v>
      </c>
    </row>
    <row r="354" spans="2:8" x14ac:dyDescent="0.2">
      <c r="B354" s="1">
        <v>347</v>
      </c>
      <c r="C354" s="2">
        <v>3698.6375027536828</v>
      </c>
      <c r="D354" s="3"/>
      <c r="E354" s="2">
        <f t="shared" si="10"/>
        <v>67.527514839730884</v>
      </c>
      <c r="F354" s="2">
        <v>682.11249724631534</v>
      </c>
      <c r="G354" s="3"/>
      <c r="H354" s="5">
        <f t="shared" si="11"/>
        <v>26.587256965230278</v>
      </c>
    </row>
    <row r="355" spans="2:8" x14ac:dyDescent="0.2">
      <c r="B355" s="1">
        <v>348</v>
      </c>
      <c r="C355" s="2">
        <v>3692.1475082603324</v>
      </c>
      <c r="D355" s="3"/>
      <c r="E355" s="2">
        <f t="shared" si="10"/>
        <v>67.409024395848988</v>
      </c>
      <c r="F355" s="2">
        <v>911.35249173966577</v>
      </c>
      <c r="G355" s="3"/>
      <c r="H355" s="5">
        <f t="shared" si="11"/>
        <v>35.522531813451963</v>
      </c>
    </row>
    <row r="356" spans="2:8" x14ac:dyDescent="0.2">
      <c r="B356" s="1">
        <v>349</v>
      </c>
      <c r="C356" s="2">
        <v>3685.6900888080208</v>
      </c>
      <c r="D356" s="3"/>
      <c r="E356" s="2">
        <f t="shared" si="10"/>
        <v>67.291128687613806</v>
      </c>
      <c r="F356" s="2">
        <v>1140.5599111919792</v>
      </c>
      <c r="G356" s="3"/>
      <c r="H356" s="5">
        <f t="shared" si="11"/>
        <v>44.456536957643586</v>
      </c>
    </row>
    <row r="357" spans="2:8" x14ac:dyDescent="0.2">
      <c r="B357" s="1">
        <v>350</v>
      </c>
      <c r="C357" s="2">
        <v>3679.2651358586031</v>
      </c>
      <c r="D357" s="3"/>
      <c r="E357" s="2">
        <f t="shared" si="10"/>
        <v>67.173825733400705</v>
      </c>
      <c r="F357" s="2">
        <v>1369.7348641413969</v>
      </c>
      <c r="G357" s="3"/>
      <c r="H357" s="5">
        <f t="shared" si="11"/>
        <v>53.389276628385105</v>
      </c>
    </row>
    <row r="358" spans="2:8" x14ac:dyDescent="0.2">
      <c r="B358" s="1">
        <v>351</v>
      </c>
      <c r="C358" s="2">
        <v>3672.8725411663654</v>
      </c>
      <c r="D358" s="3"/>
      <c r="E358" s="2">
        <f t="shared" si="10"/>
        <v>67.057113556924079</v>
      </c>
      <c r="F358" s="2">
        <v>1227.6274588336337</v>
      </c>
      <c r="G358" s="3"/>
      <c r="H358" s="5">
        <f t="shared" si="11"/>
        <v>47.850240007838806</v>
      </c>
    </row>
    <row r="359" spans="2:8" x14ac:dyDescent="0.2">
      <c r="B359" s="1">
        <v>352</v>
      </c>
      <c r="C359" s="2">
        <v>3672.5112474228054</v>
      </c>
      <c r="D359" s="3"/>
      <c r="E359" s="2">
        <f t="shared" si="10"/>
        <v>67.050517271505029</v>
      </c>
      <c r="F359" s="2">
        <v>1425.9887525771946</v>
      </c>
      <c r="G359" s="3"/>
      <c r="H359" s="5">
        <f t="shared" si="11"/>
        <v>55.58193046946532</v>
      </c>
    </row>
    <row r="360" spans="2:8" x14ac:dyDescent="0.2">
      <c r="B360" s="1">
        <v>353</v>
      </c>
      <c r="C360" s="2">
        <v>3680.1880259563036</v>
      </c>
      <c r="D360" s="3"/>
      <c r="E360" s="2">
        <f t="shared" si="10"/>
        <v>67.190675309689681</v>
      </c>
      <c r="F360" s="2">
        <v>2111.3119740436964</v>
      </c>
      <c r="G360" s="3"/>
      <c r="H360" s="5">
        <f t="shared" si="11"/>
        <v>82.294334459902146</v>
      </c>
    </row>
    <row r="361" spans="2:8" x14ac:dyDescent="0.2">
      <c r="B361" s="1">
        <v>354</v>
      </c>
      <c r="C361" s="2">
        <v>3687.8283595959538</v>
      </c>
      <c r="D361" s="3"/>
      <c r="E361" s="2">
        <f t="shared" si="10"/>
        <v>67.330167958765955</v>
      </c>
      <c r="F361" s="2">
        <v>1955.1716404040453</v>
      </c>
      <c r="G361" s="3"/>
      <c r="H361" s="5">
        <f t="shared" si="11"/>
        <v>76.208324908877728</v>
      </c>
    </row>
    <row r="362" spans="2:8" x14ac:dyDescent="0.2">
      <c r="B362" s="1">
        <v>355</v>
      </c>
      <c r="C362" s="2">
        <v>3695.4321391864619</v>
      </c>
      <c r="D362" s="3"/>
      <c r="E362" s="2">
        <f t="shared" si="10"/>
        <v>67.468993225841686</v>
      </c>
      <c r="F362" s="2">
        <v>2244.5678608135372</v>
      </c>
      <c r="G362" s="3"/>
      <c r="H362" s="5">
        <f t="shared" si="11"/>
        <v>87.488358199361684</v>
      </c>
    </row>
    <row r="363" spans="2:8" x14ac:dyDescent="0.2">
      <c r="B363" s="1">
        <v>356</v>
      </c>
      <c r="C363" s="2">
        <v>3702.9990818712195</v>
      </c>
      <c r="D363" s="3"/>
      <c r="E363" s="2">
        <f t="shared" si="10"/>
        <v>67.607145946689812</v>
      </c>
      <c r="F363" s="2">
        <v>1940.0009181287796</v>
      </c>
      <c r="G363" s="3"/>
      <c r="H363" s="5">
        <f t="shared" si="11"/>
        <v>75.617003252832802</v>
      </c>
    </row>
    <row r="364" spans="2:8" x14ac:dyDescent="0.2">
      <c r="B364" s="1">
        <v>357</v>
      </c>
      <c r="C364" s="2">
        <v>3710.5295066104231</v>
      </c>
      <c r="D364" s="3"/>
      <c r="E364" s="2">
        <f t="shared" si="10"/>
        <v>67.744631944695143</v>
      </c>
      <c r="F364" s="2">
        <v>2377.9704933895759</v>
      </c>
      <c r="G364" s="3"/>
      <c r="H364" s="5">
        <f t="shared" si="11"/>
        <v>92.68810177018878</v>
      </c>
    </row>
    <row r="365" spans="2:8" x14ac:dyDescent="0.2">
      <c r="B365" s="1">
        <v>358</v>
      </c>
      <c r="C365" s="2">
        <v>3718.0231320183675</v>
      </c>
      <c r="D365" s="3"/>
      <c r="E365" s="2">
        <f t="shared" si="10"/>
        <v>67.88144608248551</v>
      </c>
      <c r="F365" s="2">
        <v>1627.9768679816325</v>
      </c>
      <c r="G365" s="3"/>
      <c r="H365" s="5">
        <f t="shared" si="11"/>
        <v>63.45498652672903</v>
      </c>
    </row>
    <row r="366" spans="2:8" x14ac:dyDescent="0.2">
      <c r="B366" s="1">
        <v>359</v>
      </c>
      <c r="C366" s="2">
        <v>3717.438677059487</v>
      </c>
      <c r="D366" s="3"/>
      <c r="E366" s="2">
        <f t="shared" si="10"/>
        <v>67.870775452860528</v>
      </c>
      <c r="F366" s="2">
        <v>886.06132294051122</v>
      </c>
      <c r="G366" s="3"/>
      <c r="H366" s="5">
        <f t="shared" si="11"/>
        <v>34.536737231870909</v>
      </c>
    </row>
    <row r="367" spans="2:8" x14ac:dyDescent="0.2">
      <c r="B367" s="1">
        <v>360</v>
      </c>
      <c r="C367" s="2">
        <v>3710.8962550901524</v>
      </c>
      <c r="D367" s="3"/>
      <c r="E367" s="2">
        <f t="shared" si="10"/>
        <v>67.751327819429818</v>
      </c>
      <c r="F367" s="2">
        <v>150.10374490984668</v>
      </c>
      <c r="G367" s="3"/>
      <c r="H367" s="5">
        <f t="shared" si="11"/>
        <v>5.8507164924737465</v>
      </c>
    </row>
    <row r="368" spans="2:8" x14ac:dyDescent="0.2">
      <c r="B368" s="1">
        <v>361</v>
      </c>
      <c r="C368" s="2">
        <v>2524.5</v>
      </c>
      <c r="D368" s="3"/>
      <c r="E368" s="2">
        <f t="shared" si="10"/>
        <v>46.090813464682903</v>
      </c>
      <c r="F368" s="2">
        <v>0</v>
      </c>
      <c r="G368" s="3"/>
      <c r="H368" s="5">
        <f t="shared" si="11"/>
        <v>0</v>
      </c>
    </row>
    <row r="369" spans="2:8" x14ac:dyDescent="0.2">
      <c r="B369" s="1">
        <v>362</v>
      </c>
      <c r="C369" s="2">
        <v>2376</v>
      </c>
      <c r="D369" s="3"/>
      <c r="E369" s="2">
        <f t="shared" si="10"/>
        <v>43.379589143230966</v>
      </c>
      <c r="F369" s="2">
        <v>0</v>
      </c>
      <c r="G369" s="3"/>
      <c r="H369" s="5">
        <f t="shared" si="11"/>
        <v>0</v>
      </c>
    </row>
    <row r="370" spans="2:8" x14ac:dyDescent="0.2">
      <c r="B370" s="1">
        <v>363</v>
      </c>
      <c r="C370" s="2">
        <v>2554.1999999999998</v>
      </c>
      <c r="D370" s="3"/>
      <c r="E370" s="2">
        <f t="shared" si="10"/>
        <v>46.633058328973291</v>
      </c>
      <c r="F370" s="2">
        <v>0</v>
      </c>
      <c r="G370" s="3"/>
      <c r="H370" s="5">
        <f t="shared" si="11"/>
        <v>0</v>
      </c>
    </row>
    <row r="371" spans="2:8" x14ac:dyDescent="0.2">
      <c r="B371" s="1">
        <v>364</v>
      </c>
      <c r="C371" s="2">
        <v>2673</v>
      </c>
      <c r="D371" s="3"/>
      <c r="E371" s="2">
        <f t="shared" si="10"/>
        <v>48.802037786134839</v>
      </c>
      <c r="F371" s="2">
        <v>0</v>
      </c>
      <c r="G371" s="3"/>
      <c r="H371" s="5">
        <f t="shared" si="11"/>
        <v>0</v>
      </c>
    </row>
    <row r="372" spans="2:8" x14ac:dyDescent="0.2">
      <c r="B372" s="1">
        <v>365</v>
      </c>
      <c r="C372" s="2">
        <v>2948.7857142857142</v>
      </c>
      <c r="D372" s="3"/>
      <c r="E372" s="2">
        <f t="shared" si="10"/>
        <v>53.837168668831289</v>
      </c>
      <c r="F372" s="2">
        <v>0</v>
      </c>
      <c r="G372" s="3"/>
      <c r="H372" s="5">
        <f t="shared" si="11"/>
        <v>0</v>
      </c>
    </row>
    <row r="373" spans="2:8" x14ac:dyDescent="0.2">
      <c r="B373" s="1">
        <v>366</v>
      </c>
      <c r="C373" s="2">
        <v>3139.7142857142858</v>
      </c>
      <c r="D373" s="3"/>
      <c r="E373" s="2">
        <f t="shared" si="10"/>
        <v>57.323028510698066</v>
      </c>
      <c r="F373" s="2">
        <v>0</v>
      </c>
      <c r="G373" s="3"/>
      <c r="H373" s="5">
        <f t="shared" si="11"/>
        <v>0</v>
      </c>
    </row>
    <row r="374" spans="2:8" x14ac:dyDescent="0.2">
      <c r="B374" s="1">
        <v>367</v>
      </c>
      <c r="C374" s="2">
        <v>3330.6428571428564</v>
      </c>
      <c r="D374" s="3"/>
      <c r="E374" s="2">
        <f t="shared" si="10"/>
        <v>60.808888352564828</v>
      </c>
      <c r="F374" s="2">
        <v>0</v>
      </c>
      <c r="G374" s="3"/>
      <c r="H374" s="5">
        <f t="shared" si="11"/>
        <v>0</v>
      </c>
    </row>
    <row r="375" spans="2:8" x14ac:dyDescent="0.2">
      <c r="B375" s="1">
        <v>368</v>
      </c>
      <c r="C375" s="2">
        <v>3521.5714285714284</v>
      </c>
      <c r="D375" s="3"/>
      <c r="E375" s="2">
        <f t="shared" si="10"/>
        <v>64.294748194431619</v>
      </c>
      <c r="F375" s="2">
        <v>0</v>
      </c>
      <c r="G375" s="3"/>
      <c r="H375" s="5">
        <f t="shared" si="11"/>
        <v>0</v>
      </c>
    </row>
    <row r="376" spans="2:8" x14ac:dyDescent="0.2">
      <c r="B376" s="1">
        <v>369</v>
      </c>
      <c r="C376" s="2">
        <v>3693.3152327495118</v>
      </c>
      <c r="D376" s="3"/>
      <c r="E376" s="2">
        <f t="shared" si="10"/>
        <v>67.430344012251808</v>
      </c>
      <c r="F376" s="2">
        <v>19.184767250487766</v>
      </c>
      <c r="G376" s="3"/>
      <c r="H376" s="5">
        <f t="shared" si="11"/>
        <v>0.7477803716630379</v>
      </c>
    </row>
    <row r="377" spans="2:8" x14ac:dyDescent="0.2">
      <c r="B377" s="1">
        <v>370</v>
      </c>
      <c r="C377" s="2">
        <v>3686.9113782077575</v>
      </c>
      <c r="D377" s="3"/>
      <c r="E377" s="2">
        <f t="shared" si="10"/>
        <v>67.313426260166651</v>
      </c>
      <c r="F377" s="2">
        <v>216.51719322081408</v>
      </c>
      <c r="G377" s="3"/>
      <c r="H377" s="5">
        <f t="shared" si="11"/>
        <v>8.4393678121886886</v>
      </c>
    </row>
    <row r="378" spans="2:8" x14ac:dyDescent="0.2">
      <c r="B378" s="1">
        <v>371</v>
      </c>
      <c r="C378" s="2">
        <v>3680.5397368617068</v>
      </c>
      <c r="D378" s="3"/>
      <c r="E378" s="2">
        <f t="shared" si="10"/>
        <v>67.197096637372169</v>
      </c>
      <c r="F378" s="2">
        <v>413.81740599543537</v>
      </c>
      <c r="G378" s="3"/>
      <c r="H378" s="5">
        <f t="shared" si="11"/>
        <v>16.129699652625881</v>
      </c>
    </row>
    <row r="379" spans="2:8" x14ac:dyDescent="0.2">
      <c r="B379" s="1">
        <v>372</v>
      </c>
      <c r="C379" s="2">
        <v>3674.2002012900653</v>
      </c>
      <c r="D379" s="3"/>
      <c r="E379" s="2">
        <f t="shared" si="10"/>
        <v>67.081353182634487</v>
      </c>
      <c r="F379" s="2">
        <v>611.08551299564851</v>
      </c>
      <c r="G379" s="3"/>
      <c r="H379" s="5">
        <f t="shared" si="11"/>
        <v>23.818780080022407</v>
      </c>
    </row>
    <row r="380" spans="2:8" x14ac:dyDescent="0.2">
      <c r="B380" s="1">
        <v>373</v>
      </c>
      <c r="C380" s="2">
        <v>3667.8926643611326</v>
      </c>
      <c r="D380" s="3"/>
      <c r="E380" s="2">
        <f t="shared" si="10"/>
        <v>66.966193940007031</v>
      </c>
      <c r="F380" s="2">
        <v>808.32162135315184</v>
      </c>
      <c r="G380" s="3"/>
      <c r="H380" s="5">
        <f t="shared" si="11"/>
        <v>31.506613270138132</v>
      </c>
    </row>
    <row r="381" spans="2:8" x14ac:dyDescent="0.2">
      <c r="B381" s="1">
        <v>374</v>
      </c>
      <c r="C381" s="2">
        <v>3661.6170192321415</v>
      </c>
      <c r="D381" s="3"/>
      <c r="E381" s="2">
        <f t="shared" si="10"/>
        <v>66.851616958818326</v>
      </c>
      <c r="F381" s="2">
        <v>1005.5258379107154</v>
      </c>
      <c r="G381" s="3"/>
      <c r="H381" s="5">
        <f t="shared" si="11"/>
        <v>39.193203387471137</v>
      </c>
    </row>
    <row r="382" spans="2:8" x14ac:dyDescent="0.2">
      <c r="B382" s="1">
        <v>375</v>
      </c>
      <c r="C382" s="2">
        <v>3655.3731593486073</v>
      </c>
      <c r="D382" s="3"/>
      <c r="E382" s="2">
        <f t="shared" si="10"/>
        <v>66.737620293660243</v>
      </c>
      <c r="F382" s="2">
        <v>1202.6982692228212</v>
      </c>
      <c r="G382" s="3"/>
      <c r="H382" s="5">
        <f t="shared" si="11"/>
        <v>46.87855458528265</v>
      </c>
    </row>
    <row r="383" spans="2:8" x14ac:dyDescent="0.2">
      <c r="B383" s="1">
        <v>376</v>
      </c>
      <c r="C383" s="2">
        <v>3655.1005076807955</v>
      </c>
      <c r="D383" s="3"/>
      <c r="E383" s="2">
        <f t="shared" si="10"/>
        <v>66.732642382326532</v>
      </c>
      <c r="F383" s="2">
        <v>1393.8994923192045</v>
      </c>
      <c r="G383" s="3"/>
      <c r="H383" s="5">
        <f t="shared" si="11"/>
        <v>54.331161114340532</v>
      </c>
    </row>
    <row r="384" spans="2:8" x14ac:dyDescent="0.2">
      <c r="B384" s="1">
        <v>377</v>
      </c>
      <c r="C384" s="2">
        <v>3662.8542119213889</v>
      </c>
      <c r="D384" s="3"/>
      <c r="E384" s="2">
        <f t="shared" si="10"/>
        <v>66.874204884134215</v>
      </c>
      <c r="F384" s="2">
        <v>1237.6457880786102</v>
      </c>
      <c r="G384" s="3"/>
      <c r="H384" s="5">
        <f t="shared" si="11"/>
        <v>48.240732624634077</v>
      </c>
    </row>
    <row r="385" spans="2:8" x14ac:dyDescent="0.2">
      <c r="B385" s="1">
        <v>378</v>
      </c>
      <c r="C385" s="2">
        <v>3670.5720188146529</v>
      </c>
      <c r="D385" s="3"/>
      <c r="E385" s="2">
        <f t="shared" si="10"/>
        <v>67.015111993610901</v>
      </c>
      <c r="F385" s="2">
        <v>1526.9279811853471</v>
      </c>
      <c r="G385" s="3"/>
      <c r="H385" s="5">
        <f t="shared" si="11"/>
        <v>59.51632137963211</v>
      </c>
    </row>
    <row r="386" spans="2:8" x14ac:dyDescent="0.2">
      <c r="B386" s="1">
        <v>379</v>
      </c>
      <c r="C386" s="2">
        <v>3678.2533463541217</v>
      </c>
      <c r="D386" s="3"/>
      <c r="E386" s="2">
        <f t="shared" si="10"/>
        <v>67.155353084830068</v>
      </c>
      <c r="F386" s="2">
        <v>1816.2466536458783</v>
      </c>
      <c r="G386" s="3"/>
      <c r="H386" s="5">
        <f t="shared" si="11"/>
        <v>70.793332020253374</v>
      </c>
    </row>
    <row r="387" spans="2:8" x14ac:dyDescent="0.2">
      <c r="B387" s="1">
        <v>380</v>
      </c>
      <c r="C387" s="2">
        <v>3685.8974673047505</v>
      </c>
      <c r="D387" s="3"/>
      <c r="E387" s="2">
        <f t="shared" si="10"/>
        <v>67.294914880368552</v>
      </c>
      <c r="F387" s="2">
        <v>1957.1025326952486</v>
      </c>
      <c r="G387" s="3"/>
      <c r="H387" s="5">
        <f t="shared" si="11"/>
        <v>76.283586877725469</v>
      </c>
    </row>
    <row r="388" spans="2:8" x14ac:dyDescent="0.2">
      <c r="B388" s="1">
        <v>381</v>
      </c>
      <c r="C388" s="2">
        <v>3693.503809279182</v>
      </c>
      <c r="D388" s="3"/>
      <c r="E388" s="2">
        <f t="shared" si="10"/>
        <v>67.433786929919791</v>
      </c>
      <c r="F388" s="2">
        <v>2394.9961907208171</v>
      </c>
      <c r="G388" s="3"/>
      <c r="H388" s="5">
        <f t="shared" si="11"/>
        <v>93.351726306882298</v>
      </c>
    </row>
    <row r="389" spans="2:8" x14ac:dyDescent="0.2">
      <c r="B389" s="1">
        <v>382</v>
      </c>
      <c r="C389" s="2">
        <v>3701.0718799508109</v>
      </c>
      <c r="D389" s="3"/>
      <c r="E389" s="2">
        <f t="shared" si="10"/>
        <v>67.571960244878625</v>
      </c>
      <c r="F389" s="2">
        <v>1644.9281200491891</v>
      </c>
      <c r="G389" s="3"/>
      <c r="H389" s="5">
        <f t="shared" si="11"/>
        <v>64.115709349462733</v>
      </c>
    </row>
    <row r="390" spans="2:8" x14ac:dyDescent="0.2">
      <c r="B390" s="1">
        <v>383</v>
      </c>
      <c r="C390" s="2">
        <v>3700.5712272780788</v>
      </c>
      <c r="D390" s="3"/>
      <c r="E390" s="2">
        <f t="shared" si="10"/>
        <v>67.562819627350606</v>
      </c>
      <c r="F390" s="2">
        <v>902.92877272191936</v>
      </c>
      <c r="G390" s="3"/>
      <c r="H390" s="5">
        <f t="shared" si="11"/>
        <v>35.194193624323539</v>
      </c>
    </row>
    <row r="391" spans="2:8" x14ac:dyDescent="0.2">
      <c r="B391" s="1">
        <v>384</v>
      </c>
      <c r="C391" s="2">
        <v>3694.1749381689742</v>
      </c>
      <c r="D391" s="3"/>
      <c r="E391" s="2">
        <f t="shared" si="10"/>
        <v>67.446040000416986</v>
      </c>
      <c r="F391" s="2">
        <v>166.82506183102487</v>
      </c>
      <c r="G391" s="3"/>
      <c r="H391" s="5">
        <f t="shared" si="11"/>
        <v>6.5024769448553705</v>
      </c>
    </row>
    <row r="392" spans="2:8" x14ac:dyDescent="0.2">
      <c r="B392" s="1">
        <v>385</v>
      </c>
      <c r="C392" s="2">
        <v>2524.5</v>
      </c>
      <c r="D392" s="3"/>
      <c r="E392" s="2">
        <f t="shared" si="10"/>
        <v>46.090813464682903</v>
      </c>
      <c r="F392" s="2">
        <v>0</v>
      </c>
      <c r="G392" s="3"/>
      <c r="H392" s="5">
        <f t="shared" si="11"/>
        <v>0</v>
      </c>
    </row>
    <row r="393" spans="2:8" x14ac:dyDescent="0.2">
      <c r="B393" s="1">
        <v>386</v>
      </c>
      <c r="C393" s="2">
        <v>2376</v>
      </c>
      <c r="D393" s="3"/>
      <c r="E393" s="2">
        <f t="shared" ref="E393:E456" si="12">C393*$D$5</f>
        <v>43.379589143230966</v>
      </c>
      <c r="F393" s="2">
        <v>0</v>
      </c>
      <c r="G393" s="3"/>
      <c r="H393" s="5">
        <f t="shared" ref="H393:H456" si="13">$G$5*F393</f>
        <v>0</v>
      </c>
    </row>
    <row r="394" spans="2:8" x14ac:dyDescent="0.2">
      <c r="B394" s="1">
        <v>387</v>
      </c>
      <c r="C394" s="2">
        <v>2524.5</v>
      </c>
      <c r="D394" s="3"/>
      <c r="E394" s="2">
        <f t="shared" si="12"/>
        <v>46.090813464682903</v>
      </c>
      <c r="F394" s="2">
        <v>0</v>
      </c>
      <c r="G394" s="3"/>
      <c r="H394" s="5">
        <f t="shared" si="13"/>
        <v>0</v>
      </c>
    </row>
    <row r="395" spans="2:8" x14ac:dyDescent="0.2">
      <c r="B395" s="1">
        <v>388</v>
      </c>
      <c r="C395" s="2">
        <v>2673</v>
      </c>
      <c r="D395" s="3"/>
      <c r="E395" s="2">
        <f t="shared" si="12"/>
        <v>48.802037786134839</v>
      </c>
      <c r="F395" s="2">
        <v>0</v>
      </c>
      <c r="G395" s="3"/>
      <c r="H395" s="5">
        <f t="shared" si="13"/>
        <v>0</v>
      </c>
    </row>
    <row r="396" spans="2:8" x14ac:dyDescent="0.2">
      <c r="B396" s="1">
        <v>389</v>
      </c>
      <c r="C396" s="2">
        <v>2992.8461538461534</v>
      </c>
      <c r="D396" s="3"/>
      <c r="E396" s="2">
        <f t="shared" si="12"/>
        <v>54.641597863108231</v>
      </c>
      <c r="F396" s="2">
        <v>0</v>
      </c>
      <c r="G396" s="3"/>
      <c r="H396" s="5">
        <f t="shared" si="13"/>
        <v>0</v>
      </c>
    </row>
    <row r="397" spans="2:8" x14ac:dyDescent="0.2">
      <c r="B397" s="1">
        <v>390</v>
      </c>
      <c r="C397" s="2">
        <v>3198.4615384615386</v>
      </c>
      <c r="D397" s="3"/>
      <c r="E397" s="2">
        <f t="shared" si="12"/>
        <v>58.395600769734003</v>
      </c>
      <c r="F397" s="2">
        <v>0</v>
      </c>
      <c r="G397" s="3"/>
      <c r="H397" s="5">
        <f t="shared" si="13"/>
        <v>0</v>
      </c>
    </row>
    <row r="398" spans="2:8" x14ac:dyDescent="0.2">
      <c r="B398" s="1">
        <v>391</v>
      </c>
      <c r="C398" s="2">
        <v>3404.0769230769229</v>
      </c>
      <c r="D398" s="3"/>
      <c r="E398" s="2">
        <f t="shared" si="12"/>
        <v>62.149603676359753</v>
      </c>
      <c r="F398" s="2">
        <v>0</v>
      </c>
      <c r="G398" s="3"/>
      <c r="H398" s="5">
        <f t="shared" si="13"/>
        <v>0</v>
      </c>
    </row>
    <row r="399" spans="2:8" x14ac:dyDescent="0.2">
      <c r="B399" s="1">
        <v>392</v>
      </c>
      <c r="C399" s="2">
        <v>3609.6923076923063</v>
      </c>
      <c r="D399" s="3"/>
      <c r="E399" s="2">
        <f t="shared" si="12"/>
        <v>65.903606582985489</v>
      </c>
      <c r="F399" s="2">
        <v>0</v>
      </c>
      <c r="G399" s="3"/>
      <c r="H399" s="5">
        <f t="shared" si="13"/>
        <v>0</v>
      </c>
    </row>
    <row r="400" spans="2:8" x14ac:dyDescent="0.2">
      <c r="B400" s="1">
        <v>393</v>
      </c>
      <c r="C400" s="2">
        <v>3676.7973460751441</v>
      </c>
      <c r="D400" s="3"/>
      <c r="E400" s="2">
        <f t="shared" si="12"/>
        <v>67.12877030120444</v>
      </c>
      <c r="F400" s="2">
        <v>138.51034623254736</v>
      </c>
      <c r="G400" s="3"/>
      <c r="H400" s="5">
        <f t="shared" si="13"/>
        <v>5.3988311055645966</v>
      </c>
    </row>
    <row r="401" spans="2:8" x14ac:dyDescent="0.2">
      <c r="B401" s="1">
        <v>394</v>
      </c>
      <c r="C401" s="2">
        <v>3670.539058157075</v>
      </c>
      <c r="D401" s="3"/>
      <c r="E401" s="2">
        <f t="shared" si="12"/>
        <v>67.014510217607693</v>
      </c>
      <c r="F401" s="2">
        <v>350.38401876600119</v>
      </c>
      <c r="G401" s="3"/>
      <c r="H401" s="5">
        <f t="shared" si="13"/>
        <v>13.657204612214814</v>
      </c>
    </row>
    <row r="402" spans="2:8" x14ac:dyDescent="0.2">
      <c r="B402" s="1">
        <v>395</v>
      </c>
      <c r="C402" s="2">
        <v>3664.3124195122114</v>
      </c>
      <c r="D402" s="3"/>
      <c r="E402" s="2">
        <f t="shared" si="12"/>
        <v>66.900827967541389</v>
      </c>
      <c r="F402" s="2">
        <v>562.22604202624962</v>
      </c>
      <c r="G402" s="3"/>
      <c r="H402" s="5">
        <f t="shared" si="13"/>
        <v>21.914344499245288</v>
      </c>
    </row>
    <row r="403" spans="2:8" x14ac:dyDescent="0.2">
      <c r="B403" s="1">
        <v>396</v>
      </c>
      <c r="C403" s="2">
        <v>3658.1173243882868</v>
      </c>
      <c r="D403" s="3"/>
      <c r="E403" s="2">
        <f t="shared" si="12"/>
        <v>66.787721620243786</v>
      </c>
      <c r="F403" s="2">
        <v>774.03652176555897</v>
      </c>
      <c r="G403" s="3"/>
      <c r="H403" s="5">
        <f t="shared" si="13"/>
        <v>30.170254888648639</v>
      </c>
    </row>
    <row r="404" spans="2:8" x14ac:dyDescent="0.2">
      <c r="B404" s="1">
        <v>397</v>
      </c>
      <c r="C404" s="2">
        <v>3651.9536673185166</v>
      </c>
      <c r="D404" s="3"/>
      <c r="E404" s="2">
        <f t="shared" si="12"/>
        <v>66.675189250165346</v>
      </c>
      <c r="F404" s="2">
        <v>985.81556345071294</v>
      </c>
      <c r="G404" s="3"/>
      <c r="H404" s="5">
        <f t="shared" si="13"/>
        <v>38.424939891289995</v>
      </c>
    </row>
    <row r="405" spans="2:8" x14ac:dyDescent="0.2">
      <c r="B405" s="1">
        <v>398</v>
      </c>
      <c r="C405" s="2">
        <v>3645.8213431209656</v>
      </c>
      <c r="D405" s="3"/>
      <c r="E405" s="2">
        <f t="shared" si="12"/>
        <v>66.56322893695706</v>
      </c>
      <c r="F405" s="2">
        <v>1197.5632722636497</v>
      </c>
      <c r="G405" s="3"/>
      <c r="H405" s="5">
        <f t="shared" si="13"/>
        <v>46.67840360693183</v>
      </c>
    </row>
    <row r="406" spans="2:8" x14ac:dyDescent="0.2">
      <c r="B406" s="1">
        <v>399</v>
      </c>
      <c r="C406" s="2">
        <v>3639.7202468979076</v>
      </c>
      <c r="D406" s="3"/>
      <c r="E406" s="2">
        <f t="shared" si="12"/>
        <v>66.45183876545893</v>
      </c>
      <c r="F406" s="2">
        <v>1409.2797531020924</v>
      </c>
      <c r="G406" s="3"/>
      <c r="H406" s="5">
        <f t="shared" si="13"/>
        <v>54.930650124258541</v>
      </c>
    </row>
    <row r="407" spans="2:8" x14ac:dyDescent="0.2">
      <c r="B407" s="1">
        <v>400</v>
      </c>
      <c r="C407" s="2">
        <v>3639.5078159689424</v>
      </c>
      <c r="D407" s="3"/>
      <c r="E407" s="2">
        <f t="shared" si="12"/>
        <v>66.447960328413544</v>
      </c>
      <c r="F407" s="2">
        <v>1260.9921840310567</v>
      </c>
      <c r="G407" s="3"/>
      <c r="H407" s="5">
        <f t="shared" si="13"/>
        <v>49.150724203597278</v>
      </c>
    </row>
    <row r="408" spans="2:8" x14ac:dyDescent="0.2">
      <c r="B408" s="1">
        <v>401</v>
      </c>
      <c r="C408" s="2">
        <v>3647.3057898622906</v>
      </c>
      <c r="D408" s="3"/>
      <c r="E408" s="2">
        <f t="shared" si="12"/>
        <v>66.590331079105084</v>
      </c>
      <c r="F408" s="2">
        <v>1520.4942101377096</v>
      </c>
      <c r="G408" s="3"/>
      <c r="H408" s="5">
        <f t="shared" si="13"/>
        <v>59.265547020872305</v>
      </c>
    </row>
    <row r="409" spans="2:8" x14ac:dyDescent="0.2">
      <c r="B409" s="1">
        <v>402</v>
      </c>
      <c r="C409" s="2">
        <v>3655.0661448638739</v>
      </c>
      <c r="D409" s="3"/>
      <c r="E409" s="2">
        <f t="shared" si="12"/>
        <v>66.732015006535349</v>
      </c>
      <c r="F409" s="2">
        <v>1780.0338551361265</v>
      </c>
      <c r="G409" s="3"/>
      <c r="H409" s="5">
        <f t="shared" si="13"/>
        <v>69.381836140474462</v>
      </c>
    </row>
    <row r="410" spans="2:8" x14ac:dyDescent="0.2">
      <c r="B410" s="1">
        <v>403</v>
      </c>
      <c r="C410" s="2">
        <v>3662.7881121032556</v>
      </c>
      <c r="D410" s="3"/>
      <c r="E410" s="2">
        <f t="shared" si="12"/>
        <v>66.872998073127036</v>
      </c>
      <c r="F410" s="2">
        <v>2277.2118878967435</v>
      </c>
      <c r="G410" s="3"/>
      <c r="H410" s="5">
        <f t="shared" si="13"/>
        <v>88.76075115498837</v>
      </c>
    </row>
    <row r="411" spans="2:8" x14ac:dyDescent="0.2">
      <c r="B411" s="1">
        <v>404</v>
      </c>
      <c r="C411" s="2">
        <v>3670.4709137587165</v>
      </c>
      <c r="D411" s="3"/>
      <c r="E411" s="2">
        <f t="shared" si="12"/>
        <v>67.013266077875699</v>
      </c>
      <c r="F411" s="2">
        <v>2269.5290862412826</v>
      </c>
      <c r="G411" s="3"/>
      <c r="H411" s="5">
        <f t="shared" si="13"/>
        <v>88.461292308168751</v>
      </c>
    </row>
    <row r="412" spans="2:8" x14ac:dyDescent="0.2">
      <c r="B412" s="1">
        <v>405</v>
      </c>
      <c r="C412" s="2">
        <v>3678.1144256397147</v>
      </c>
      <c r="D412" s="3"/>
      <c r="E412" s="2">
        <f t="shared" si="12"/>
        <v>67.152816753384585</v>
      </c>
      <c r="F412" s="2">
        <v>2558.8855743602853</v>
      </c>
      <c r="G412" s="3"/>
      <c r="H412" s="5">
        <f t="shared" si="13"/>
        <v>99.739776920654108</v>
      </c>
    </row>
    <row r="413" spans="2:8" x14ac:dyDescent="0.2">
      <c r="B413" s="1">
        <v>406</v>
      </c>
      <c r="C413" s="2">
        <v>3685.7187028196813</v>
      </c>
      <c r="D413" s="3"/>
      <c r="E413" s="2">
        <f t="shared" si="12"/>
        <v>67.291651105151502</v>
      </c>
      <c r="F413" s="2">
        <v>1779.0812971803189</v>
      </c>
      <c r="G413" s="3"/>
      <c r="H413" s="5">
        <f t="shared" si="13"/>
        <v>69.344707509570355</v>
      </c>
    </row>
    <row r="414" spans="2:8" x14ac:dyDescent="0.2">
      <c r="B414" s="1">
        <v>407</v>
      </c>
      <c r="C414" s="2">
        <v>3685.9744634938565</v>
      </c>
      <c r="D414" s="3"/>
      <c r="E414" s="2">
        <f t="shared" si="12"/>
        <v>67.296320630810058</v>
      </c>
      <c r="F414" s="2">
        <v>1006.6255365061438</v>
      </c>
      <c r="G414" s="3"/>
      <c r="H414" s="5">
        <f t="shared" si="13"/>
        <v>39.2360672394882</v>
      </c>
    </row>
    <row r="415" spans="2:8" x14ac:dyDescent="0.2">
      <c r="B415" s="1">
        <v>408</v>
      </c>
      <c r="C415" s="2">
        <v>3680.5997274860492</v>
      </c>
      <c r="D415" s="3"/>
      <c r="E415" s="2">
        <f t="shared" si="12"/>
        <v>67.198191910367285</v>
      </c>
      <c r="F415" s="2">
        <v>239.8002725139504</v>
      </c>
      <c r="G415" s="3"/>
      <c r="H415" s="5">
        <f t="shared" si="13"/>
        <v>9.3468914459111048</v>
      </c>
    </row>
    <row r="416" spans="2:8" x14ac:dyDescent="0.2">
      <c r="B416" s="1">
        <v>409</v>
      </c>
      <c r="C416" s="2">
        <v>2524.5</v>
      </c>
      <c r="D416" s="3"/>
      <c r="E416" s="2">
        <f t="shared" si="12"/>
        <v>46.090813464682903</v>
      </c>
      <c r="F416" s="2">
        <v>0</v>
      </c>
      <c r="G416" s="3"/>
      <c r="H416" s="5">
        <f t="shared" si="13"/>
        <v>0</v>
      </c>
    </row>
    <row r="417" spans="2:8" x14ac:dyDescent="0.2">
      <c r="B417" s="1">
        <v>410</v>
      </c>
      <c r="C417" s="2">
        <v>2376</v>
      </c>
      <c r="D417" s="3"/>
      <c r="E417" s="2">
        <f t="shared" si="12"/>
        <v>43.379589143230966</v>
      </c>
      <c r="F417" s="2">
        <v>0</v>
      </c>
      <c r="G417" s="3"/>
      <c r="H417" s="5">
        <f t="shared" si="13"/>
        <v>0</v>
      </c>
    </row>
    <row r="418" spans="2:8" x14ac:dyDescent="0.2">
      <c r="B418" s="1">
        <v>411</v>
      </c>
      <c r="C418" s="2">
        <v>2524.5</v>
      </c>
      <c r="D418" s="3"/>
      <c r="E418" s="2">
        <f t="shared" si="12"/>
        <v>46.090813464682903</v>
      </c>
      <c r="F418" s="2">
        <v>0</v>
      </c>
      <c r="G418" s="3"/>
      <c r="H418" s="5">
        <f t="shared" si="13"/>
        <v>0</v>
      </c>
    </row>
    <row r="419" spans="2:8" x14ac:dyDescent="0.2">
      <c r="B419" s="1">
        <v>412</v>
      </c>
      <c r="C419" s="2">
        <v>2673</v>
      </c>
      <c r="D419" s="3"/>
      <c r="E419" s="2">
        <f t="shared" si="12"/>
        <v>48.802037786134839</v>
      </c>
      <c r="F419" s="2">
        <v>0</v>
      </c>
      <c r="G419" s="3"/>
      <c r="H419" s="5">
        <f t="shared" si="13"/>
        <v>0</v>
      </c>
    </row>
    <row r="420" spans="2:8" x14ac:dyDescent="0.2">
      <c r="B420" s="1">
        <v>413</v>
      </c>
      <c r="C420" s="2">
        <v>2969.9999999999995</v>
      </c>
      <c r="D420" s="3"/>
      <c r="E420" s="2">
        <f t="shared" si="12"/>
        <v>54.224486429038706</v>
      </c>
      <c r="F420" s="2">
        <v>0</v>
      </c>
      <c r="G420" s="3"/>
      <c r="H420" s="5">
        <f t="shared" si="13"/>
        <v>0</v>
      </c>
    </row>
    <row r="421" spans="2:8" x14ac:dyDescent="0.2">
      <c r="B421" s="1">
        <v>414</v>
      </c>
      <c r="C421" s="2">
        <v>3167.9999999999995</v>
      </c>
      <c r="D421" s="3"/>
      <c r="E421" s="2">
        <f t="shared" si="12"/>
        <v>57.839452190974619</v>
      </c>
      <c r="F421" s="2">
        <v>0</v>
      </c>
      <c r="G421" s="3"/>
      <c r="H421" s="5">
        <f t="shared" si="13"/>
        <v>0</v>
      </c>
    </row>
    <row r="422" spans="2:8" x14ac:dyDescent="0.2">
      <c r="B422" s="1">
        <v>415</v>
      </c>
      <c r="C422" s="2">
        <v>3365.9999999999995</v>
      </c>
      <c r="D422" s="3"/>
      <c r="E422" s="2">
        <f t="shared" si="12"/>
        <v>61.454417952910532</v>
      </c>
      <c r="F422" s="2">
        <v>0</v>
      </c>
      <c r="G422" s="3"/>
      <c r="H422" s="5">
        <f t="shared" si="13"/>
        <v>0</v>
      </c>
    </row>
    <row r="423" spans="2:8" x14ac:dyDescent="0.2">
      <c r="B423" s="1">
        <v>416</v>
      </c>
      <c r="C423" s="2">
        <v>3563.9999999999995</v>
      </c>
      <c r="D423" s="3"/>
      <c r="E423" s="2">
        <f t="shared" si="12"/>
        <v>65.069383714846452</v>
      </c>
      <c r="F423" s="2">
        <v>0</v>
      </c>
      <c r="G423" s="3"/>
      <c r="H423" s="5">
        <f t="shared" si="13"/>
        <v>0</v>
      </c>
    </row>
    <row r="424" spans="2:8" x14ac:dyDescent="0.2">
      <c r="B424" s="1">
        <v>417</v>
      </c>
      <c r="C424" s="2">
        <v>3680.1414027235382</v>
      </c>
      <c r="D424" s="3"/>
      <c r="E424" s="2">
        <f t="shared" si="12"/>
        <v>67.189824090547475</v>
      </c>
      <c r="F424" s="2">
        <v>81.858597276460841</v>
      </c>
      <c r="G424" s="3"/>
      <c r="H424" s="5">
        <f t="shared" si="13"/>
        <v>3.1906695294231695</v>
      </c>
    </row>
    <row r="425" spans="2:8" x14ac:dyDescent="0.2">
      <c r="B425" s="1">
        <v>418</v>
      </c>
      <c r="C425" s="2">
        <v>3688.6535932850343</v>
      </c>
      <c r="D425" s="3"/>
      <c r="E425" s="2">
        <f t="shared" si="12"/>
        <v>67.345234582663039</v>
      </c>
      <c r="F425" s="2">
        <v>271.34640671496527</v>
      </c>
      <c r="G425" s="3"/>
      <c r="H425" s="5">
        <f t="shared" si="13"/>
        <v>10.576490932283148</v>
      </c>
    </row>
    <row r="426" spans="2:8" x14ac:dyDescent="0.2">
      <c r="B426" s="1">
        <v>419</v>
      </c>
      <c r="C426" s="2">
        <v>3697.1326284318084</v>
      </c>
      <c r="D426" s="3"/>
      <c r="E426" s="2">
        <f t="shared" si="12"/>
        <v>67.500039743015762</v>
      </c>
      <c r="F426" s="2">
        <v>460.86737156819163</v>
      </c>
      <c r="G426" s="3"/>
      <c r="H426" s="5">
        <f t="shared" si="13"/>
        <v>17.963604660873209</v>
      </c>
    </row>
    <row r="427" spans="2:8" x14ac:dyDescent="0.2">
      <c r="B427" s="1">
        <v>420</v>
      </c>
      <c r="C427" s="2">
        <v>3705.5781333629457</v>
      </c>
      <c r="D427" s="3"/>
      <c r="E427" s="2">
        <f t="shared" si="12"/>
        <v>67.654232728714362</v>
      </c>
      <c r="F427" s="2">
        <v>650.42186663705434</v>
      </c>
      <c r="G427" s="3"/>
      <c r="H427" s="5">
        <f t="shared" si="13"/>
        <v>25.352025324115282</v>
      </c>
    </row>
    <row r="428" spans="2:8" x14ac:dyDescent="0.2">
      <c r="B428" s="1">
        <v>421</v>
      </c>
      <c r="C428" s="2">
        <v>3713.989735803334</v>
      </c>
      <c r="D428" s="3"/>
      <c r="E428" s="2">
        <f t="shared" si="12"/>
        <v>67.807806742982137</v>
      </c>
      <c r="F428" s="2">
        <v>840.01026419666505</v>
      </c>
      <c r="G428" s="3"/>
      <c r="H428" s="5">
        <f t="shared" si="13"/>
        <v>32.741767432481026</v>
      </c>
    </row>
    <row r="429" spans="2:8" x14ac:dyDescent="0.2">
      <c r="B429" s="1">
        <v>422</v>
      </c>
      <c r="C429" s="2">
        <v>3722.3670660356975</v>
      </c>
      <c r="D429" s="3"/>
      <c r="E429" s="2">
        <f t="shared" si="12"/>
        <v>67.960755035741855</v>
      </c>
      <c r="F429" s="2">
        <v>1029.6329339643025</v>
      </c>
      <c r="G429" s="3"/>
      <c r="H429" s="5">
        <f t="shared" si="13"/>
        <v>40.132845396743342</v>
      </c>
    </row>
    <row r="430" spans="2:8" x14ac:dyDescent="0.2">
      <c r="B430" s="1">
        <v>423</v>
      </c>
      <c r="C430" s="2">
        <v>3730.7099320797256</v>
      </c>
      <c r="D430" s="3"/>
      <c r="E430" s="2">
        <f t="shared" si="12"/>
        <v>68.113074101931659</v>
      </c>
      <c r="F430" s="2">
        <v>872.7900679202744</v>
      </c>
      <c r="G430" s="3"/>
      <c r="H430" s="5">
        <f t="shared" si="13"/>
        <v>34.019452665324224</v>
      </c>
    </row>
    <row r="431" spans="2:8" x14ac:dyDescent="0.2">
      <c r="B431" s="1">
        <v>424</v>
      </c>
      <c r="C431" s="2">
        <v>3739.018592800046</v>
      </c>
      <c r="D431" s="3"/>
      <c r="E431" s="2">
        <f t="shared" si="12"/>
        <v>68.264768667747305</v>
      </c>
      <c r="F431" s="2">
        <v>1210.981407199954</v>
      </c>
      <c r="G431" s="3"/>
      <c r="H431" s="5">
        <f t="shared" si="13"/>
        <v>47.201413232156206</v>
      </c>
    </row>
    <row r="432" spans="2:8" x14ac:dyDescent="0.2">
      <c r="B432" s="1">
        <v>425</v>
      </c>
      <c r="C432" s="2">
        <v>3747.2924811407024</v>
      </c>
      <c r="D432" s="3"/>
      <c r="E432" s="2">
        <f t="shared" si="12"/>
        <v>68.415828380219807</v>
      </c>
      <c r="F432" s="2">
        <v>1549.2075188592976</v>
      </c>
      <c r="G432" s="3"/>
      <c r="H432" s="5">
        <f t="shared" si="13"/>
        <v>60.384729150483949</v>
      </c>
    </row>
    <row r="433" spans="2:8" x14ac:dyDescent="0.2">
      <c r="B433" s="1">
        <v>426</v>
      </c>
      <c r="C433" s="2">
        <v>3755.5307844688673</v>
      </c>
      <c r="D433" s="3"/>
      <c r="E433" s="2">
        <f t="shared" si="12"/>
        <v>68.566238402784236</v>
      </c>
      <c r="F433" s="2">
        <v>1887.4692155311318</v>
      </c>
      <c r="G433" s="3"/>
      <c r="H433" s="5">
        <f t="shared" si="13"/>
        <v>73.569432094962096</v>
      </c>
    </row>
    <row r="434" spans="2:8" x14ac:dyDescent="0.2">
      <c r="B434" s="1">
        <v>427</v>
      </c>
      <c r="C434" s="2">
        <v>3763.4683992173573</v>
      </c>
      <c r="D434" s="3"/>
      <c r="E434" s="2">
        <f t="shared" si="12"/>
        <v>68.711158632820755</v>
      </c>
      <c r="F434" s="2">
        <v>1471.1566007826427</v>
      </c>
      <c r="G434" s="3"/>
      <c r="H434" s="5">
        <f t="shared" si="13"/>
        <v>57.342474648985196</v>
      </c>
    </row>
    <row r="435" spans="2:8" x14ac:dyDescent="0.2">
      <c r="B435" s="1">
        <v>428</v>
      </c>
      <c r="C435" s="2">
        <v>3768.9917579915896</v>
      </c>
      <c r="D435" s="3"/>
      <c r="E435" s="2">
        <f t="shared" si="12"/>
        <v>68.812000818981048</v>
      </c>
      <c r="F435" s="2">
        <v>1057.2582420084104</v>
      </c>
      <c r="G435" s="3"/>
      <c r="H435" s="5">
        <f t="shared" si="13"/>
        <v>41.209619633657979</v>
      </c>
    </row>
    <row r="436" spans="2:8" x14ac:dyDescent="0.2">
      <c r="B436" s="1">
        <v>429</v>
      </c>
      <c r="C436" s="2">
        <v>3774.4866820938523</v>
      </c>
      <c r="D436" s="3"/>
      <c r="E436" s="2">
        <f t="shared" si="12"/>
        <v>68.912323861880623</v>
      </c>
      <c r="F436" s="2">
        <v>643.38831790614768</v>
      </c>
      <c r="G436" s="3"/>
      <c r="H436" s="5">
        <f t="shared" si="13"/>
        <v>25.07787293980769</v>
      </c>
    </row>
    <row r="437" spans="2:8" x14ac:dyDescent="0.2">
      <c r="B437" s="1">
        <v>430</v>
      </c>
      <c r="C437" s="2">
        <v>3779.9546243278114</v>
      </c>
      <c r="D437" s="3"/>
      <c r="E437" s="2">
        <f t="shared" si="12"/>
        <v>69.01215428594125</v>
      </c>
      <c r="F437" s="2">
        <v>229.54537567218858</v>
      </c>
      <c r="G437" s="3"/>
      <c r="H437" s="5">
        <f t="shared" si="13"/>
        <v>8.9471779403170348</v>
      </c>
    </row>
    <row r="438" spans="2:8" x14ac:dyDescent="0.2">
      <c r="B438" s="1">
        <v>431</v>
      </c>
      <c r="C438" s="2">
        <v>3601.1250000000005</v>
      </c>
      <c r="D438" s="3"/>
      <c r="E438" s="2">
        <f t="shared" si="12"/>
        <v>65.747189795209451</v>
      </c>
      <c r="F438" s="2">
        <v>0</v>
      </c>
      <c r="G438" s="3"/>
      <c r="H438" s="5">
        <f t="shared" si="13"/>
        <v>0</v>
      </c>
    </row>
    <row r="439" spans="2:8" x14ac:dyDescent="0.2">
      <c r="B439" s="1">
        <v>432</v>
      </c>
      <c r="C439" s="2">
        <v>2969.9999999999995</v>
      </c>
      <c r="D439" s="3"/>
      <c r="E439" s="2">
        <f t="shared" si="12"/>
        <v>54.224486429038706</v>
      </c>
      <c r="F439" s="2">
        <v>0</v>
      </c>
      <c r="G439" s="3"/>
      <c r="H439" s="5">
        <f t="shared" si="13"/>
        <v>0</v>
      </c>
    </row>
    <row r="440" spans="2:8" x14ac:dyDescent="0.2">
      <c r="B440" s="1">
        <v>433</v>
      </c>
      <c r="C440" s="2">
        <v>2524.5</v>
      </c>
      <c r="D440" s="3"/>
      <c r="E440" s="2">
        <f t="shared" si="12"/>
        <v>46.090813464682903</v>
      </c>
      <c r="F440" s="2">
        <v>0</v>
      </c>
      <c r="G440" s="3"/>
      <c r="H440" s="5">
        <f t="shared" si="13"/>
        <v>0</v>
      </c>
    </row>
    <row r="441" spans="2:8" x14ac:dyDescent="0.2">
      <c r="B441" s="1">
        <v>434</v>
      </c>
      <c r="C441" s="2">
        <v>2376</v>
      </c>
      <c r="D441" s="3"/>
      <c r="E441" s="2">
        <f t="shared" si="12"/>
        <v>43.379589143230966</v>
      </c>
      <c r="F441" s="2">
        <v>0</v>
      </c>
      <c r="G441" s="3"/>
      <c r="H441" s="5">
        <f t="shared" si="13"/>
        <v>0</v>
      </c>
    </row>
    <row r="442" spans="2:8" x14ac:dyDescent="0.2">
      <c r="B442" s="1">
        <v>435</v>
      </c>
      <c r="C442" s="2">
        <v>2524.5</v>
      </c>
      <c r="D442" s="3"/>
      <c r="E442" s="2">
        <f t="shared" si="12"/>
        <v>46.090813464682903</v>
      </c>
      <c r="F442" s="2">
        <v>0</v>
      </c>
      <c r="G442" s="3"/>
      <c r="H442" s="5">
        <f t="shared" si="13"/>
        <v>0</v>
      </c>
    </row>
    <row r="443" spans="2:8" x14ac:dyDescent="0.2">
      <c r="B443" s="1">
        <v>436</v>
      </c>
      <c r="C443" s="2">
        <v>2673</v>
      </c>
      <c r="D443" s="3"/>
      <c r="E443" s="2">
        <f t="shared" si="12"/>
        <v>48.802037786134839</v>
      </c>
      <c r="F443" s="2">
        <v>0</v>
      </c>
      <c r="G443" s="3"/>
      <c r="H443" s="5">
        <f t="shared" si="13"/>
        <v>0</v>
      </c>
    </row>
    <row r="444" spans="2:8" x14ac:dyDescent="0.2">
      <c r="B444" s="1">
        <v>437</v>
      </c>
      <c r="C444" s="2">
        <v>2943</v>
      </c>
      <c r="D444" s="3"/>
      <c r="E444" s="2">
        <f t="shared" si="12"/>
        <v>53.731536552411086</v>
      </c>
      <c r="F444" s="2">
        <v>0</v>
      </c>
      <c r="G444" s="3"/>
      <c r="H444" s="5">
        <f t="shared" si="13"/>
        <v>0</v>
      </c>
    </row>
    <row r="445" spans="2:8" x14ac:dyDescent="0.2">
      <c r="B445" s="1">
        <v>438</v>
      </c>
      <c r="C445" s="2">
        <v>3131.9999999999995</v>
      </c>
      <c r="D445" s="3"/>
      <c r="E445" s="2">
        <f t="shared" si="12"/>
        <v>57.182185688804452</v>
      </c>
      <c r="F445" s="2">
        <v>0</v>
      </c>
      <c r="G445" s="3"/>
      <c r="H445" s="5">
        <f t="shared" si="13"/>
        <v>0</v>
      </c>
    </row>
    <row r="446" spans="2:8" x14ac:dyDescent="0.2">
      <c r="B446" s="1">
        <v>439</v>
      </c>
      <c r="C446" s="2">
        <v>3321</v>
      </c>
      <c r="D446" s="3"/>
      <c r="E446" s="2">
        <f t="shared" si="12"/>
        <v>60.632834825197833</v>
      </c>
      <c r="F446" s="2">
        <v>0</v>
      </c>
      <c r="G446" s="3"/>
      <c r="H446" s="5">
        <f t="shared" si="13"/>
        <v>0</v>
      </c>
    </row>
    <row r="447" spans="2:8" x14ac:dyDescent="0.2">
      <c r="B447" s="1">
        <v>440</v>
      </c>
      <c r="C447" s="2">
        <v>3510</v>
      </c>
      <c r="D447" s="3"/>
      <c r="E447" s="2">
        <f t="shared" si="12"/>
        <v>64.083483961591199</v>
      </c>
      <c r="F447" s="2">
        <v>0</v>
      </c>
      <c r="G447" s="3"/>
      <c r="H447" s="5">
        <f t="shared" si="13"/>
        <v>0</v>
      </c>
    </row>
    <row r="448" spans="2:8" x14ac:dyDescent="0.2">
      <c r="B448" s="1">
        <v>441</v>
      </c>
      <c r="C448" s="2">
        <v>3699</v>
      </c>
      <c r="D448" s="3"/>
      <c r="E448" s="2">
        <f t="shared" si="12"/>
        <v>67.534133097984579</v>
      </c>
      <c r="F448" s="2">
        <v>0</v>
      </c>
      <c r="G448" s="3"/>
      <c r="H448" s="5">
        <f t="shared" si="13"/>
        <v>0</v>
      </c>
    </row>
    <row r="449" spans="2:8" x14ac:dyDescent="0.2">
      <c r="B449" s="1">
        <v>442</v>
      </c>
      <c r="C449" s="2">
        <v>3751.7524224692338</v>
      </c>
      <c r="D449" s="3"/>
      <c r="E449" s="2">
        <f t="shared" si="12"/>
        <v>68.497255325688911</v>
      </c>
      <c r="F449" s="2">
        <v>136.24757753076574</v>
      </c>
      <c r="G449" s="3"/>
      <c r="H449" s="5">
        <f t="shared" si="13"/>
        <v>5.3106333182934096</v>
      </c>
    </row>
    <row r="450" spans="2:8" x14ac:dyDescent="0.2">
      <c r="B450" s="1">
        <v>443</v>
      </c>
      <c r="C450" s="2">
        <v>3757.3109078602756</v>
      </c>
      <c r="D450" s="3"/>
      <c r="E450" s="2">
        <f t="shared" si="12"/>
        <v>68.598738832642638</v>
      </c>
      <c r="F450" s="2">
        <v>319.68909213972393</v>
      </c>
      <c r="G450" s="3"/>
      <c r="H450" s="5">
        <f t="shared" si="13"/>
        <v>12.460783340010757</v>
      </c>
    </row>
    <row r="451" spans="2:8" x14ac:dyDescent="0.2">
      <c r="B451" s="1">
        <v>444</v>
      </c>
      <c r="C451" s="2">
        <v>3762.8446154655608</v>
      </c>
      <c r="D451" s="3"/>
      <c r="E451" s="2">
        <f t="shared" si="12"/>
        <v>68.699769961580373</v>
      </c>
      <c r="F451" s="2">
        <v>503.15538453443924</v>
      </c>
      <c r="G451" s="3"/>
      <c r="H451" s="5">
        <f t="shared" si="13"/>
        <v>19.611899145758763</v>
      </c>
    </row>
    <row r="452" spans="2:8" x14ac:dyDescent="0.2">
      <c r="B452" s="1">
        <v>445</v>
      </c>
      <c r="C452" s="2">
        <v>3768.3531647082123</v>
      </c>
      <c r="D452" s="3"/>
      <c r="E452" s="2">
        <f t="shared" si="12"/>
        <v>68.800341764156741</v>
      </c>
      <c r="F452" s="2">
        <v>686.64683529178774</v>
      </c>
      <c r="G452" s="3"/>
      <c r="H452" s="5">
        <f t="shared" si="13"/>
        <v>26.763995569593749</v>
      </c>
    </row>
    <row r="453" spans="2:8" x14ac:dyDescent="0.2">
      <c r="B453" s="1">
        <v>446</v>
      </c>
      <c r="C453" s="2">
        <v>3773.8363157217655</v>
      </c>
      <c r="D453" s="3"/>
      <c r="E453" s="2">
        <f t="shared" si="12"/>
        <v>68.90044986103311</v>
      </c>
      <c r="F453" s="2">
        <v>596.30654142109142</v>
      </c>
      <c r="G453" s="3"/>
      <c r="H453" s="5">
        <f t="shared" si="13"/>
        <v>23.242728011601361</v>
      </c>
    </row>
    <row r="454" spans="2:8" x14ac:dyDescent="0.2">
      <c r="B454" s="1">
        <v>447</v>
      </c>
      <c r="C454" s="2">
        <v>3779.2943829636092</v>
      </c>
      <c r="D454" s="3"/>
      <c r="E454" s="2">
        <f t="shared" si="12"/>
        <v>69.000099993384666</v>
      </c>
      <c r="F454" s="2">
        <v>505.99133132210545</v>
      </c>
      <c r="G454" s="3"/>
      <c r="H454" s="5">
        <f t="shared" si="13"/>
        <v>19.722438164304517</v>
      </c>
    </row>
    <row r="455" spans="2:8" x14ac:dyDescent="0.2">
      <c r="B455" s="1">
        <v>448</v>
      </c>
      <c r="C455" s="2">
        <v>3784.7278169577667</v>
      </c>
      <c r="D455" s="3"/>
      <c r="E455" s="2">
        <f t="shared" si="12"/>
        <v>69.099300386610011</v>
      </c>
      <c r="F455" s="2">
        <v>415.7007544708049</v>
      </c>
      <c r="G455" s="3"/>
      <c r="H455" s="5">
        <f t="shared" si="13"/>
        <v>16.203108467259639</v>
      </c>
    </row>
    <row r="456" spans="2:8" x14ac:dyDescent="0.2">
      <c r="B456" s="1">
        <v>449</v>
      </c>
      <c r="C456" s="2">
        <v>3790.1370654222992</v>
      </c>
      <c r="D456" s="3"/>
      <c r="E456" s="2">
        <f t="shared" si="12"/>
        <v>69.198059214878143</v>
      </c>
      <c r="F456" s="2">
        <v>325.43436314912924</v>
      </c>
      <c r="G456" s="3"/>
      <c r="H456" s="5">
        <f t="shared" si="13"/>
        <v>12.684721469393523</v>
      </c>
    </row>
    <row r="457" spans="2:8" x14ac:dyDescent="0.2">
      <c r="B457" s="1">
        <v>450</v>
      </c>
      <c r="C457" s="2">
        <v>3795.5225732482331</v>
      </c>
      <c r="D457" s="3"/>
      <c r="E457" s="2">
        <f t="shared" ref="E457:E520" si="14">C457*$D$5</f>
        <v>69.296384600743735</v>
      </c>
      <c r="F457" s="2">
        <v>235.19171246605265</v>
      </c>
      <c r="G457" s="3"/>
      <c r="H457" s="5">
        <f t="shared" ref="H457:H520" si="15">$G$5*F457</f>
        <v>9.1672598298246086</v>
      </c>
    </row>
    <row r="458" spans="2:8" x14ac:dyDescent="0.2">
      <c r="B458" s="1">
        <v>451</v>
      </c>
      <c r="C458" s="2">
        <v>3800.8847824787345</v>
      </c>
      <c r="D458" s="3"/>
      <c r="E458" s="2">
        <f t="shared" si="14"/>
        <v>69.394284614766974</v>
      </c>
      <c r="F458" s="2">
        <v>144.97236037840912</v>
      </c>
      <c r="G458" s="3"/>
      <c r="H458" s="5">
        <f t="shared" si="15"/>
        <v>5.6507063186746986</v>
      </c>
    </row>
    <row r="459" spans="2:8" x14ac:dyDescent="0.2">
      <c r="B459" s="1">
        <v>452</v>
      </c>
      <c r="C459" s="2">
        <v>3806.2241322885193</v>
      </c>
      <c r="D459" s="3"/>
      <c r="E459" s="2">
        <f t="shared" si="14"/>
        <v>69.491767275137533</v>
      </c>
      <c r="F459" s="2">
        <v>54.775867711480714</v>
      </c>
      <c r="G459" s="3"/>
      <c r="H459" s="5">
        <f t="shared" si="15"/>
        <v>2.1350438178714439</v>
      </c>
    </row>
    <row r="460" spans="2:8" x14ac:dyDescent="0.2">
      <c r="B460" s="1">
        <v>453</v>
      </c>
      <c r="C460" s="2">
        <v>3811.5408659439586</v>
      </c>
      <c r="D460" s="3"/>
      <c r="E460" s="2">
        <f t="shared" si="14"/>
        <v>69.588837023267558</v>
      </c>
      <c r="F460" s="2">
        <v>346.45913405604142</v>
      </c>
      <c r="G460" s="3"/>
      <c r="H460" s="5">
        <f t="shared" si="15"/>
        <v>13.504221169214031</v>
      </c>
    </row>
    <row r="461" spans="2:8" x14ac:dyDescent="0.2">
      <c r="B461" s="1">
        <v>454</v>
      </c>
      <c r="C461" s="2">
        <v>3712.4999999999995</v>
      </c>
      <c r="D461" s="3"/>
      <c r="E461" s="2">
        <f t="shared" si="14"/>
        <v>67.780608036298375</v>
      </c>
      <c r="F461" s="2">
        <v>0</v>
      </c>
      <c r="G461" s="3"/>
      <c r="H461" s="5">
        <f t="shared" si="15"/>
        <v>0</v>
      </c>
    </row>
    <row r="462" spans="2:8" x14ac:dyDescent="0.2">
      <c r="B462" s="1">
        <v>455</v>
      </c>
      <c r="C462" s="2">
        <v>3267</v>
      </c>
      <c r="D462" s="3"/>
      <c r="E462" s="2">
        <f t="shared" si="14"/>
        <v>59.646935071942586</v>
      </c>
      <c r="F462" s="2">
        <v>0</v>
      </c>
      <c r="G462" s="3"/>
      <c r="H462" s="5">
        <f t="shared" si="15"/>
        <v>0</v>
      </c>
    </row>
    <row r="463" spans="2:8" x14ac:dyDescent="0.2">
      <c r="B463" s="1">
        <v>456</v>
      </c>
      <c r="C463" s="2">
        <v>2821.4999999999995</v>
      </c>
      <c r="D463" s="3"/>
      <c r="E463" s="2">
        <f t="shared" si="14"/>
        <v>51.513262107586769</v>
      </c>
      <c r="F463" s="2">
        <v>0</v>
      </c>
      <c r="G463" s="3"/>
      <c r="H463" s="5">
        <f t="shared" si="15"/>
        <v>0</v>
      </c>
    </row>
    <row r="464" spans="2:8" x14ac:dyDescent="0.2">
      <c r="B464" s="1">
        <v>457</v>
      </c>
      <c r="C464" s="2">
        <v>2376</v>
      </c>
      <c r="D464" s="3"/>
      <c r="E464" s="2">
        <f t="shared" si="14"/>
        <v>43.379589143230966</v>
      </c>
      <c r="F464" s="2">
        <v>0</v>
      </c>
      <c r="G464" s="3"/>
      <c r="H464" s="5">
        <f t="shared" si="15"/>
        <v>0</v>
      </c>
    </row>
    <row r="465" spans="2:8" x14ac:dyDescent="0.2">
      <c r="B465" s="1">
        <v>458</v>
      </c>
      <c r="C465" s="2">
        <v>2376</v>
      </c>
      <c r="D465" s="3"/>
      <c r="E465" s="2">
        <f t="shared" si="14"/>
        <v>43.379589143230966</v>
      </c>
      <c r="F465" s="2">
        <v>0</v>
      </c>
      <c r="G465" s="3"/>
      <c r="H465" s="5">
        <f t="shared" si="15"/>
        <v>0</v>
      </c>
    </row>
    <row r="466" spans="2:8" x14ac:dyDescent="0.2">
      <c r="B466" s="1">
        <v>459</v>
      </c>
      <c r="C466" s="2">
        <v>2545.7142857142858</v>
      </c>
      <c r="D466" s="3"/>
      <c r="E466" s="2">
        <f t="shared" si="14"/>
        <v>46.478131224890326</v>
      </c>
      <c r="F466" s="2">
        <v>0</v>
      </c>
      <c r="G466" s="3"/>
      <c r="H466" s="5">
        <f t="shared" si="15"/>
        <v>0</v>
      </c>
    </row>
    <row r="467" spans="2:8" x14ac:dyDescent="0.2">
      <c r="B467" s="1">
        <v>460</v>
      </c>
      <c r="C467" s="2">
        <v>2715.4285714285716</v>
      </c>
      <c r="D467" s="3"/>
      <c r="E467" s="2">
        <f t="shared" si="14"/>
        <v>49.576673306549679</v>
      </c>
      <c r="F467" s="2">
        <v>0</v>
      </c>
      <c r="G467" s="3"/>
      <c r="H467" s="5">
        <f t="shared" si="15"/>
        <v>0</v>
      </c>
    </row>
    <row r="468" spans="2:8" x14ac:dyDescent="0.2">
      <c r="B468" s="1">
        <v>461</v>
      </c>
      <c r="C468" s="2">
        <v>2885.1428571428573</v>
      </c>
      <c r="D468" s="3"/>
      <c r="E468" s="2">
        <f t="shared" si="14"/>
        <v>52.67521538820904</v>
      </c>
      <c r="F468" s="2">
        <v>0</v>
      </c>
      <c r="G468" s="3"/>
      <c r="H468" s="5">
        <f t="shared" si="15"/>
        <v>0</v>
      </c>
    </row>
    <row r="469" spans="2:8" x14ac:dyDescent="0.2">
      <c r="B469" s="1">
        <v>462</v>
      </c>
      <c r="C469" s="2">
        <v>3054.8571428571431</v>
      </c>
      <c r="D469" s="3"/>
      <c r="E469" s="2">
        <f t="shared" si="14"/>
        <v>55.773757469868393</v>
      </c>
      <c r="F469" s="2">
        <v>0</v>
      </c>
      <c r="G469" s="3"/>
      <c r="H469" s="5">
        <f t="shared" si="15"/>
        <v>0</v>
      </c>
    </row>
    <row r="470" spans="2:8" x14ac:dyDescent="0.2">
      <c r="B470" s="1">
        <v>463</v>
      </c>
      <c r="C470" s="2">
        <v>3224.5714285714284</v>
      </c>
      <c r="D470" s="3"/>
      <c r="E470" s="2">
        <f t="shared" si="14"/>
        <v>58.872299551527739</v>
      </c>
      <c r="F470" s="2">
        <v>0</v>
      </c>
      <c r="G470" s="3"/>
      <c r="H470" s="5">
        <f t="shared" si="15"/>
        <v>0</v>
      </c>
    </row>
    <row r="471" spans="2:8" x14ac:dyDescent="0.2">
      <c r="B471" s="1">
        <v>464</v>
      </c>
      <c r="C471" s="2">
        <v>3394.2857142857147</v>
      </c>
      <c r="D471" s="3"/>
      <c r="E471" s="2">
        <f t="shared" si="14"/>
        <v>61.970841633187106</v>
      </c>
      <c r="F471" s="2">
        <v>0</v>
      </c>
      <c r="G471" s="3"/>
      <c r="H471" s="5">
        <f t="shared" si="15"/>
        <v>0</v>
      </c>
    </row>
    <row r="472" spans="2:8" x14ac:dyDescent="0.2">
      <c r="B472" s="1">
        <v>465</v>
      </c>
      <c r="C472" s="2">
        <v>3564</v>
      </c>
      <c r="D472" s="3"/>
      <c r="E472" s="2">
        <f t="shared" si="14"/>
        <v>65.069383714846452</v>
      </c>
      <c r="F472" s="2">
        <v>0</v>
      </c>
      <c r="G472" s="3"/>
      <c r="H472" s="5">
        <f t="shared" si="15"/>
        <v>0</v>
      </c>
    </row>
    <row r="473" spans="2:8" x14ac:dyDescent="0.2">
      <c r="B473" s="1">
        <v>466</v>
      </c>
      <c r="C473" s="2">
        <v>3733.7142857142858</v>
      </c>
      <c r="D473" s="3"/>
      <c r="E473" s="2">
        <f t="shared" si="14"/>
        <v>68.167925796505813</v>
      </c>
      <c r="F473" s="2">
        <v>0</v>
      </c>
      <c r="G473" s="3"/>
      <c r="H473" s="5">
        <f t="shared" si="15"/>
        <v>0</v>
      </c>
    </row>
    <row r="474" spans="2:8" x14ac:dyDescent="0.2">
      <c r="B474" s="1">
        <v>467</v>
      </c>
      <c r="C474" s="2">
        <v>3759.1954373665603</v>
      </c>
      <c r="D474" s="3"/>
      <c r="E474" s="2">
        <f t="shared" si="14"/>
        <v>68.633145446999094</v>
      </c>
      <c r="F474" s="2">
        <v>144.23313406201169</v>
      </c>
      <c r="G474" s="3"/>
      <c r="H474" s="5">
        <f t="shared" si="15"/>
        <v>5.621892889645232</v>
      </c>
    </row>
    <row r="475" spans="2:8" x14ac:dyDescent="0.2">
      <c r="B475" s="1">
        <v>468</v>
      </c>
      <c r="C475" s="2">
        <v>3749.9620417512133</v>
      </c>
      <c r="D475" s="3"/>
      <c r="E475" s="2">
        <f t="shared" si="14"/>
        <v>68.46456762368652</v>
      </c>
      <c r="F475" s="2">
        <v>323.1808153916445</v>
      </c>
      <c r="G475" s="3"/>
      <c r="H475" s="5">
        <f t="shared" si="15"/>
        <v>12.596883094413524</v>
      </c>
    </row>
    <row r="476" spans="2:8" x14ac:dyDescent="0.2">
      <c r="B476" s="1">
        <v>469</v>
      </c>
      <c r="C476" s="2">
        <v>3740.7663005766558</v>
      </c>
      <c r="D476" s="3"/>
      <c r="E476" s="2">
        <f t="shared" si="14"/>
        <v>68.296677272668092</v>
      </c>
      <c r="F476" s="2">
        <v>417.23369942334421</v>
      </c>
      <c r="G476" s="3"/>
      <c r="H476" s="5">
        <f t="shared" si="15"/>
        <v>16.262859317055312</v>
      </c>
    </row>
    <row r="477" spans="2:8" x14ac:dyDescent="0.2">
      <c r="B477" s="1">
        <v>470</v>
      </c>
      <c r="C477" s="2">
        <v>3731.6080993239261</v>
      </c>
      <c r="D477" s="3"/>
      <c r="E477" s="2">
        <f t="shared" si="14"/>
        <v>68.12947230312497</v>
      </c>
      <c r="F477" s="2">
        <v>426.39190067607387</v>
      </c>
      <c r="G477" s="3"/>
      <c r="H477" s="5">
        <f t="shared" si="15"/>
        <v>16.619826021269926</v>
      </c>
    </row>
    <row r="478" spans="2:8" x14ac:dyDescent="0.2">
      <c r="B478" s="1">
        <v>471</v>
      </c>
      <c r="C478" s="2">
        <v>3723.281207240525</v>
      </c>
      <c r="D478" s="3"/>
      <c r="E478" s="2">
        <f t="shared" si="14"/>
        <v>67.977444879969269</v>
      </c>
      <c r="F478" s="2">
        <v>859.00450704518971</v>
      </c>
      <c r="G478" s="3"/>
      <c r="H478" s="5">
        <f t="shared" si="15"/>
        <v>33.482121578626149</v>
      </c>
    </row>
    <row r="479" spans="2:8" x14ac:dyDescent="0.2">
      <c r="B479" s="1">
        <v>472</v>
      </c>
      <c r="C479" s="2">
        <v>3722.7273145750255</v>
      </c>
      <c r="D479" s="3"/>
      <c r="E479" s="2">
        <f t="shared" si="14"/>
        <v>67.96733223844619</v>
      </c>
      <c r="F479" s="2">
        <v>1029.2726854249745</v>
      </c>
      <c r="G479" s="3"/>
      <c r="H479" s="5">
        <f t="shared" si="15"/>
        <v>40.118803694641223</v>
      </c>
    </row>
    <row r="480" spans="2:8" x14ac:dyDescent="0.2">
      <c r="B480" s="1">
        <v>473</v>
      </c>
      <c r="C480" s="2">
        <v>3730.1975765853576</v>
      </c>
      <c r="D480" s="3"/>
      <c r="E480" s="2">
        <f t="shared" si="14"/>
        <v>68.10371982127468</v>
      </c>
      <c r="F480" s="2">
        <v>784.202423414642</v>
      </c>
      <c r="G480" s="3"/>
      <c r="H480" s="5">
        <f t="shared" si="15"/>
        <v>30.566499555794543</v>
      </c>
    </row>
    <row r="481" spans="2:8" x14ac:dyDescent="0.2">
      <c r="B481" s="1">
        <v>474</v>
      </c>
      <c r="C481" s="2">
        <v>3737.6402490213463</v>
      </c>
      <c r="D481" s="3"/>
      <c r="E481" s="2">
        <f t="shared" si="14"/>
        <v>68.239603690130252</v>
      </c>
      <c r="F481" s="2">
        <v>539.15975097865385</v>
      </c>
      <c r="G481" s="3"/>
      <c r="H481" s="5">
        <f t="shared" si="15"/>
        <v>21.015270798363122</v>
      </c>
    </row>
    <row r="482" spans="2:8" x14ac:dyDescent="0.2">
      <c r="B482" s="1">
        <v>475</v>
      </c>
      <c r="C482" s="2">
        <v>3745.0560300704497</v>
      </c>
      <c r="D482" s="3"/>
      <c r="E482" s="2">
        <f t="shared" si="14"/>
        <v>68.37499659210259</v>
      </c>
      <c r="F482" s="2">
        <v>412.94396992955035</v>
      </c>
      <c r="G482" s="3"/>
      <c r="H482" s="5">
        <f t="shared" si="15"/>
        <v>16.095655020369279</v>
      </c>
    </row>
    <row r="483" spans="2:8" x14ac:dyDescent="0.2">
      <c r="B483" s="1">
        <v>476</v>
      </c>
      <c r="C483" s="2">
        <v>3752.4455039109025</v>
      </c>
      <c r="D483" s="3"/>
      <c r="E483" s="2">
        <f t="shared" si="14"/>
        <v>68.509909192769044</v>
      </c>
      <c r="F483" s="2">
        <v>49.154496089096483</v>
      </c>
      <c r="G483" s="3"/>
      <c r="H483" s="5">
        <f t="shared" si="15"/>
        <v>1.9159350162811792</v>
      </c>
    </row>
    <row r="484" spans="2:8" x14ac:dyDescent="0.2">
      <c r="B484" s="1">
        <v>477</v>
      </c>
      <c r="C484" s="2">
        <v>3563.9999999999991</v>
      </c>
      <c r="D484" s="3"/>
      <c r="E484" s="2">
        <f t="shared" si="14"/>
        <v>65.069383714846438</v>
      </c>
      <c r="F484" s="2">
        <v>0</v>
      </c>
      <c r="G484" s="3"/>
      <c r="H484" s="5">
        <f t="shared" si="15"/>
        <v>0</v>
      </c>
    </row>
    <row r="485" spans="2:8" x14ac:dyDescent="0.2">
      <c r="B485" s="1">
        <v>478</v>
      </c>
      <c r="C485" s="2">
        <v>3326.3999999999996</v>
      </c>
      <c r="D485" s="3"/>
      <c r="E485" s="2">
        <f t="shared" si="14"/>
        <v>60.731424800523349</v>
      </c>
      <c r="F485" s="2">
        <v>0</v>
      </c>
      <c r="G485" s="3"/>
      <c r="H485" s="5">
        <f t="shared" si="15"/>
        <v>0</v>
      </c>
    </row>
    <row r="486" spans="2:8" x14ac:dyDescent="0.2">
      <c r="B486" s="1">
        <v>479</v>
      </c>
      <c r="C486" s="2">
        <v>2673</v>
      </c>
      <c r="D486" s="3"/>
      <c r="E486" s="2">
        <f t="shared" si="14"/>
        <v>48.802037786134839</v>
      </c>
      <c r="F486" s="2">
        <v>0</v>
      </c>
      <c r="G486" s="3"/>
      <c r="H486" s="5">
        <f t="shared" si="15"/>
        <v>0</v>
      </c>
    </row>
    <row r="487" spans="2:8" x14ac:dyDescent="0.2">
      <c r="B487" s="1">
        <v>480</v>
      </c>
      <c r="C487" s="2">
        <v>2524.5</v>
      </c>
      <c r="D487" s="3"/>
      <c r="E487" s="2">
        <f t="shared" si="14"/>
        <v>46.090813464682903</v>
      </c>
      <c r="F487" s="2">
        <v>0</v>
      </c>
      <c r="G487" s="3"/>
      <c r="H487" s="5">
        <f t="shared" si="15"/>
        <v>0</v>
      </c>
    </row>
    <row r="488" spans="2:8" x14ac:dyDescent="0.2">
      <c r="B488" s="1">
        <v>481</v>
      </c>
      <c r="C488" s="2">
        <v>2376</v>
      </c>
      <c r="D488" s="3"/>
      <c r="E488" s="2">
        <f t="shared" si="14"/>
        <v>43.379589143230966</v>
      </c>
      <c r="F488" s="2">
        <v>0</v>
      </c>
      <c r="G488" s="3"/>
      <c r="H488" s="5">
        <f t="shared" si="15"/>
        <v>0</v>
      </c>
    </row>
    <row r="489" spans="2:8" x14ac:dyDescent="0.2">
      <c r="B489" s="1">
        <v>482</v>
      </c>
      <c r="C489" s="2">
        <v>2376</v>
      </c>
      <c r="D489" s="3"/>
      <c r="E489" s="2">
        <f t="shared" si="14"/>
        <v>43.379589143230966</v>
      </c>
      <c r="F489" s="2">
        <v>0</v>
      </c>
      <c r="G489" s="3"/>
      <c r="H489" s="5">
        <f t="shared" si="15"/>
        <v>0</v>
      </c>
    </row>
    <row r="490" spans="2:8" x14ac:dyDescent="0.2">
      <c r="B490" s="1">
        <v>483</v>
      </c>
      <c r="C490" s="2">
        <v>2524.5000000000005</v>
      </c>
      <c r="D490" s="3"/>
      <c r="E490" s="2">
        <f t="shared" si="14"/>
        <v>46.09081346468291</v>
      </c>
      <c r="F490" s="2">
        <v>0</v>
      </c>
      <c r="G490" s="3"/>
      <c r="H490" s="5">
        <f t="shared" si="15"/>
        <v>0</v>
      </c>
    </row>
    <row r="491" spans="2:8" x14ac:dyDescent="0.2">
      <c r="B491" s="1">
        <v>484</v>
      </c>
      <c r="C491" s="2">
        <v>2673</v>
      </c>
      <c r="D491" s="3"/>
      <c r="E491" s="2">
        <f t="shared" si="14"/>
        <v>48.802037786134839</v>
      </c>
      <c r="F491" s="2">
        <v>0</v>
      </c>
      <c r="G491" s="3"/>
      <c r="H491" s="5">
        <f t="shared" si="15"/>
        <v>0</v>
      </c>
    </row>
    <row r="492" spans="2:8" x14ac:dyDescent="0.2">
      <c r="B492" s="1">
        <v>485</v>
      </c>
      <c r="C492" s="2">
        <v>2821.4999999999995</v>
      </c>
      <c r="D492" s="3"/>
      <c r="E492" s="2">
        <f t="shared" si="14"/>
        <v>51.513262107586769</v>
      </c>
      <c r="F492" s="2">
        <v>0</v>
      </c>
      <c r="G492" s="3"/>
      <c r="H492" s="5">
        <f t="shared" si="15"/>
        <v>0</v>
      </c>
    </row>
    <row r="493" spans="2:8" x14ac:dyDescent="0.2">
      <c r="B493" s="1">
        <v>486</v>
      </c>
      <c r="C493" s="2">
        <v>2969.9999999999995</v>
      </c>
      <c r="D493" s="3"/>
      <c r="E493" s="2">
        <f t="shared" si="14"/>
        <v>54.224486429038706</v>
      </c>
      <c r="F493" s="2">
        <v>0</v>
      </c>
      <c r="G493" s="3"/>
      <c r="H493" s="5">
        <f t="shared" si="15"/>
        <v>0</v>
      </c>
    </row>
    <row r="494" spans="2:8" x14ac:dyDescent="0.2">
      <c r="B494" s="1">
        <v>487</v>
      </c>
      <c r="C494" s="2">
        <v>3118.5</v>
      </c>
      <c r="D494" s="3"/>
      <c r="E494" s="2">
        <f t="shared" si="14"/>
        <v>56.935710750490649</v>
      </c>
      <c r="F494" s="2">
        <v>0</v>
      </c>
      <c r="G494" s="3"/>
      <c r="H494" s="5">
        <f t="shared" si="15"/>
        <v>0</v>
      </c>
    </row>
    <row r="495" spans="2:8" x14ac:dyDescent="0.2">
      <c r="B495" s="1">
        <v>488</v>
      </c>
      <c r="C495" s="2">
        <v>3267</v>
      </c>
      <c r="D495" s="3"/>
      <c r="E495" s="2">
        <f t="shared" si="14"/>
        <v>59.646935071942586</v>
      </c>
      <c r="F495" s="2">
        <v>0</v>
      </c>
      <c r="G495" s="3"/>
      <c r="H495" s="5">
        <f t="shared" si="15"/>
        <v>0</v>
      </c>
    </row>
    <row r="496" spans="2:8" x14ac:dyDescent="0.2">
      <c r="B496" s="1">
        <v>489</v>
      </c>
      <c r="C496" s="2">
        <v>3415.5</v>
      </c>
      <c r="D496" s="3"/>
      <c r="E496" s="2">
        <f t="shared" si="14"/>
        <v>62.358159393394516</v>
      </c>
      <c r="F496" s="2">
        <v>0</v>
      </c>
      <c r="G496" s="3"/>
      <c r="H496" s="5">
        <f t="shared" si="15"/>
        <v>0</v>
      </c>
    </row>
    <row r="497" spans="2:8" x14ac:dyDescent="0.2">
      <c r="B497" s="1">
        <v>490</v>
      </c>
      <c r="C497" s="2">
        <v>3564</v>
      </c>
      <c r="D497" s="3"/>
      <c r="E497" s="2">
        <f t="shared" si="14"/>
        <v>65.069383714846452</v>
      </c>
      <c r="F497" s="2">
        <v>0</v>
      </c>
      <c r="G497" s="3"/>
      <c r="H497" s="5">
        <f t="shared" si="15"/>
        <v>0</v>
      </c>
    </row>
    <row r="498" spans="2:8" x14ac:dyDescent="0.2">
      <c r="B498" s="1">
        <v>491</v>
      </c>
      <c r="C498" s="2">
        <v>3712.5000000000005</v>
      </c>
      <c r="D498" s="3"/>
      <c r="E498" s="2">
        <f t="shared" si="14"/>
        <v>67.780608036298403</v>
      </c>
      <c r="F498" s="2">
        <v>0</v>
      </c>
      <c r="G498" s="3"/>
      <c r="H498" s="5">
        <f t="shared" si="15"/>
        <v>0</v>
      </c>
    </row>
    <row r="499" spans="2:8" x14ac:dyDescent="0.2">
      <c r="B499" s="1">
        <v>492</v>
      </c>
      <c r="C499" s="2">
        <v>3722.3562966504742</v>
      </c>
      <c r="D499" s="3"/>
      <c r="E499" s="2">
        <f t="shared" si="14"/>
        <v>67.96055841473752</v>
      </c>
      <c r="F499" s="2">
        <v>138.64370334952673</v>
      </c>
      <c r="G499" s="3"/>
      <c r="H499" s="5">
        <f t="shared" si="15"/>
        <v>5.4040290750367674</v>
      </c>
    </row>
    <row r="500" spans="2:8" x14ac:dyDescent="0.2">
      <c r="B500" s="1">
        <v>493</v>
      </c>
      <c r="C500" s="2">
        <v>3716.8261777035914</v>
      </c>
      <c r="D500" s="3"/>
      <c r="E500" s="2">
        <f t="shared" si="14"/>
        <v>67.859592805381894</v>
      </c>
      <c r="F500" s="2">
        <v>292.67382229640907</v>
      </c>
      <c r="G500" s="3"/>
      <c r="H500" s="5">
        <f t="shared" si="15"/>
        <v>11.407787061231424</v>
      </c>
    </row>
    <row r="501" spans="2:8" x14ac:dyDescent="0.2">
      <c r="B501" s="1">
        <v>494</v>
      </c>
      <c r="C501" s="2">
        <v>3711.3264546854366</v>
      </c>
      <c r="D501" s="3"/>
      <c r="E501" s="2">
        <f t="shared" si="14"/>
        <v>67.759182146741693</v>
      </c>
      <c r="F501" s="2">
        <v>446.67354531456431</v>
      </c>
      <c r="G501" s="3"/>
      <c r="H501" s="5">
        <f t="shared" si="15"/>
        <v>17.410360280439654</v>
      </c>
    </row>
    <row r="502" spans="2:8" x14ac:dyDescent="0.2">
      <c r="B502" s="1">
        <v>495</v>
      </c>
      <c r="C502" s="2">
        <v>3705.8570229956845</v>
      </c>
      <c r="D502" s="3"/>
      <c r="E502" s="2">
        <f t="shared" si="14"/>
        <v>67.659324529086632</v>
      </c>
      <c r="F502" s="2">
        <v>303.64297700431553</v>
      </c>
      <c r="G502" s="3"/>
      <c r="H502" s="5">
        <f t="shared" si="15"/>
        <v>11.835340780138235</v>
      </c>
    </row>
    <row r="503" spans="2:8" x14ac:dyDescent="0.2">
      <c r="B503" s="1">
        <v>496</v>
      </c>
      <c r="C503" s="2">
        <v>3706.3756998921554</v>
      </c>
      <c r="D503" s="3"/>
      <c r="E503" s="2">
        <f t="shared" si="14"/>
        <v>67.668794222128298</v>
      </c>
      <c r="F503" s="2">
        <v>451.62430010784465</v>
      </c>
      <c r="G503" s="3"/>
      <c r="H503" s="5">
        <f t="shared" si="15"/>
        <v>17.603329901128571</v>
      </c>
    </row>
    <row r="504" spans="2:8" x14ac:dyDescent="0.2">
      <c r="B504" s="1">
        <v>497</v>
      </c>
      <c r="C504" s="2">
        <v>3714.9288799079313</v>
      </c>
      <c r="D504" s="3"/>
      <c r="E504" s="2">
        <f t="shared" si="14"/>
        <v>67.824953075222766</v>
      </c>
      <c r="F504" s="2">
        <v>1037.0711200920687</v>
      </c>
      <c r="G504" s="3"/>
      <c r="H504" s="5">
        <f t="shared" si="15"/>
        <v>40.422769663975636</v>
      </c>
    </row>
    <row r="505" spans="2:8" x14ac:dyDescent="0.2">
      <c r="B505" s="1">
        <v>498</v>
      </c>
      <c r="C505" s="2">
        <v>3723.4502227303101</v>
      </c>
      <c r="D505" s="3"/>
      <c r="E505" s="2">
        <f t="shared" si="14"/>
        <v>67.98053066385215</v>
      </c>
      <c r="F505" s="2">
        <v>880.04977726968991</v>
      </c>
      <c r="G505" s="3"/>
      <c r="H505" s="5">
        <f t="shared" si="15"/>
        <v>34.302420297122495</v>
      </c>
    </row>
    <row r="506" spans="2:8" x14ac:dyDescent="0.2">
      <c r="B506" s="1">
        <v>499</v>
      </c>
      <c r="C506" s="2">
        <v>3731.9396386467374</v>
      </c>
      <c r="D506" s="3"/>
      <c r="E506" s="2">
        <f t="shared" si="14"/>
        <v>68.135525350098192</v>
      </c>
      <c r="F506" s="2">
        <v>1168.5603613532617</v>
      </c>
      <c r="G506" s="3"/>
      <c r="H506" s="5">
        <f t="shared" si="15"/>
        <v>45.54793341583121</v>
      </c>
    </row>
    <row r="507" spans="2:8" x14ac:dyDescent="0.2">
      <c r="B507" s="1">
        <v>500</v>
      </c>
      <c r="C507" s="2">
        <v>3740.396828595829</v>
      </c>
      <c r="D507" s="3"/>
      <c r="E507" s="2">
        <f t="shared" si="14"/>
        <v>68.289931673876751</v>
      </c>
      <c r="F507" s="2">
        <v>833.40317140417119</v>
      </c>
      <c r="G507" s="3"/>
      <c r="H507" s="5">
        <f t="shared" si="15"/>
        <v>32.484237370245964</v>
      </c>
    </row>
    <row r="508" spans="2:8" x14ac:dyDescent="0.2">
      <c r="B508" s="1">
        <v>501</v>
      </c>
      <c r="C508" s="2">
        <v>3748.8225300530357</v>
      </c>
      <c r="D508" s="3"/>
      <c r="E508" s="2">
        <f t="shared" si="14"/>
        <v>68.443763099574213</v>
      </c>
      <c r="F508" s="2">
        <v>498.27746994696463</v>
      </c>
      <c r="G508" s="3"/>
      <c r="H508" s="5">
        <f t="shared" si="15"/>
        <v>19.421768677375336</v>
      </c>
    </row>
    <row r="509" spans="2:8" x14ac:dyDescent="0.2">
      <c r="B509" s="1">
        <v>502</v>
      </c>
      <c r="C509" s="2">
        <v>3757.2177903317797</v>
      </c>
      <c r="D509" s="3"/>
      <c r="E509" s="2">
        <f t="shared" si="14"/>
        <v>68.59703874841361</v>
      </c>
      <c r="F509" s="2">
        <v>163.18220966821991</v>
      </c>
      <c r="G509" s="3"/>
      <c r="H509" s="5">
        <f t="shared" si="15"/>
        <v>6.3604865152270653</v>
      </c>
    </row>
    <row r="510" spans="2:8" x14ac:dyDescent="0.2">
      <c r="B510" s="1">
        <v>503</v>
      </c>
      <c r="C510" s="2">
        <v>3593.7</v>
      </c>
      <c r="D510" s="3"/>
      <c r="E510" s="2">
        <f t="shared" si="14"/>
        <v>65.611628579136834</v>
      </c>
      <c r="F510" s="2">
        <v>0</v>
      </c>
      <c r="G510" s="3"/>
      <c r="H510" s="5">
        <f t="shared" si="15"/>
        <v>0</v>
      </c>
    </row>
    <row r="511" spans="2:8" x14ac:dyDescent="0.2">
      <c r="B511" s="1">
        <v>504</v>
      </c>
      <c r="C511" s="2">
        <v>3267</v>
      </c>
      <c r="D511" s="3"/>
      <c r="E511" s="2">
        <f t="shared" si="14"/>
        <v>59.646935071942586</v>
      </c>
      <c r="F511" s="2">
        <v>0</v>
      </c>
      <c r="G511" s="3"/>
      <c r="H511" s="5">
        <f t="shared" si="15"/>
        <v>0</v>
      </c>
    </row>
    <row r="512" spans="2:8" x14ac:dyDescent="0.2">
      <c r="B512" s="1">
        <v>505</v>
      </c>
      <c r="C512" s="2">
        <v>2524.5</v>
      </c>
      <c r="D512" s="3"/>
      <c r="E512" s="2">
        <f t="shared" si="14"/>
        <v>46.090813464682903</v>
      </c>
      <c r="F512" s="2">
        <v>0</v>
      </c>
      <c r="G512" s="3"/>
      <c r="H512" s="5">
        <f t="shared" si="15"/>
        <v>0</v>
      </c>
    </row>
    <row r="513" spans="2:8" x14ac:dyDescent="0.2">
      <c r="B513" s="1">
        <v>506</v>
      </c>
      <c r="C513" s="2">
        <v>2376</v>
      </c>
      <c r="D513" s="3"/>
      <c r="E513" s="2">
        <f t="shared" si="14"/>
        <v>43.379589143230966</v>
      </c>
      <c r="F513" s="2">
        <v>0</v>
      </c>
      <c r="G513" s="3"/>
      <c r="H513" s="5">
        <f t="shared" si="15"/>
        <v>0</v>
      </c>
    </row>
    <row r="514" spans="2:8" x14ac:dyDescent="0.2">
      <c r="B514" s="1">
        <v>507</v>
      </c>
      <c r="C514" s="2">
        <v>2524.5</v>
      </c>
      <c r="D514" s="3"/>
      <c r="E514" s="2">
        <f t="shared" si="14"/>
        <v>46.090813464682903</v>
      </c>
      <c r="F514" s="2">
        <v>0</v>
      </c>
      <c r="G514" s="3"/>
      <c r="H514" s="5">
        <f t="shared" si="15"/>
        <v>0</v>
      </c>
    </row>
    <row r="515" spans="2:8" x14ac:dyDescent="0.2">
      <c r="B515" s="1">
        <v>508</v>
      </c>
      <c r="C515" s="2">
        <v>2673</v>
      </c>
      <c r="D515" s="3"/>
      <c r="E515" s="2">
        <f t="shared" si="14"/>
        <v>48.802037786134839</v>
      </c>
      <c r="F515" s="2">
        <v>0</v>
      </c>
      <c r="G515" s="3"/>
      <c r="H515" s="5">
        <f t="shared" si="15"/>
        <v>0</v>
      </c>
    </row>
    <row r="516" spans="2:8" x14ac:dyDescent="0.2">
      <c r="B516" s="1">
        <v>509</v>
      </c>
      <c r="C516" s="2">
        <v>3044.2499999999995</v>
      </c>
      <c r="D516" s="3"/>
      <c r="E516" s="2">
        <f t="shared" si="14"/>
        <v>55.580098589764674</v>
      </c>
      <c r="F516" s="2">
        <v>0</v>
      </c>
      <c r="G516" s="3"/>
      <c r="H516" s="5">
        <f t="shared" si="15"/>
        <v>0</v>
      </c>
    </row>
    <row r="517" spans="2:8" x14ac:dyDescent="0.2">
      <c r="B517" s="1">
        <v>510</v>
      </c>
      <c r="C517" s="2">
        <v>3266.9999999999995</v>
      </c>
      <c r="D517" s="3"/>
      <c r="E517" s="2">
        <f t="shared" si="14"/>
        <v>59.646935071942572</v>
      </c>
      <c r="F517" s="2">
        <v>0</v>
      </c>
      <c r="G517" s="3"/>
      <c r="H517" s="5">
        <f t="shared" si="15"/>
        <v>0</v>
      </c>
    </row>
    <row r="518" spans="2:8" x14ac:dyDescent="0.2">
      <c r="B518" s="1">
        <v>511</v>
      </c>
      <c r="C518" s="2">
        <v>3489.7499999999995</v>
      </c>
      <c r="D518" s="3"/>
      <c r="E518" s="2">
        <f t="shared" si="14"/>
        <v>63.713771554120477</v>
      </c>
      <c r="F518" s="2">
        <v>0</v>
      </c>
      <c r="G518" s="3"/>
      <c r="H518" s="5">
        <f t="shared" si="15"/>
        <v>0</v>
      </c>
    </row>
    <row r="519" spans="2:8" x14ac:dyDescent="0.2">
      <c r="B519" s="1">
        <v>512</v>
      </c>
      <c r="C519" s="2">
        <v>3712.4999999999991</v>
      </c>
      <c r="D519" s="3"/>
      <c r="E519" s="2">
        <f t="shared" si="14"/>
        <v>67.780608036298375</v>
      </c>
      <c r="F519" s="2">
        <v>0</v>
      </c>
      <c r="G519" s="3"/>
      <c r="H519" s="5">
        <f t="shared" si="15"/>
        <v>0</v>
      </c>
    </row>
    <row r="520" spans="2:8" x14ac:dyDescent="0.2">
      <c r="B520" s="1">
        <v>513</v>
      </c>
      <c r="C520" s="2">
        <v>3743.5259909907286</v>
      </c>
      <c r="D520" s="3"/>
      <c r="E520" s="2">
        <f t="shared" si="14"/>
        <v>68.347062052266153</v>
      </c>
      <c r="F520" s="2">
        <v>191.7240090092705</v>
      </c>
      <c r="G520" s="3"/>
      <c r="H520" s="5">
        <f t="shared" si="15"/>
        <v>7.472983583370544</v>
      </c>
    </row>
    <row r="521" spans="2:8" x14ac:dyDescent="0.2">
      <c r="B521" s="1">
        <v>514</v>
      </c>
      <c r="C521" s="2">
        <v>3738.0022416851953</v>
      </c>
      <c r="D521" s="3"/>
      <c r="E521" s="2">
        <f t="shared" ref="E521:E584" si="16">C521*$D$5</f>
        <v>68.246212736018563</v>
      </c>
      <c r="F521" s="2">
        <v>419.99775831480292</v>
      </c>
      <c r="G521" s="3"/>
      <c r="H521" s="5">
        <f t="shared" ref="H521:H584" si="17">$G$5*F521</f>
        <v>16.370596302246049</v>
      </c>
    </row>
    <row r="522" spans="2:8" x14ac:dyDescent="0.2">
      <c r="B522" s="1">
        <v>515</v>
      </c>
      <c r="C522" s="2">
        <v>3732.5087252611365</v>
      </c>
      <c r="D522" s="3"/>
      <c r="E522" s="2">
        <f t="shared" si="16"/>
        <v>68.145915393667025</v>
      </c>
      <c r="F522" s="2">
        <v>648.24127473886165</v>
      </c>
      <c r="G522" s="3"/>
      <c r="H522" s="5">
        <f t="shared" si="17"/>
        <v>25.267030609361342</v>
      </c>
    </row>
    <row r="523" spans="2:8" x14ac:dyDescent="0.2">
      <c r="B523" s="1">
        <v>516</v>
      </c>
      <c r="C523" s="2">
        <v>3727.0453378265515</v>
      </c>
      <c r="D523" s="3"/>
      <c r="E523" s="2">
        <f t="shared" si="16"/>
        <v>68.046168128413413</v>
      </c>
      <c r="F523" s="2">
        <v>876.45466217344665</v>
      </c>
      <c r="G523" s="3"/>
      <c r="H523" s="5">
        <f t="shared" si="17"/>
        <v>34.162290554199927</v>
      </c>
    </row>
    <row r="524" spans="2:8" x14ac:dyDescent="0.2">
      <c r="B524" s="1">
        <v>517</v>
      </c>
      <c r="C524" s="2">
        <v>3721.6119757753422</v>
      </c>
      <c r="D524" s="3"/>
      <c r="E524" s="2">
        <f t="shared" si="16"/>
        <v>67.946969048679463</v>
      </c>
      <c r="F524" s="2">
        <v>1104.6380242246578</v>
      </c>
      <c r="G524" s="3"/>
      <c r="H524" s="5">
        <f t="shared" si="17"/>
        <v>43.05638017510153</v>
      </c>
    </row>
    <row r="525" spans="2:8" x14ac:dyDescent="0.2">
      <c r="B525" s="1">
        <v>518</v>
      </c>
      <c r="C525" s="2">
        <v>3716.2085357866536</v>
      </c>
      <c r="D525" s="3"/>
      <c r="E525" s="2">
        <f t="shared" si="16"/>
        <v>67.848316268094692</v>
      </c>
      <c r="F525" s="2">
        <v>1332.7914642133464</v>
      </c>
      <c r="G525" s="3"/>
      <c r="H525" s="5">
        <f t="shared" si="17"/>
        <v>51.949303499287517</v>
      </c>
    </row>
    <row r="526" spans="2:8" x14ac:dyDescent="0.2">
      <c r="B526" s="1">
        <v>519</v>
      </c>
      <c r="C526" s="2">
        <v>3710.8349148242173</v>
      </c>
      <c r="D526" s="3"/>
      <c r="E526" s="2">
        <f t="shared" si="16"/>
        <v>67.750207905484444</v>
      </c>
      <c r="F526" s="2">
        <v>1189.6650851757818</v>
      </c>
      <c r="G526" s="3"/>
      <c r="H526" s="5">
        <f t="shared" si="17"/>
        <v>46.370549505867359</v>
      </c>
    </row>
    <row r="527" spans="2:8" x14ac:dyDescent="0.2">
      <c r="B527" s="1">
        <v>520</v>
      </c>
      <c r="C527" s="2">
        <v>3711.4752058750087</v>
      </c>
      <c r="D527" s="3"/>
      <c r="E527" s="2">
        <f t="shared" si="16"/>
        <v>67.761897957132348</v>
      </c>
      <c r="F527" s="2">
        <v>1387.0247941249913</v>
      </c>
      <c r="G527" s="3"/>
      <c r="H527" s="5">
        <f t="shared" si="17"/>
        <v>54.063200377386096</v>
      </c>
    </row>
    <row r="528" spans="2:8" x14ac:dyDescent="0.2">
      <c r="B528" s="1">
        <v>521</v>
      </c>
      <c r="C528" s="2">
        <v>3720.1502452383911</v>
      </c>
      <c r="D528" s="3"/>
      <c r="E528" s="2">
        <f t="shared" si="16"/>
        <v>67.920281645425646</v>
      </c>
      <c r="F528" s="2">
        <v>2071.3497547616089</v>
      </c>
      <c r="G528" s="3"/>
      <c r="H528" s="5">
        <f t="shared" si="17"/>
        <v>80.736694338598127</v>
      </c>
    </row>
    <row r="529" spans="2:8" x14ac:dyDescent="0.2">
      <c r="B529" s="1">
        <v>522</v>
      </c>
      <c r="C529" s="2">
        <v>3728.7883779103881</v>
      </c>
      <c r="D529" s="3"/>
      <c r="E529" s="2">
        <f t="shared" si="16"/>
        <v>68.077991513386905</v>
      </c>
      <c r="F529" s="2">
        <v>1914.211622089611</v>
      </c>
      <c r="G529" s="3"/>
      <c r="H529" s="5">
        <f t="shared" si="17"/>
        <v>74.611792758209404</v>
      </c>
    </row>
    <row r="530" spans="2:8" x14ac:dyDescent="0.2">
      <c r="B530" s="1">
        <v>523</v>
      </c>
      <c r="C530" s="2">
        <v>3737.3894918253127</v>
      </c>
      <c r="D530" s="3"/>
      <c r="E530" s="2">
        <f t="shared" si="16"/>
        <v>68.235025514987726</v>
      </c>
      <c r="F530" s="2">
        <v>2202.6105081746864</v>
      </c>
      <c r="G530" s="3"/>
      <c r="H530" s="5">
        <f t="shared" si="17"/>
        <v>85.852952132630307</v>
      </c>
    </row>
    <row r="531" spans="2:8" x14ac:dyDescent="0.2">
      <c r="B531" s="1">
        <v>524</v>
      </c>
      <c r="C531" s="2">
        <v>3745.9533010467303</v>
      </c>
      <c r="D531" s="3"/>
      <c r="E531" s="2">
        <f t="shared" si="16"/>
        <v>68.39137842977145</v>
      </c>
      <c r="F531" s="2">
        <v>1897.0466989532688</v>
      </c>
      <c r="G531" s="3"/>
      <c r="H531" s="5">
        <f t="shared" si="17"/>
        <v>73.942741503384553</v>
      </c>
    </row>
    <row r="532" spans="2:8" x14ac:dyDescent="0.2">
      <c r="B532" s="1">
        <v>525</v>
      </c>
      <c r="C532" s="2">
        <v>3754.4801212865468</v>
      </c>
      <c r="D532" s="3"/>
      <c r="E532" s="2">
        <f t="shared" si="16"/>
        <v>68.547056021817497</v>
      </c>
      <c r="F532" s="2">
        <v>2334.0198787134523</v>
      </c>
      <c r="G532" s="3"/>
      <c r="H532" s="5">
        <f t="shared" si="17"/>
        <v>90.975002697981097</v>
      </c>
    </row>
    <row r="533" spans="2:8" x14ac:dyDescent="0.2">
      <c r="B533" s="1">
        <v>526</v>
      </c>
      <c r="C533" s="2">
        <v>3762.9696677432994</v>
      </c>
      <c r="D533" s="3"/>
      <c r="E533" s="2">
        <f t="shared" si="16"/>
        <v>68.702053091390852</v>
      </c>
      <c r="F533" s="2">
        <v>1583.0303322567006</v>
      </c>
      <c r="G533" s="3"/>
      <c r="H533" s="5">
        <f t="shared" si="17"/>
        <v>61.703068624858155</v>
      </c>
    </row>
    <row r="534" spans="2:8" x14ac:dyDescent="0.2">
      <c r="B534" s="1">
        <v>527</v>
      </c>
      <c r="C534" s="2">
        <v>3760.7365565148025</v>
      </c>
      <c r="D534" s="3"/>
      <c r="E534" s="2">
        <f t="shared" si="16"/>
        <v>68.661282280110001</v>
      </c>
      <c r="F534" s="2">
        <v>842.76344348519569</v>
      </c>
      <c r="G534" s="3"/>
      <c r="H534" s="5">
        <f t="shared" si="17"/>
        <v>32.849080354485857</v>
      </c>
    </row>
    <row r="535" spans="2:8" x14ac:dyDescent="0.2">
      <c r="B535" s="1">
        <v>528</v>
      </c>
      <c r="C535" s="2">
        <v>3752.5513464052224</v>
      </c>
      <c r="D535" s="3"/>
      <c r="E535" s="2">
        <f t="shared" si="16"/>
        <v>68.511841601825225</v>
      </c>
      <c r="F535" s="2">
        <v>108.44865359477672</v>
      </c>
      <c r="G535" s="3"/>
      <c r="H535" s="5">
        <f t="shared" si="17"/>
        <v>4.2270919126942417</v>
      </c>
    </row>
    <row r="536" spans="2:8" x14ac:dyDescent="0.2">
      <c r="B536" s="1">
        <v>529</v>
      </c>
      <c r="C536" s="2">
        <v>2524.5</v>
      </c>
      <c r="D536" s="3"/>
      <c r="E536" s="2">
        <f t="shared" si="16"/>
        <v>46.090813464682903</v>
      </c>
      <c r="F536" s="2">
        <v>0</v>
      </c>
      <c r="G536" s="3"/>
      <c r="H536" s="5">
        <f t="shared" si="17"/>
        <v>0</v>
      </c>
    </row>
    <row r="537" spans="2:8" x14ac:dyDescent="0.2">
      <c r="B537" s="1">
        <v>530</v>
      </c>
      <c r="C537" s="2">
        <v>2376</v>
      </c>
      <c r="D537" s="3"/>
      <c r="E537" s="2">
        <f t="shared" si="16"/>
        <v>43.379589143230966</v>
      </c>
      <c r="F537" s="2">
        <v>0</v>
      </c>
      <c r="G537" s="3"/>
      <c r="H537" s="5">
        <f t="shared" si="17"/>
        <v>0</v>
      </c>
    </row>
    <row r="538" spans="2:8" x14ac:dyDescent="0.2">
      <c r="B538" s="1">
        <v>531</v>
      </c>
      <c r="C538" s="2">
        <v>2554.1999999999998</v>
      </c>
      <c r="D538" s="3"/>
      <c r="E538" s="2">
        <f t="shared" si="16"/>
        <v>46.633058328973291</v>
      </c>
      <c r="F538" s="2">
        <v>0</v>
      </c>
      <c r="G538" s="3"/>
      <c r="H538" s="5">
        <f t="shared" si="17"/>
        <v>0</v>
      </c>
    </row>
    <row r="539" spans="2:8" x14ac:dyDescent="0.2">
      <c r="B539" s="1">
        <v>532</v>
      </c>
      <c r="C539" s="2">
        <v>2673</v>
      </c>
      <c r="D539" s="3"/>
      <c r="E539" s="2">
        <f t="shared" si="16"/>
        <v>48.802037786134839</v>
      </c>
      <c r="F539" s="2">
        <v>0</v>
      </c>
      <c r="G539" s="3"/>
      <c r="H539" s="5">
        <f t="shared" si="17"/>
        <v>0</v>
      </c>
    </row>
    <row r="540" spans="2:8" x14ac:dyDescent="0.2">
      <c r="B540" s="1">
        <v>533</v>
      </c>
      <c r="C540" s="2">
        <v>2948.7857142857142</v>
      </c>
      <c r="D540" s="3"/>
      <c r="E540" s="2">
        <f t="shared" si="16"/>
        <v>53.837168668831289</v>
      </c>
      <c r="F540" s="2">
        <v>0</v>
      </c>
      <c r="G540" s="3"/>
      <c r="H540" s="5">
        <f t="shared" si="17"/>
        <v>0</v>
      </c>
    </row>
    <row r="541" spans="2:8" x14ac:dyDescent="0.2">
      <c r="B541" s="1">
        <v>534</v>
      </c>
      <c r="C541" s="2">
        <v>3139.7142857142858</v>
      </c>
      <c r="D541" s="3"/>
      <c r="E541" s="2">
        <f t="shared" si="16"/>
        <v>57.323028510698066</v>
      </c>
      <c r="F541" s="2">
        <v>0</v>
      </c>
      <c r="G541" s="3"/>
      <c r="H541" s="5">
        <f t="shared" si="17"/>
        <v>0</v>
      </c>
    </row>
    <row r="542" spans="2:8" x14ac:dyDescent="0.2">
      <c r="B542" s="1">
        <v>535</v>
      </c>
      <c r="C542" s="2">
        <v>3330.6428571428564</v>
      </c>
      <c r="D542" s="3"/>
      <c r="E542" s="2">
        <f t="shared" si="16"/>
        <v>60.808888352564828</v>
      </c>
      <c r="F542" s="2">
        <v>0</v>
      </c>
      <c r="G542" s="3"/>
      <c r="H542" s="5">
        <f t="shared" si="17"/>
        <v>0</v>
      </c>
    </row>
    <row r="543" spans="2:8" x14ac:dyDescent="0.2">
      <c r="B543" s="1">
        <v>536</v>
      </c>
      <c r="C543" s="2">
        <v>3521.5714285714284</v>
      </c>
      <c r="D543" s="3"/>
      <c r="E543" s="2">
        <f t="shared" si="16"/>
        <v>64.294748194431619</v>
      </c>
      <c r="F543" s="2">
        <v>0</v>
      </c>
      <c r="G543" s="3"/>
      <c r="H543" s="5">
        <f t="shared" si="17"/>
        <v>0</v>
      </c>
    </row>
    <row r="544" spans="2:8" x14ac:dyDescent="0.2">
      <c r="B544" s="1">
        <v>537</v>
      </c>
      <c r="C544" s="2">
        <v>3712.4999999999995</v>
      </c>
      <c r="D544" s="3"/>
      <c r="E544" s="2">
        <f t="shared" si="16"/>
        <v>67.780608036298375</v>
      </c>
      <c r="F544" s="2">
        <v>0</v>
      </c>
      <c r="G544" s="3"/>
      <c r="H544" s="5">
        <f t="shared" si="17"/>
        <v>0</v>
      </c>
    </row>
    <row r="545" spans="2:8" x14ac:dyDescent="0.2">
      <c r="B545" s="1">
        <v>538</v>
      </c>
      <c r="C545" s="2">
        <v>3722.1510535892985</v>
      </c>
      <c r="D545" s="3"/>
      <c r="E545" s="2">
        <f t="shared" si="16"/>
        <v>67.956811209489913</v>
      </c>
      <c r="F545" s="2">
        <v>181.27751783927306</v>
      </c>
      <c r="G545" s="3"/>
      <c r="H545" s="5">
        <f t="shared" si="17"/>
        <v>7.0658021488667337</v>
      </c>
    </row>
    <row r="546" spans="2:8" x14ac:dyDescent="0.2">
      <c r="B546" s="1">
        <v>539</v>
      </c>
      <c r="C546" s="2">
        <v>3715.9064680504121</v>
      </c>
      <c r="D546" s="3"/>
      <c r="E546" s="2">
        <f t="shared" si="16"/>
        <v>67.842801295749737</v>
      </c>
      <c r="F546" s="2">
        <v>378.45067480673015</v>
      </c>
      <c r="G546" s="3"/>
      <c r="H546" s="5">
        <f t="shared" si="17"/>
        <v>14.751181631140668</v>
      </c>
    </row>
    <row r="547" spans="2:8" x14ac:dyDescent="0.2">
      <c r="B547" s="1">
        <v>540</v>
      </c>
      <c r="C547" s="2">
        <v>3709.6931822164729</v>
      </c>
      <c r="D547" s="3"/>
      <c r="E547" s="2">
        <f t="shared" si="16"/>
        <v>67.729362833331507</v>
      </c>
      <c r="F547" s="2">
        <v>575.59253206924086</v>
      </c>
      <c r="G547" s="3"/>
      <c r="H547" s="5">
        <f t="shared" si="17"/>
        <v>22.435341119202935</v>
      </c>
    </row>
    <row r="548" spans="2:8" x14ac:dyDescent="0.2">
      <c r="B548" s="1">
        <v>541</v>
      </c>
      <c r="C548" s="2">
        <v>3703.5110918535379</v>
      </c>
      <c r="D548" s="3"/>
      <c r="E548" s="2">
        <f t="shared" si="16"/>
        <v>67.616493919194113</v>
      </c>
      <c r="F548" s="2">
        <v>772.70319386074652</v>
      </c>
      <c r="G548" s="3"/>
      <c r="H548" s="5">
        <f t="shared" si="17"/>
        <v>30.118284675865162</v>
      </c>
    </row>
    <row r="549" spans="2:8" x14ac:dyDescent="0.2">
      <c r="B549" s="1">
        <v>542</v>
      </c>
      <c r="C549" s="2">
        <v>3697.3600930083935</v>
      </c>
      <c r="D549" s="3"/>
      <c r="E549" s="2">
        <f t="shared" si="16"/>
        <v>67.504192655421861</v>
      </c>
      <c r="F549" s="2">
        <v>969.78276413446338</v>
      </c>
      <c r="G549" s="3"/>
      <c r="H549" s="5">
        <f t="shared" si="17"/>
        <v>37.80001635299692</v>
      </c>
    </row>
    <row r="550" spans="2:8" x14ac:dyDescent="0.2">
      <c r="B550" s="1">
        <v>543</v>
      </c>
      <c r="C550" s="2">
        <v>3691.2400820079201</v>
      </c>
      <c r="D550" s="3"/>
      <c r="E550" s="2">
        <f t="shared" si="16"/>
        <v>67.392457149212859</v>
      </c>
      <c r="F550" s="2">
        <v>1166.8313465635083</v>
      </c>
      <c r="G550" s="3"/>
      <c r="H550" s="5">
        <f t="shared" si="17"/>
        <v>45.480540191550112</v>
      </c>
    </row>
    <row r="551" spans="2:8" x14ac:dyDescent="0.2">
      <c r="B551" s="1">
        <v>544</v>
      </c>
      <c r="C551" s="2">
        <v>3691.1146690416804</v>
      </c>
      <c r="D551" s="3"/>
      <c r="E551" s="2">
        <f t="shared" si="16"/>
        <v>67.390167434167111</v>
      </c>
      <c r="F551" s="2">
        <v>1357.8853309583196</v>
      </c>
      <c r="G551" s="3"/>
      <c r="H551" s="5">
        <f t="shared" si="17"/>
        <v>52.927407677254116</v>
      </c>
    </row>
    <row r="552" spans="2:8" x14ac:dyDescent="0.2">
      <c r="B552" s="1">
        <v>545</v>
      </c>
      <c r="C552" s="2">
        <v>3699.0208521519835</v>
      </c>
      <c r="D552" s="3"/>
      <c r="E552" s="2">
        <f t="shared" si="16"/>
        <v>67.534513804123378</v>
      </c>
      <c r="F552" s="2">
        <v>1201.4791478480156</v>
      </c>
      <c r="G552" s="3"/>
      <c r="H552" s="5">
        <f t="shared" si="17"/>
        <v>46.83103589387234</v>
      </c>
    </row>
    <row r="553" spans="2:8" x14ac:dyDescent="0.2">
      <c r="B553" s="1">
        <v>546</v>
      </c>
      <c r="C553" s="2">
        <v>3706.8921006959072</v>
      </c>
      <c r="D553" s="3"/>
      <c r="E553" s="2">
        <f t="shared" si="16"/>
        <v>67.678222359628293</v>
      </c>
      <c r="F553" s="2">
        <v>1490.6078993040928</v>
      </c>
      <c r="G553" s="3"/>
      <c r="H553" s="5">
        <f t="shared" si="17"/>
        <v>58.10064382809415</v>
      </c>
    </row>
    <row r="554" spans="2:8" x14ac:dyDescent="0.2">
      <c r="B554" s="1">
        <v>547</v>
      </c>
      <c r="C554" s="2">
        <v>3714.7278219466625</v>
      </c>
      <c r="D554" s="3"/>
      <c r="E554" s="2">
        <f t="shared" si="16"/>
        <v>67.821282279030072</v>
      </c>
      <c r="F554" s="2">
        <v>1779.7721780533375</v>
      </c>
      <c r="G554" s="3"/>
      <c r="H554" s="5">
        <f t="shared" si="17"/>
        <v>69.371636538693068</v>
      </c>
    </row>
    <row r="555" spans="2:8" x14ac:dyDescent="0.2">
      <c r="B555" s="1">
        <v>548</v>
      </c>
      <c r="C555" s="2">
        <v>3722.5272778302829</v>
      </c>
      <c r="D555" s="3"/>
      <c r="E555" s="2">
        <f t="shared" si="16"/>
        <v>67.963680087015007</v>
      </c>
      <c r="F555" s="2">
        <v>1920.4727221697162</v>
      </c>
      <c r="G555" s="3"/>
      <c r="H555" s="5">
        <f t="shared" si="17"/>
        <v>74.855836779374243</v>
      </c>
    </row>
    <row r="556" spans="2:8" x14ac:dyDescent="0.2">
      <c r="B556" s="1">
        <v>549</v>
      </c>
      <c r="C556" s="2">
        <v>3730.289885003207</v>
      </c>
      <c r="D556" s="3"/>
      <c r="E556" s="2">
        <f t="shared" si="16"/>
        <v>68.105405133244702</v>
      </c>
      <c r="F556" s="2">
        <v>2358.2101149967921</v>
      </c>
      <c r="G556" s="3"/>
      <c r="H556" s="5">
        <f t="shared" si="17"/>
        <v>91.917885332020489</v>
      </c>
    </row>
    <row r="557" spans="2:8" x14ac:dyDescent="0.2">
      <c r="B557" s="1">
        <v>550</v>
      </c>
      <c r="C557" s="2">
        <v>3738.0151400666937</v>
      </c>
      <c r="D557" s="3"/>
      <c r="E557" s="2">
        <f t="shared" si="16"/>
        <v>68.246448226965541</v>
      </c>
      <c r="F557" s="2">
        <v>1607.9848599333063</v>
      </c>
      <c r="G557" s="3"/>
      <c r="H557" s="5">
        <f t="shared" si="17"/>
        <v>62.675741669938411</v>
      </c>
    </row>
    <row r="558" spans="2:8" x14ac:dyDescent="0.2">
      <c r="B558" s="1">
        <v>551</v>
      </c>
      <c r="C558" s="2">
        <v>3737.6663816062678</v>
      </c>
      <c r="D558" s="3"/>
      <c r="E558" s="2">
        <f t="shared" si="16"/>
        <v>68.240080803260369</v>
      </c>
      <c r="F558" s="2">
        <v>865.83361839373038</v>
      </c>
      <c r="G558" s="3"/>
      <c r="H558" s="5">
        <f t="shared" si="17"/>
        <v>33.748305439793924</v>
      </c>
    </row>
    <row r="559" spans="2:8" x14ac:dyDescent="0.2">
      <c r="B559" s="1">
        <v>552</v>
      </c>
      <c r="C559" s="2">
        <v>3731.3856672740326</v>
      </c>
      <c r="D559" s="3"/>
      <c r="E559" s="2">
        <f t="shared" si="16"/>
        <v>68.125411271585975</v>
      </c>
      <c r="F559" s="2">
        <v>129.61433272596651</v>
      </c>
      <c r="G559" s="3"/>
      <c r="H559" s="5">
        <f t="shared" si="17"/>
        <v>5.0520839076750157</v>
      </c>
    </row>
    <row r="560" spans="2:8" x14ac:dyDescent="0.2">
      <c r="B560" s="1">
        <v>553</v>
      </c>
      <c r="C560" s="2">
        <v>2524.5</v>
      </c>
      <c r="D560" s="3"/>
      <c r="E560" s="2">
        <f t="shared" si="16"/>
        <v>46.090813464682903</v>
      </c>
      <c r="F560" s="2">
        <v>0</v>
      </c>
      <c r="G560" s="3"/>
      <c r="H560" s="5">
        <f t="shared" si="17"/>
        <v>0</v>
      </c>
    </row>
    <row r="561" spans="2:8" x14ac:dyDescent="0.2">
      <c r="B561" s="1">
        <v>554</v>
      </c>
      <c r="C561" s="2">
        <v>2376</v>
      </c>
      <c r="D561" s="3"/>
      <c r="E561" s="2">
        <f t="shared" si="16"/>
        <v>43.379589143230966</v>
      </c>
      <c r="F561" s="2">
        <v>0</v>
      </c>
      <c r="G561" s="3"/>
      <c r="H561" s="5">
        <f t="shared" si="17"/>
        <v>0</v>
      </c>
    </row>
    <row r="562" spans="2:8" x14ac:dyDescent="0.2">
      <c r="B562" s="1">
        <v>555</v>
      </c>
      <c r="C562" s="2">
        <v>2524.5</v>
      </c>
      <c r="D562" s="3"/>
      <c r="E562" s="2">
        <f t="shared" si="16"/>
        <v>46.090813464682903</v>
      </c>
      <c r="F562" s="2">
        <v>0</v>
      </c>
      <c r="G562" s="3"/>
      <c r="H562" s="5">
        <f t="shared" si="17"/>
        <v>0</v>
      </c>
    </row>
    <row r="563" spans="2:8" x14ac:dyDescent="0.2">
      <c r="B563" s="1">
        <v>556</v>
      </c>
      <c r="C563" s="2">
        <v>2673</v>
      </c>
      <c r="D563" s="3"/>
      <c r="E563" s="2">
        <f t="shared" si="16"/>
        <v>48.802037786134839</v>
      </c>
      <c r="F563" s="2">
        <v>0</v>
      </c>
      <c r="G563" s="3"/>
      <c r="H563" s="5">
        <f t="shared" si="17"/>
        <v>0</v>
      </c>
    </row>
    <row r="564" spans="2:8" x14ac:dyDescent="0.2">
      <c r="B564" s="1">
        <v>557</v>
      </c>
      <c r="C564" s="2">
        <v>2992.8461538461534</v>
      </c>
      <c r="D564" s="3"/>
      <c r="E564" s="2">
        <f t="shared" si="16"/>
        <v>54.641597863108231</v>
      </c>
      <c r="F564" s="2">
        <v>0</v>
      </c>
      <c r="G564" s="3"/>
      <c r="H564" s="5">
        <f t="shared" si="17"/>
        <v>0</v>
      </c>
    </row>
    <row r="565" spans="2:8" x14ac:dyDescent="0.2">
      <c r="B565" s="1">
        <v>558</v>
      </c>
      <c r="C565" s="2">
        <v>3198.4615384615386</v>
      </c>
      <c r="D565" s="3"/>
      <c r="E565" s="2">
        <f t="shared" si="16"/>
        <v>58.395600769734003</v>
      </c>
      <c r="F565" s="2">
        <v>0</v>
      </c>
      <c r="G565" s="3"/>
      <c r="H565" s="5">
        <f t="shared" si="17"/>
        <v>0</v>
      </c>
    </row>
    <row r="566" spans="2:8" x14ac:dyDescent="0.2">
      <c r="B566" s="1">
        <v>559</v>
      </c>
      <c r="C566" s="2">
        <v>3404.0769230769229</v>
      </c>
      <c r="D566" s="3"/>
      <c r="E566" s="2">
        <f t="shared" si="16"/>
        <v>62.149603676359753</v>
      </c>
      <c r="F566" s="2">
        <v>0</v>
      </c>
      <c r="G566" s="3"/>
      <c r="H566" s="5">
        <f t="shared" si="17"/>
        <v>0</v>
      </c>
    </row>
    <row r="567" spans="2:8" x14ac:dyDescent="0.2">
      <c r="B567" s="1">
        <v>560</v>
      </c>
      <c r="C567" s="2">
        <v>3609.6923076923063</v>
      </c>
      <c r="D567" s="3"/>
      <c r="E567" s="2">
        <f t="shared" si="16"/>
        <v>65.903606582985489</v>
      </c>
      <c r="F567" s="2">
        <v>0</v>
      </c>
      <c r="G567" s="3"/>
      <c r="H567" s="5">
        <f t="shared" si="17"/>
        <v>0</v>
      </c>
    </row>
    <row r="568" spans="2:8" x14ac:dyDescent="0.2">
      <c r="B568" s="1">
        <v>561</v>
      </c>
      <c r="C568" s="2">
        <v>3715.8668198689693</v>
      </c>
      <c r="D568" s="3"/>
      <c r="E568" s="2">
        <f t="shared" si="16"/>
        <v>67.84207742292935</v>
      </c>
      <c r="F568" s="2">
        <v>99.440872438722181</v>
      </c>
      <c r="G568" s="3"/>
      <c r="H568" s="5">
        <f t="shared" si="17"/>
        <v>3.8759882556737217</v>
      </c>
    </row>
    <row r="569" spans="2:8" x14ac:dyDescent="0.2">
      <c r="B569" s="1">
        <v>562</v>
      </c>
      <c r="C569" s="2">
        <v>3709.7126457186819</v>
      </c>
      <c r="D569" s="3"/>
      <c r="E569" s="2">
        <f t="shared" si="16"/>
        <v>67.729718186331979</v>
      </c>
      <c r="F569" s="2">
        <v>311.21043120439435</v>
      </c>
      <c r="G569" s="3"/>
      <c r="H569" s="5">
        <f t="shared" si="17"/>
        <v>12.13030363480274</v>
      </c>
    </row>
    <row r="570" spans="2:8" x14ac:dyDescent="0.2">
      <c r="B570" s="1">
        <v>563</v>
      </c>
      <c r="C570" s="2">
        <v>3703.5893958971237</v>
      </c>
      <c r="D570" s="3"/>
      <c r="E570" s="2">
        <f t="shared" si="16"/>
        <v>67.617923547661704</v>
      </c>
      <c r="F570" s="2">
        <v>522.94906564133726</v>
      </c>
      <c r="G570" s="3"/>
      <c r="H570" s="5">
        <f t="shared" si="17"/>
        <v>20.383413651066068</v>
      </c>
    </row>
    <row r="571" spans="2:8" x14ac:dyDescent="0.2">
      <c r="B571" s="1">
        <v>564</v>
      </c>
      <c r="C571" s="2">
        <v>3697.4969673223313</v>
      </c>
      <c r="D571" s="3"/>
      <c r="E571" s="2">
        <f t="shared" si="16"/>
        <v>67.506691624909607</v>
      </c>
      <c r="F571" s="2">
        <v>734.6568788315144</v>
      </c>
      <c r="G571" s="3"/>
      <c r="H571" s="5">
        <f t="shared" si="17"/>
        <v>28.635322322373753</v>
      </c>
    </row>
    <row r="572" spans="2:8" x14ac:dyDescent="0.2">
      <c r="B572" s="1">
        <v>565</v>
      </c>
      <c r="C572" s="2">
        <v>3691.4352571901491</v>
      </c>
      <c r="D572" s="3"/>
      <c r="E572" s="2">
        <f t="shared" si="16"/>
        <v>67.39602054113881</v>
      </c>
      <c r="F572" s="2">
        <v>946.33397357908052</v>
      </c>
      <c r="G572" s="3"/>
      <c r="H572" s="5">
        <f t="shared" si="17"/>
        <v>36.886033655807452</v>
      </c>
    </row>
    <row r="573" spans="2:8" x14ac:dyDescent="0.2">
      <c r="B573" s="1">
        <v>566</v>
      </c>
      <c r="C573" s="2">
        <v>3685.4041629736148</v>
      </c>
      <c r="D573" s="3"/>
      <c r="E573" s="2">
        <f t="shared" si="16"/>
        <v>67.285908424473249</v>
      </c>
      <c r="F573" s="2">
        <v>1157.9804524110004</v>
      </c>
      <c r="G573" s="3"/>
      <c r="H573" s="5">
        <f t="shared" si="17"/>
        <v>45.135551647644569</v>
      </c>
    </row>
    <row r="574" spans="2:8" x14ac:dyDescent="0.2">
      <c r="B574" s="1">
        <v>567</v>
      </c>
      <c r="C574" s="2">
        <v>3679.4035824223215</v>
      </c>
      <c r="D574" s="3"/>
      <c r="E574" s="2">
        <f t="shared" si="16"/>
        <v>67.176353408086058</v>
      </c>
      <c r="F574" s="2">
        <v>1369.5964175776785</v>
      </c>
      <c r="G574" s="3"/>
      <c r="H574" s="5">
        <f t="shared" si="17"/>
        <v>53.383880283382787</v>
      </c>
    </row>
    <row r="575" spans="2:8" x14ac:dyDescent="0.2">
      <c r="B575" s="1">
        <v>568</v>
      </c>
      <c r="C575" s="2">
        <v>3679.3522291282816</v>
      </c>
      <c r="D575" s="3"/>
      <c r="E575" s="2">
        <f t="shared" si="16"/>
        <v>67.175415830309703</v>
      </c>
      <c r="F575" s="2">
        <v>1221.1477708717175</v>
      </c>
      <c r="G575" s="3"/>
      <c r="H575" s="5">
        <f t="shared" si="17"/>
        <v>47.597675907938196</v>
      </c>
    </row>
    <row r="576" spans="2:8" x14ac:dyDescent="0.2">
      <c r="B576" s="1">
        <v>569</v>
      </c>
      <c r="C576" s="2">
        <v>3687.3230162454711</v>
      </c>
      <c r="D576" s="3"/>
      <c r="E576" s="2">
        <f t="shared" si="16"/>
        <v>67.320941701644657</v>
      </c>
      <c r="F576" s="2">
        <v>1480.4769837545291</v>
      </c>
      <c r="G576" s="3"/>
      <c r="H576" s="5">
        <f t="shared" si="17"/>
        <v>57.705762842777681</v>
      </c>
    </row>
    <row r="577" spans="2:8" x14ac:dyDescent="0.2">
      <c r="B577" s="1">
        <v>570</v>
      </c>
      <c r="C577" s="2">
        <v>3695.2568584263399</v>
      </c>
      <c r="D577" s="3"/>
      <c r="E577" s="2">
        <f t="shared" si="16"/>
        <v>67.465793054394382</v>
      </c>
      <c r="F577" s="2">
        <v>1739.8431415736604</v>
      </c>
      <c r="G577" s="3"/>
      <c r="H577" s="5">
        <f t="shared" si="17"/>
        <v>67.815289810631469</v>
      </c>
    </row>
    <row r="578" spans="2:8" x14ac:dyDescent="0.2">
      <c r="B578" s="1">
        <v>571</v>
      </c>
      <c r="C578" s="2">
        <v>3703.1529251027678</v>
      </c>
      <c r="D578" s="3"/>
      <c r="E578" s="2">
        <f t="shared" si="16"/>
        <v>67.609954724542106</v>
      </c>
      <c r="F578" s="2">
        <v>2236.8470748972313</v>
      </c>
      <c r="G578" s="3"/>
      <c r="H578" s="5">
        <f t="shared" si="17"/>
        <v>87.187418808925287</v>
      </c>
    </row>
    <row r="579" spans="2:8" x14ac:dyDescent="0.2">
      <c r="B579" s="1">
        <v>572</v>
      </c>
      <c r="C579" s="2">
        <v>3711.0101670008194</v>
      </c>
      <c r="D579" s="3"/>
      <c r="E579" s="2">
        <f t="shared" si="16"/>
        <v>67.753407555070908</v>
      </c>
      <c r="F579" s="2">
        <v>2228.9898329991797</v>
      </c>
      <c r="G579" s="3"/>
      <c r="H579" s="5">
        <f t="shared" si="17"/>
        <v>86.881160662028975</v>
      </c>
    </row>
    <row r="580" spans="2:8" x14ac:dyDescent="0.2">
      <c r="B580" s="1">
        <v>573</v>
      </c>
      <c r="C580" s="2">
        <v>3718.8282914813876</v>
      </c>
      <c r="D580" s="3"/>
      <c r="E580" s="2">
        <f t="shared" si="16"/>
        <v>67.896146203150749</v>
      </c>
      <c r="F580" s="2">
        <v>2518.1717085186124</v>
      </c>
      <c r="G580" s="3"/>
      <c r="H580" s="5">
        <f t="shared" si="17"/>
        <v>98.152839256338623</v>
      </c>
    </row>
    <row r="581" spans="2:8" x14ac:dyDescent="0.2">
      <c r="B581" s="1">
        <v>574</v>
      </c>
      <c r="C581" s="2">
        <v>3726.7836391117303</v>
      </c>
      <c r="D581" s="3"/>
      <c r="E581" s="2">
        <f t="shared" si="16"/>
        <v>68.041390189554718</v>
      </c>
      <c r="F581" s="2">
        <v>1738.0163608882699</v>
      </c>
      <c r="G581" s="3"/>
      <c r="H581" s="5">
        <f t="shared" si="17"/>
        <v>67.7440858850361</v>
      </c>
    </row>
    <row r="582" spans="2:8" x14ac:dyDescent="0.2">
      <c r="B582" s="1">
        <v>575</v>
      </c>
      <c r="C582" s="2">
        <v>3727.3776955415774</v>
      </c>
      <c r="D582" s="3"/>
      <c r="E582" s="2">
        <f t="shared" si="16"/>
        <v>68.052236117102979</v>
      </c>
      <c r="F582" s="2">
        <v>965.22230445842297</v>
      </c>
      <c r="G582" s="3"/>
      <c r="H582" s="5">
        <f t="shared" si="17"/>
        <v>37.622259584463947</v>
      </c>
    </row>
    <row r="583" spans="2:8" x14ac:dyDescent="0.2">
      <c r="B583" s="1">
        <v>576</v>
      </c>
      <c r="C583" s="2">
        <v>3722.0937804326859</v>
      </c>
      <c r="D583" s="3"/>
      <c r="E583" s="2">
        <f t="shared" si="16"/>
        <v>67.955765550397828</v>
      </c>
      <c r="F583" s="2">
        <v>198.30621956731375</v>
      </c>
      <c r="G583" s="3"/>
      <c r="H583" s="5">
        <f t="shared" si="17"/>
        <v>7.7295437903927482</v>
      </c>
    </row>
    <row r="584" spans="2:8" x14ac:dyDescent="0.2">
      <c r="B584" s="1">
        <v>577</v>
      </c>
      <c r="C584" s="2">
        <v>2524.5</v>
      </c>
      <c r="D584" s="3"/>
      <c r="E584" s="2">
        <f t="shared" si="16"/>
        <v>46.090813464682903</v>
      </c>
      <c r="F584" s="2">
        <v>0</v>
      </c>
      <c r="G584" s="3"/>
      <c r="H584" s="5">
        <f t="shared" si="17"/>
        <v>0</v>
      </c>
    </row>
    <row r="585" spans="2:8" x14ac:dyDescent="0.2">
      <c r="B585" s="1">
        <v>578</v>
      </c>
      <c r="C585" s="2">
        <v>2376</v>
      </c>
      <c r="D585" s="3"/>
      <c r="E585" s="2">
        <f t="shared" ref="E585:E648" si="18">C585*$D$5</f>
        <v>43.379589143230966</v>
      </c>
      <c r="F585" s="2">
        <v>0</v>
      </c>
      <c r="G585" s="3"/>
      <c r="H585" s="5">
        <f t="shared" ref="H585:H648" si="19">$G$5*F585</f>
        <v>0</v>
      </c>
    </row>
    <row r="586" spans="2:8" x14ac:dyDescent="0.2">
      <c r="B586" s="1">
        <v>579</v>
      </c>
      <c r="C586" s="2">
        <v>2524.5</v>
      </c>
      <c r="D586" s="3"/>
      <c r="E586" s="2">
        <f t="shared" si="18"/>
        <v>46.090813464682903</v>
      </c>
      <c r="F586" s="2">
        <v>0</v>
      </c>
      <c r="G586" s="3"/>
      <c r="H586" s="5">
        <f t="shared" si="19"/>
        <v>0</v>
      </c>
    </row>
    <row r="587" spans="2:8" x14ac:dyDescent="0.2">
      <c r="B587" s="1">
        <v>580</v>
      </c>
      <c r="C587" s="2">
        <v>2673</v>
      </c>
      <c r="D587" s="3"/>
      <c r="E587" s="2">
        <f t="shared" si="18"/>
        <v>48.802037786134839</v>
      </c>
      <c r="F587" s="2">
        <v>0</v>
      </c>
      <c r="G587" s="3"/>
      <c r="H587" s="5">
        <f t="shared" si="19"/>
        <v>0</v>
      </c>
    </row>
    <row r="588" spans="2:8" x14ac:dyDescent="0.2">
      <c r="B588" s="1">
        <v>581</v>
      </c>
      <c r="C588" s="2">
        <v>2969.9999999999995</v>
      </c>
      <c r="D588" s="3"/>
      <c r="E588" s="2">
        <f t="shared" si="18"/>
        <v>54.224486429038706</v>
      </c>
      <c r="F588" s="2">
        <v>0</v>
      </c>
      <c r="G588" s="3"/>
      <c r="H588" s="5">
        <f t="shared" si="19"/>
        <v>0</v>
      </c>
    </row>
    <row r="589" spans="2:8" x14ac:dyDescent="0.2">
      <c r="B589" s="1">
        <v>582</v>
      </c>
      <c r="C589" s="2">
        <v>3167.9999999999995</v>
      </c>
      <c r="D589" s="3"/>
      <c r="E589" s="2">
        <f t="shared" si="18"/>
        <v>57.839452190974619</v>
      </c>
      <c r="F589" s="2">
        <v>0</v>
      </c>
      <c r="G589" s="3"/>
      <c r="H589" s="5">
        <f t="shared" si="19"/>
        <v>0</v>
      </c>
    </row>
    <row r="590" spans="2:8" x14ac:dyDescent="0.2">
      <c r="B590" s="1">
        <v>583</v>
      </c>
      <c r="C590" s="2">
        <v>3365.9999999999995</v>
      </c>
      <c r="D590" s="3"/>
      <c r="E590" s="2">
        <f t="shared" si="18"/>
        <v>61.454417952910532</v>
      </c>
      <c r="F590" s="2">
        <v>0</v>
      </c>
      <c r="G590" s="3"/>
      <c r="H590" s="5">
        <f t="shared" si="19"/>
        <v>0</v>
      </c>
    </row>
    <row r="591" spans="2:8" x14ac:dyDescent="0.2">
      <c r="B591" s="1">
        <v>584</v>
      </c>
      <c r="C591" s="2">
        <v>3563.9999999999995</v>
      </c>
      <c r="D591" s="3"/>
      <c r="E591" s="2">
        <f t="shared" si="18"/>
        <v>65.069383714846452</v>
      </c>
      <c r="F591" s="2">
        <v>0</v>
      </c>
      <c r="G591" s="3"/>
      <c r="H591" s="5">
        <f t="shared" si="19"/>
        <v>0</v>
      </c>
    </row>
    <row r="592" spans="2:8" x14ac:dyDescent="0.2">
      <c r="B592" s="1">
        <v>585</v>
      </c>
      <c r="C592" s="2">
        <v>3723.4546374692163</v>
      </c>
      <c r="D592" s="3"/>
      <c r="E592" s="2">
        <f t="shared" si="18"/>
        <v>67.980611265518775</v>
      </c>
      <c r="F592" s="2">
        <v>38.545362530782768</v>
      </c>
      <c r="G592" s="3"/>
      <c r="H592" s="5">
        <f t="shared" si="19"/>
        <v>1.5024141363207024</v>
      </c>
    </row>
    <row r="593" spans="2:8" x14ac:dyDescent="0.2">
      <c r="B593" s="1">
        <v>586</v>
      </c>
      <c r="C593" s="2">
        <v>3732.1285339831052</v>
      </c>
      <c r="D593" s="3"/>
      <c r="E593" s="2">
        <f t="shared" si="18"/>
        <v>68.13897408834849</v>
      </c>
      <c r="F593" s="2">
        <v>227.87146601689437</v>
      </c>
      <c r="G593" s="3"/>
      <c r="H593" s="5">
        <f t="shared" si="19"/>
        <v>8.8819325939532714</v>
      </c>
    </row>
    <row r="594" spans="2:8" x14ac:dyDescent="0.2">
      <c r="B594" s="1">
        <v>587</v>
      </c>
      <c r="C594" s="2">
        <v>3740.7674349361641</v>
      </c>
      <c r="D594" s="3"/>
      <c r="E594" s="2">
        <f t="shared" si="18"/>
        <v>68.296697983126592</v>
      </c>
      <c r="F594" s="2">
        <v>417.23256506383586</v>
      </c>
      <c r="G594" s="3"/>
      <c r="H594" s="5">
        <f t="shared" si="19"/>
        <v>16.26281510219653</v>
      </c>
    </row>
    <row r="595" spans="2:8" x14ac:dyDescent="0.2">
      <c r="B595" s="1">
        <v>588</v>
      </c>
      <c r="C595" s="2">
        <v>3749.3708279886614</v>
      </c>
      <c r="D595" s="3"/>
      <c r="E595" s="2">
        <f t="shared" si="18"/>
        <v>68.453773595860198</v>
      </c>
      <c r="F595" s="2">
        <v>606.6291720113386</v>
      </c>
      <c r="G595" s="3"/>
      <c r="H595" s="5">
        <f t="shared" si="19"/>
        <v>23.645081630935422</v>
      </c>
    </row>
    <row r="596" spans="2:8" x14ac:dyDescent="0.2">
      <c r="B596" s="1">
        <v>589</v>
      </c>
      <c r="C596" s="2">
        <v>3757.9382042710654</v>
      </c>
      <c r="D596" s="3"/>
      <c r="E596" s="2">
        <f t="shared" si="18"/>
        <v>68.610191635913296</v>
      </c>
      <c r="F596" s="2">
        <v>796.0617957289337</v>
      </c>
      <c r="G596" s="3"/>
      <c r="H596" s="5">
        <f t="shared" si="19"/>
        <v>31.028752014794062</v>
      </c>
    </row>
    <row r="597" spans="2:8" x14ac:dyDescent="0.2">
      <c r="B597" s="1">
        <v>590</v>
      </c>
      <c r="C597" s="2">
        <v>3765.4106472945191</v>
      </c>
      <c r="D597" s="3"/>
      <c r="E597" s="2">
        <f t="shared" si="18"/>
        <v>68.746619038376949</v>
      </c>
      <c r="F597" s="2">
        <v>986.58935270548091</v>
      </c>
      <c r="G597" s="3"/>
      <c r="H597" s="5">
        <f t="shared" si="19"/>
        <v>38.455100508250545</v>
      </c>
    </row>
    <row r="598" spans="2:8" x14ac:dyDescent="0.2">
      <c r="B598" s="1">
        <v>591</v>
      </c>
      <c r="C598" s="2">
        <v>3771.2621289605509</v>
      </c>
      <c r="D598" s="3"/>
      <c r="E598" s="2">
        <f t="shared" si="18"/>
        <v>68.853451896353207</v>
      </c>
      <c r="F598" s="2">
        <v>832.23787103944915</v>
      </c>
      <c r="G598" s="3"/>
      <c r="H598" s="5">
        <f t="shared" si="19"/>
        <v>32.438816504386423</v>
      </c>
    </row>
    <row r="599" spans="2:8" x14ac:dyDescent="0.2">
      <c r="B599" s="1">
        <v>592</v>
      </c>
      <c r="C599" s="2">
        <v>3777.0818814896475</v>
      </c>
      <c r="D599" s="3"/>
      <c r="E599" s="2">
        <f t="shared" si="18"/>
        <v>68.959705462694743</v>
      </c>
      <c r="F599" s="2">
        <v>1172.9181185103525</v>
      </c>
      <c r="G599" s="3"/>
      <c r="H599" s="5">
        <f t="shared" si="19"/>
        <v>45.717789282415346</v>
      </c>
    </row>
    <row r="600" spans="2:8" x14ac:dyDescent="0.2">
      <c r="B600" s="1">
        <v>593</v>
      </c>
      <c r="C600" s="2">
        <v>3782.8691908999313</v>
      </c>
      <c r="D600" s="3"/>
      <c r="E600" s="2">
        <f t="shared" si="18"/>
        <v>69.065366701946786</v>
      </c>
      <c r="F600" s="2">
        <v>1513.6308091000687</v>
      </c>
      <c r="G600" s="3"/>
      <c r="H600" s="5">
        <f t="shared" si="19"/>
        <v>58.998026622433848</v>
      </c>
    </row>
    <row r="601" spans="2:8" x14ac:dyDescent="0.2">
      <c r="B601" s="1">
        <v>594</v>
      </c>
      <c r="C601" s="2">
        <v>3788.623098683172</v>
      </c>
      <c r="D601" s="3"/>
      <c r="E601" s="2">
        <f t="shared" si="18"/>
        <v>69.170418114238473</v>
      </c>
      <c r="F601" s="2">
        <v>1854.3769013168271</v>
      </c>
      <c r="G601" s="3"/>
      <c r="H601" s="5">
        <f t="shared" si="19"/>
        <v>72.279565885001503</v>
      </c>
    </row>
    <row r="602" spans="2:8" x14ac:dyDescent="0.2">
      <c r="B602" s="1">
        <v>595</v>
      </c>
      <c r="C602" s="2">
        <v>3794.3430344201151</v>
      </c>
      <c r="D602" s="3"/>
      <c r="E602" s="2">
        <f t="shared" si="18"/>
        <v>69.274849285195657</v>
      </c>
      <c r="F602" s="2">
        <v>1440.2819655798849</v>
      </c>
      <c r="G602" s="3"/>
      <c r="H602" s="5">
        <f t="shared" si="19"/>
        <v>56.139048728543443</v>
      </c>
    </row>
    <row r="603" spans="2:8" x14ac:dyDescent="0.2">
      <c r="B603" s="1">
        <v>596</v>
      </c>
      <c r="C603" s="2">
        <v>3800.0299558668603</v>
      </c>
      <c r="D603" s="3"/>
      <c r="E603" s="2">
        <f t="shared" si="18"/>
        <v>69.378677700957283</v>
      </c>
      <c r="F603" s="2">
        <v>1026.2200441331397</v>
      </c>
      <c r="G603" s="3"/>
      <c r="H603" s="5">
        <f t="shared" si="19"/>
        <v>39.999818397089378</v>
      </c>
    </row>
    <row r="604" spans="2:8" x14ac:dyDescent="0.2">
      <c r="B604" s="1">
        <v>597</v>
      </c>
      <c r="C604" s="2">
        <v>3805.6851960269505</v>
      </c>
      <c r="D604" s="3"/>
      <c r="E604" s="2">
        <f t="shared" si="18"/>
        <v>69.481927698706031</v>
      </c>
      <c r="F604" s="2">
        <v>612.18980397304949</v>
      </c>
      <c r="G604" s="3"/>
      <c r="H604" s="5">
        <f t="shared" si="19"/>
        <v>23.86182293306948</v>
      </c>
    </row>
    <row r="605" spans="2:8" x14ac:dyDescent="0.2">
      <c r="B605" s="1">
        <v>598</v>
      </c>
      <c r="C605" s="2">
        <v>3811.3100803347306</v>
      </c>
      <c r="D605" s="3"/>
      <c r="E605" s="2">
        <f t="shared" si="18"/>
        <v>69.584623477430654</v>
      </c>
      <c r="F605" s="2">
        <v>198.18991966526937</v>
      </c>
      <c r="G605" s="3"/>
      <c r="H605" s="5">
        <f t="shared" si="19"/>
        <v>7.7250106739447029</v>
      </c>
    </row>
    <row r="606" spans="2:8" x14ac:dyDescent="0.2">
      <c r="B606" s="1">
        <v>599</v>
      </c>
      <c r="C606" s="2">
        <v>3601.1250000000005</v>
      </c>
      <c r="D606" s="3"/>
      <c r="E606" s="2">
        <f t="shared" si="18"/>
        <v>65.747189795209451</v>
      </c>
      <c r="F606" s="2">
        <v>0</v>
      </c>
      <c r="G606" s="3"/>
      <c r="H606" s="5">
        <f t="shared" si="19"/>
        <v>0</v>
      </c>
    </row>
    <row r="607" spans="2:8" x14ac:dyDescent="0.2">
      <c r="B607" s="1">
        <v>600</v>
      </c>
      <c r="C607" s="2">
        <v>2969.9999999999995</v>
      </c>
      <c r="D607" s="3"/>
      <c r="E607" s="2">
        <f t="shared" si="18"/>
        <v>54.224486429038706</v>
      </c>
      <c r="F607" s="2">
        <v>0</v>
      </c>
      <c r="G607" s="3"/>
      <c r="H607" s="5">
        <f t="shared" si="19"/>
        <v>0</v>
      </c>
    </row>
    <row r="608" spans="2:8" x14ac:dyDescent="0.2">
      <c r="B608" s="1">
        <v>601</v>
      </c>
      <c r="C608" s="2">
        <v>2524.5</v>
      </c>
      <c r="D608" s="3"/>
      <c r="E608" s="2">
        <f t="shared" si="18"/>
        <v>46.090813464682903</v>
      </c>
      <c r="F608" s="2">
        <v>0</v>
      </c>
      <c r="G608" s="3"/>
      <c r="H608" s="5">
        <f t="shared" si="19"/>
        <v>0</v>
      </c>
    </row>
    <row r="609" spans="2:8" x14ac:dyDescent="0.2">
      <c r="B609" s="1">
        <v>602</v>
      </c>
      <c r="C609" s="2">
        <v>2376</v>
      </c>
      <c r="D609" s="3"/>
      <c r="E609" s="2">
        <f t="shared" si="18"/>
        <v>43.379589143230966</v>
      </c>
      <c r="F609" s="2">
        <v>0</v>
      </c>
      <c r="G609" s="3"/>
      <c r="H609" s="5">
        <f t="shared" si="19"/>
        <v>0</v>
      </c>
    </row>
    <row r="610" spans="2:8" x14ac:dyDescent="0.2">
      <c r="B610" s="1">
        <v>603</v>
      </c>
      <c r="C610" s="2">
        <v>2524.5</v>
      </c>
      <c r="D610" s="3"/>
      <c r="E610" s="2">
        <f t="shared" si="18"/>
        <v>46.090813464682903</v>
      </c>
      <c r="F610" s="2">
        <v>0</v>
      </c>
      <c r="G610" s="3"/>
      <c r="H610" s="5">
        <f t="shared" si="19"/>
        <v>0</v>
      </c>
    </row>
    <row r="611" spans="2:8" x14ac:dyDescent="0.2">
      <c r="B611" s="1">
        <v>604</v>
      </c>
      <c r="C611" s="2">
        <v>2673</v>
      </c>
      <c r="D611" s="3"/>
      <c r="E611" s="2">
        <f t="shared" si="18"/>
        <v>48.802037786134839</v>
      </c>
      <c r="F611" s="2">
        <v>0</v>
      </c>
      <c r="G611" s="3"/>
      <c r="H611" s="5">
        <f t="shared" si="19"/>
        <v>0</v>
      </c>
    </row>
    <row r="612" spans="2:8" x14ac:dyDescent="0.2">
      <c r="B612" s="1">
        <v>605</v>
      </c>
      <c r="C612" s="2">
        <v>2943</v>
      </c>
      <c r="D612" s="3"/>
      <c r="E612" s="2">
        <f t="shared" si="18"/>
        <v>53.731536552411086</v>
      </c>
      <c r="F612" s="2">
        <v>0</v>
      </c>
      <c r="G612" s="3"/>
      <c r="H612" s="5">
        <f t="shared" si="19"/>
        <v>0</v>
      </c>
    </row>
    <row r="613" spans="2:8" x14ac:dyDescent="0.2">
      <c r="B613" s="1">
        <v>606</v>
      </c>
      <c r="C613" s="2">
        <v>3131.9999999999995</v>
      </c>
      <c r="D613" s="3"/>
      <c r="E613" s="2">
        <f t="shared" si="18"/>
        <v>57.182185688804452</v>
      </c>
      <c r="F613" s="2">
        <v>0</v>
      </c>
      <c r="G613" s="3"/>
      <c r="H613" s="5">
        <f t="shared" si="19"/>
        <v>0</v>
      </c>
    </row>
    <row r="614" spans="2:8" x14ac:dyDescent="0.2">
      <c r="B614" s="1">
        <v>607</v>
      </c>
      <c r="C614" s="2">
        <v>3321</v>
      </c>
      <c r="D614" s="3"/>
      <c r="E614" s="2">
        <f t="shared" si="18"/>
        <v>60.632834825197833</v>
      </c>
      <c r="F614" s="2">
        <v>0</v>
      </c>
      <c r="G614" s="3"/>
      <c r="H614" s="5">
        <f t="shared" si="19"/>
        <v>0</v>
      </c>
    </row>
    <row r="615" spans="2:8" x14ac:dyDescent="0.2">
      <c r="B615" s="1">
        <v>608</v>
      </c>
      <c r="C615" s="2">
        <v>3510</v>
      </c>
      <c r="D615" s="3"/>
      <c r="E615" s="2">
        <f t="shared" si="18"/>
        <v>64.083483961591199</v>
      </c>
      <c r="F615" s="2">
        <v>0</v>
      </c>
      <c r="G615" s="3"/>
      <c r="H615" s="5">
        <f t="shared" si="19"/>
        <v>0</v>
      </c>
    </row>
    <row r="616" spans="2:8" x14ac:dyDescent="0.2">
      <c r="B616" s="1">
        <v>609</v>
      </c>
      <c r="C616" s="2">
        <v>3699</v>
      </c>
      <c r="D616" s="3"/>
      <c r="E616" s="2">
        <f t="shared" si="18"/>
        <v>67.534133097984579</v>
      </c>
      <c r="F616" s="2">
        <v>0</v>
      </c>
      <c r="G616" s="3"/>
      <c r="H616" s="5">
        <f t="shared" si="19"/>
        <v>0</v>
      </c>
    </row>
    <row r="617" spans="2:8" x14ac:dyDescent="0.2">
      <c r="B617" s="1">
        <v>610</v>
      </c>
      <c r="C617" s="2">
        <v>3785.1332444073864</v>
      </c>
      <c r="D617" s="3"/>
      <c r="E617" s="2">
        <f t="shared" si="18"/>
        <v>69.106702438879324</v>
      </c>
      <c r="F617" s="2">
        <v>102.86675559261312</v>
      </c>
      <c r="G617" s="3"/>
      <c r="H617" s="5">
        <f t="shared" si="19"/>
        <v>4.009521706699851</v>
      </c>
    </row>
    <row r="618" spans="2:8" x14ac:dyDescent="0.2">
      <c r="B618" s="1">
        <v>611</v>
      </c>
      <c r="C618" s="2">
        <v>3790.8012085771802</v>
      </c>
      <c r="D618" s="3"/>
      <c r="E618" s="2">
        <f t="shared" si="18"/>
        <v>69.210184743998937</v>
      </c>
      <c r="F618" s="2">
        <v>286.19879142281934</v>
      </c>
      <c r="G618" s="3"/>
      <c r="H618" s="5">
        <f t="shared" si="19"/>
        <v>11.155404484473321</v>
      </c>
    </row>
    <row r="619" spans="2:8" x14ac:dyDescent="0.2">
      <c r="B619" s="1">
        <v>612</v>
      </c>
      <c r="C619" s="2">
        <v>3796.4410680828169</v>
      </c>
      <c r="D619" s="3"/>
      <c r="E619" s="2">
        <f t="shared" si="18"/>
        <v>69.313153930943415</v>
      </c>
      <c r="F619" s="2">
        <v>469.55893191718314</v>
      </c>
      <c r="G619" s="3"/>
      <c r="H619" s="5">
        <f t="shared" si="19"/>
        <v>18.302382720739185</v>
      </c>
    </row>
    <row r="620" spans="2:8" x14ac:dyDescent="0.2">
      <c r="B620" s="1">
        <v>613</v>
      </c>
      <c r="C620" s="2">
        <v>3802.0524588735684</v>
      </c>
      <c r="D620" s="3"/>
      <c r="E620" s="2">
        <f t="shared" si="18"/>
        <v>69.415603353091939</v>
      </c>
      <c r="F620" s="2">
        <v>652.94754112643159</v>
      </c>
      <c r="G620" s="3"/>
      <c r="H620" s="5">
        <f t="shared" si="19"/>
        <v>25.450470605400536</v>
      </c>
    </row>
    <row r="621" spans="2:8" x14ac:dyDescent="0.2">
      <c r="B621" s="1">
        <v>614</v>
      </c>
      <c r="C621" s="2">
        <v>3807.6351577804858</v>
      </c>
      <c r="D621" s="3"/>
      <c r="E621" s="2">
        <f t="shared" si="18"/>
        <v>69.517528935959135</v>
      </c>
      <c r="F621" s="2">
        <v>562.50769936237111</v>
      </c>
      <c r="G621" s="3"/>
      <c r="H621" s="5">
        <f t="shared" si="19"/>
        <v>21.925322887710291</v>
      </c>
    </row>
    <row r="622" spans="2:8" x14ac:dyDescent="0.2">
      <c r="B622" s="1">
        <v>615</v>
      </c>
      <c r="C622" s="2">
        <v>3813.1894961284629</v>
      </c>
      <c r="D622" s="3"/>
      <c r="E622" s="2">
        <f t="shared" si="18"/>
        <v>69.618936728677042</v>
      </c>
      <c r="F622" s="2">
        <v>472.09621815725177</v>
      </c>
      <c r="G622" s="3"/>
      <c r="H622" s="5">
        <f t="shared" si="19"/>
        <v>18.401280602732818</v>
      </c>
    </row>
    <row r="623" spans="2:8" x14ac:dyDescent="0.2">
      <c r="B623" s="1">
        <v>616</v>
      </c>
      <c r="C623" s="2">
        <v>3818.7159414776238</v>
      </c>
      <c r="D623" s="3"/>
      <c r="E623" s="2">
        <f t="shared" si="18"/>
        <v>69.719835267679187</v>
      </c>
      <c r="F623" s="2">
        <v>381.71262995094776</v>
      </c>
      <c r="G623" s="3"/>
      <c r="H623" s="5">
        <f t="shared" si="19"/>
        <v>14.878325525994496</v>
      </c>
    </row>
    <row r="624" spans="2:8" x14ac:dyDescent="0.2">
      <c r="B624" s="1">
        <v>617</v>
      </c>
      <c r="C624" s="2">
        <v>3824.2149587493072</v>
      </c>
      <c r="D624" s="3"/>
      <c r="E624" s="2">
        <f t="shared" si="18"/>
        <v>69.820233041221769</v>
      </c>
      <c r="F624" s="2">
        <v>291.3564698221212</v>
      </c>
      <c r="G624" s="3"/>
      <c r="H624" s="5">
        <f t="shared" si="19"/>
        <v>11.356439535875902</v>
      </c>
    </row>
    <row r="625" spans="2:8" x14ac:dyDescent="0.2">
      <c r="B625" s="1">
        <v>618</v>
      </c>
      <c r="C625" s="2">
        <v>3829.6870102035855</v>
      </c>
      <c r="D625" s="3"/>
      <c r="E625" s="2">
        <f t="shared" si="18"/>
        <v>69.920138488973123</v>
      </c>
      <c r="F625" s="2">
        <v>201.02727551070029</v>
      </c>
      <c r="G625" s="3"/>
      <c r="H625" s="5">
        <f t="shared" si="19"/>
        <v>7.8356046144879574</v>
      </c>
    </row>
    <row r="626" spans="2:8" x14ac:dyDescent="0.2">
      <c r="B626" s="1">
        <v>619</v>
      </c>
      <c r="C626" s="2">
        <v>3835.1325554169925</v>
      </c>
      <c r="D626" s="3"/>
      <c r="E626" s="2">
        <f t="shared" si="18"/>
        <v>70.019560001607161</v>
      </c>
      <c r="F626" s="2">
        <v>110.72458744015103</v>
      </c>
      <c r="G626" s="3"/>
      <c r="H626" s="5">
        <f t="shared" si="19"/>
        <v>4.3158028485400353</v>
      </c>
    </row>
    <row r="627" spans="2:8" x14ac:dyDescent="0.2">
      <c r="B627" s="1">
        <v>620</v>
      </c>
      <c r="C627" s="2">
        <v>3840.5520512604958</v>
      </c>
      <c r="D627" s="3"/>
      <c r="E627" s="2">
        <f t="shared" si="18"/>
        <v>70.118505920401191</v>
      </c>
      <c r="F627" s="2">
        <v>20.447948739504227</v>
      </c>
      <c r="G627" s="3"/>
      <c r="H627" s="5">
        <f t="shared" si="19"/>
        <v>0.79701643019851909</v>
      </c>
    </row>
    <row r="628" spans="2:8" x14ac:dyDescent="0.2">
      <c r="B628" s="1">
        <v>621</v>
      </c>
      <c r="C628" s="2">
        <v>3845.9457588581263</v>
      </c>
      <c r="D628" s="3"/>
      <c r="E628" s="2">
        <f t="shared" si="18"/>
        <v>70.216981012801838</v>
      </c>
      <c r="F628" s="2">
        <v>312.05424114187372</v>
      </c>
      <c r="G628" s="3"/>
      <c r="H628" s="5">
        <f t="shared" si="19"/>
        <v>12.163193505209962</v>
      </c>
    </row>
    <row r="629" spans="2:8" x14ac:dyDescent="0.2">
      <c r="B629" s="1">
        <v>622</v>
      </c>
      <c r="C629" s="2">
        <v>3712.4999999999995</v>
      </c>
      <c r="D629" s="3"/>
      <c r="E629" s="2">
        <f t="shared" si="18"/>
        <v>67.780608036298375</v>
      </c>
      <c r="F629" s="2">
        <v>0</v>
      </c>
      <c r="G629" s="3"/>
      <c r="H629" s="5">
        <f t="shared" si="19"/>
        <v>0</v>
      </c>
    </row>
    <row r="630" spans="2:8" x14ac:dyDescent="0.2">
      <c r="B630" s="1">
        <v>623</v>
      </c>
      <c r="C630" s="2">
        <v>3267</v>
      </c>
      <c r="D630" s="3"/>
      <c r="E630" s="2">
        <f t="shared" si="18"/>
        <v>59.646935071942586</v>
      </c>
      <c r="F630" s="2">
        <v>0</v>
      </c>
      <c r="G630" s="3"/>
      <c r="H630" s="5">
        <f t="shared" si="19"/>
        <v>0</v>
      </c>
    </row>
    <row r="631" spans="2:8" x14ac:dyDescent="0.2">
      <c r="B631" s="1">
        <v>624</v>
      </c>
      <c r="C631" s="2">
        <v>2821.4999999999995</v>
      </c>
      <c r="D631" s="3"/>
      <c r="E631" s="2">
        <f t="shared" si="18"/>
        <v>51.513262107586769</v>
      </c>
      <c r="F631" s="2">
        <v>0</v>
      </c>
      <c r="G631" s="3"/>
      <c r="H631" s="5">
        <f t="shared" si="19"/>
        <v>0</v>
      </c>
    </row>
    <row r="632" spans="2:8" x14ac:dyDescent="0.2">
      <c r="B632" s="1">
        <v>625</v>
      </c>
      <c r="C632" s="2">
        <v>2376</v>
      </c>
      <c r="D632" s="3"/>
      <c r="E632" s="2">
        <f t="shared" si="18"/>
        <v>43.379589143230966</v>
      </c>
      <c r="F632" s="2">
        <v>0</v>
      </c>
      <c r="G632" s="3"/>
      <c r="H632" s="5">
        <f t="shared" si="19"/>
        <v>0</v>
      </c>
    </row>
    <row r="633" spans="2:8" x14ac:dyDescent="0.2">
      <c r="B633" s="1">
        <v>626</v>
      </c>
      <c r="C633" s="2">
        <v>2376</v>
      </c>
      <c r="D633" s="3"/>
      <c r="E633" s="2">
        <f t="shared" si="18"/>
        <v>43.379589143230966</v>
      </c>
      <c r="F633" s="2">
        <v>0</v>
      </c>
      <c r="G633" s="3"/>
      <c r="H633" s="5">
        <f t="shared" si="19"/>
        <v>0</v>
      </c>
    </row>
    <row r="634" spans="2:8" x14ac:dyDescent="0.2">
      <c r="B634" s="1">
        <v>627</v>
      </c>
      <c r="C634" s="2">
        <v>2545.7142857142858</v>
      </c>
      <c r="D634" s="3"/>
      <c r="E634" s="2">
        <f t="shared" si="18"/>
        <v>46.478131224890326</v>
      </c>
      <c r="F634" s="2">
        <v>0</v>
      </c>
      <c r="G634" s="3"/>
      <c r="H634" s="5">
        <f t="shared" si="19"/>
        <v>0</v>
      </c>
    </row>
    <row r="635" spans="2:8" x14ac:dyDescent="0.2">
      <c r="B635" s="1">
        <v>628</v>
      </c>
      <c r="C635" s="2">
        <v>2715.4285714285716</v>
      </c>
      <c r="D635" s="3"/>
      <c r="E635" s="2">
        <f t="shared" si="18"/>
        <v>49.576673306549679</v>
      </c>
      <c r="F635" s="2">
        <v>0</v>
      </c>
      <c r="G635" s="3"/>
      <c r="H635" s="5">
        <f t="shared" si="19"/>
        <v>0</v>
      </c>
    </row>
    <row r="636" spans="2:8" x14ac:dyDescent="0.2">
      <c r="B636" s="1">
        <v>629</v>
      </c>
      <c r="C636" s="2">
        <v>2885.1428571428573</v>
      </c>
      <c r="D636" s="3"/>
      <c r="E636" s="2">
        <f t="shared" si="18"/>
        <v>52.67521538820904</v>
      </c>
      <c r="F636" s="2">
        <v>0</v>
      </c>
      <c r="G636" s="3"/>
      <c r="H636" s="5">
        <f t="shared" si="19"/>
        <v>0</v>
      </c>
    </row>
    <row r="637" spans="2:8" x14ac:dyDescent="0.2">
      <c r="B637" s="1">
        <v>630</v>
      </c>
      <c r="C637" s="2">
        <v>3054.8571428571431</v>
      </c>
      <c r="D637" s="3"/>
      <c r="E637" s="2">
        <f t="shared" si="18"/>
        <v>55.773757469868393</v>
      </c>
      <c r="F637" s="2">
        <v>0</v>
      </c>
      <c r="G637" s="3"/>
      <c r="H637" s="5">
        <f t="shared" si="19"/>
        <v>0</v>
      </c>
    </row>
    <row r="638" spans="2:8" x14ac:dyDescent="0.2">
      <c r="B638" s="1">
        <v>631</v>
      </c>
      <c r="C638" s="2">
        <v>3224.5714285714284</v>
      </c>
      <c r="D638" s="3"/>
      <c r="E638" s="2">
        <f t="shared" si="18"/>
        <v>58.872299551527739</v>
      </c>
      <c r="F638" s="2">
        <v>0</v>
      </c>
      <c r="G638" s="3"/>
      <c r="H638" s="5">
        <f t="shared" si="19"/>
        <v>0</v>
      </c>
    </row>
    <row r="639" spans="2:8" x14ac:dyDescent="0.2">
      <c r="B639" s="1">
        <v>632</v>
      </c>
      <c r="C639" s="2">
        <v>3394.2857142857147</v>
      </c>
      <c r="D639" s="3"/>
      <c r="E639" s="2">
        <f t="shared" si="18"/>
        <v>61.970841633187106</v>
      </c>
      <c r="F639" s="2">
        <v>0</v>
      </c>
      <c r="G639" s="3"/>
      <c r="H639" s="5">
        <f t="shared" si="19"/>
        <v>0</v>
      </c>
    </row>
    <row r="640" spans="2:8" x14ac:dyDescent="0.2">
      <c r="B640" s="1">
        <v>633</v>
      </c>
      <c r="C640" s="2">
        <v>3564</v>
      </c>
      <c r="D640" s="3"/>
      <c r="E640" s="2">
        <f t="shared" si="18"/>
        <v>65.069383714846452</v>
      </c>
      <c r="F640" s="2">
        <v>0</v>
      </c>
      <c r="G640" s="3"/>
      <c r="H640" s="5">
        <f t="shared" si="19"/>
        <v>0</v>
      </c>
    </row>
    <row r="641" spans="2:8" x14ac:dyDescent="0.2">
      <c r="B641" s="1">
        <v>634</v>
      </c>
      <c r="C641" s="2">
        <v>3733.7142857142858</v>
      </c>
      <c r="D641" s="3"/>
      <c r="E641" s="2">
        <f t="shared" si="18"/>
        <v>68.167925796505813</v>
      </c>
      <c r="F641" s="2">
        <v>0</v>
      </c>
      <c r="G641" s="3"/>
      <c r="H641" s="5">
        <f t="shared" si="19"/>
        <v>0</v>
      </c>
    </row>
    <row r="642" spans="2:8" x14ac:dyDescent="0.2">
      <c r="B642" s="1">
        <v>635</v>
      </c>
      <c r="C642" s="2">
        <v>3795.3094435483558</v>
      </c>
      <c r="D642" s="3"/>
      <c r="E642" s="2">
        <f t="shared" si="18"/>
        <v>69.292493405956321</v>
      </c>
      <c r="F642" s="2">
        <v>108.11912788021618</v>
      </c>
      <c r="G642" s="3"/>
      <c r="H642" s="5">
        <f t="shared" si="19"/>
        <v>4.2142477192730086</v>
      </c>
    </row>
    <row r="643" spans="2:8" x14ac:dyDescent="0.2">
      <c r="B643" s="1">
        <v>636</v>
      </c>
      <c r="C643" s="2">
        <v>3786.1391070190198</v>
      </c>
      <c r="D643" s="3"/>
      <c r="E643" s="2">
        <f t="shared" si="18"/>
        <v>69.125066877779659</v>
      </c>
      <c r="F643" s="2">
        <v>287.00375012383802</v>
      </c>
      <c r="G643" s="3"/>
      <c r="H643" s="5">
        <f t="shared" si="19"/>
        <v>11.186780018445766</v>
      </c>
    </row>
    <row r="644" spans="2:8" x14ac:dyDescent="0.2">
      <c r="B644" s="1">
        <v>637</v>
      </c>
      <c r="C644" s="2">
        <v>3777.005907155798</v>
      </c>
      <c r="D644" s="3"/>
      <c r="E644" s="2">
        <f t="shared" si="18"/>
        <v>68.958318368676302</v>
      </c>
      <c r="F644" s="2">
        <v>380.99409284420199</v>
      </c>
      <c r="G644" s="3"/>
      <c r="H644" s="5">
        <f t="shared" si="19"/>
        <v>14.85031851721922</v>
      </c>
    </row>
    <row r="645" spans="2:8" x14ac:dyDescent="0.2">
      <c r="B645" s="1">
        <v>638</v>
      </c>
      <c r="C645" s="2">
        <v>3767.9097314183687</v>
      </c>
      <c r="D645" s="3"/>
      <c r="E645" s="2">
        <f t="shared" si="18"/>
        <v>68.792245823952271</v>
      </c>
      <c r="F645" s="2">
        <v>390.09026858163134</v>
      </c>
      <c r="G645" s="3"/>
      <c r="H645" s="5">
        <f t="shared" si="19"/>
        <v>15.204867602169641</v>
      </c>
    </row>
    <row r="646" spans="2:8" x14ac:dyDescent="0.2">
      <c r="B646" s="1">
        <v>639</v>
      </c>
      <c r="C646" s="2">
        <v>3758.850467548375</v>
      </c>
      <c r="D646" s="3"/>
      <c r="E646" s="2">
        <f t="shared" si="18"/>
        <v>68.626847194061511</v>
      </c>
      <c r="F646" s="2">
        <v>823.43524673733964</v>
      </c>
      <c r="G646" s="3"/>
      <c r="H646" s="5">
        <f t="shared" si="19"/>
        <v>32.095709413938181</v>
      </c>
    </row>
    <row r="647" spans="2:8" x14ac:dyDescent="0.2">
      <c r="B647" s="1">
        <v>640</v>
      </c>
      <c r="C647" s="2">
        <v>3755.6737594219244</v>
      </c>
      <c r="D647" s="3"/>
      <c r="E647" s="2">
        <f t="shared" si="18"/>
        <v>68.568848754097957</v>
      </c>
      <c r="F647" s="2">
        <v>996.32624057807561</v>
      </c>
      <c r="G647" s="3"/>
      <c r="H647" s="5">
        <f t="shared" si="19"/>
        <v>38.834623154376217</v>
      </c>
    </row>
    <row r="648" spans="2:8" x14ac:dyDescent="0.2">
      <c r="B648" s="1">
        <v>641</v>
      </c>
      <c r="C648" s="2">
        <v>3760.5162661102113</v>
      </c>
      <c r="D648" s="3"/>
      <c r="E648" s="2">
        <f t="shared" si="18"/>
        <v>68.657260349452017</v>
      </c>
      <c r="F648" s="2">
        <v>753.88373388978835</v>
      </c>
      <c r="G648" s="3"/>
      <c r="H648" s="5">
        <f t="shared" si="19"/>
        <v>29.384743184960548</v>
      </c>
    </row>
    <row r="649" spans="2:8" x14ac:dyDescent="0.2">
      <c r="B649" s="1">
        <v>642</v>
      </c>
      <c r="C649" s="2">
        <v>3765.3337649112482</v>
      </c>
      <c r="D649" s="3"/>
      <c r="E649" s="2">
        <f t="shared" ref="E649:E679" si="20">C649*$D$5</f>
        <v>68.74521536573441</v>
      </c>
      <c r="F649" s="2">
        <v>511.466235088752</v>
      </c>
      <c r="G649" s="3"/>
      <c r="H649" s="5">
        <f t="shared" ref="H649:H679" si="21">$G$5*F649</f>
        <v>19.935837968429755</v>
      </c>
    </row>
    <row r="650" spans="2:8" x14ac:dyDescent="0.2">
      <c r="B650" s="1">
        <v>643</v>
      </c>
      <c r="C650" s="2">
        <v>3770.1271082886001</v>
      </c>
      <c r="D650" s="3"/>
      <c r="E650" s="2">
        <f t="shared" si="20"/>
        <v>68.832729366715881</v>
      </c>
      <c r="F650" s="2">
        <v>387.87289171139992</v>
      </c>
      <c r="G650" s="3"/>
      <c r="H650" s="5">
        <f t="shared" si="21"/>
        <v>15.118439089460084</v>
      </c>
    </row>
    <row r="651" spans="2:8" x14ac:dyDescent="0.2">
      <c r="B651" s="1">
        <v>644</v>
      </c>
      <c r="C651" s="2">
        <v>3774.8970237368681</v>
      </c>
      <c r="D651" s="3"/>
      <c r="E651" s="2">
        <f t="shared" si="20"/>
        <v>68.91981563455839</v>
      </c>
      <c r="F651" s="2">
        <v>26.70297626313095</v>
      </c>
      <c r="G651" s="3"/>
      <c r="H651" s="5">
        <f t="shared" si="21"/>
        <v>1.0408237563604354</v>
      </c>
    </row>
    <row r="652" spans="2:8" x14ac:dyDescent="0.2">
      <c r="B652" s="1">
        <v>645</v>
      </c>
      <c r="C652" s="2">
        <v>3563.9999999999991</v>
      </c>
      <c r="D652" s="3"/>
      <c r="E652" s="2">
        <f t="shared" si="20"/>
        <v>65.069383714846438</v>
      </c>
      <c r="F652" s="2">
        <v>0</v>
      </c>
      <c r="G652" s="3"/>
      <c r="H652" s="5">
        <f t="shared" si="21"/>
        <v>0</v>
      </c>
    </row>
    <row r="653" spans="2:8" x14ac:dyDescent="0.2">
      <c r="B653" s="1">
        <v>646</v>
      </c>
      <c r="C653" s="2">
        <v>3326.3999999999996</v>
      </c>
      <c r="D653" s="3"/>
      <c r="E653" s="2">
        <f t="shared" si="20"/>
        <v>60.731424800523349</v>
      </c>
      <c r="F653" s="2">
        <v>0</v>
      </c>
      <c r="G653" s="3"/>
      <c r="H653" s="5">
        <f t="shared" si="21"/>
        <v>0</v>
      </c>
    </row>
    <row r="654" spans="2:8" x14ac:dyDescent="0.2">
      <c r="B654" s="1">
        <v>647</v>
      </c>
      <c r="C654" s="2">
        <v>2673</v>
      </c>
      <c r="D654" s="3"/>
      <c r="E654" s="2">
        <f t="shared" si="20"/>
        <v>48.802037786134839</v>
      </c>
      <c r="F654" s="2">
        <v>0</v>
      </c>
      <c r="G654" s="3"/>
      <c r="H654" s="5">
        <f t="shared" si="21"/>
        <v>0</v>
      </c>
    </row>
    <row r="655" spans="2:8" x14ac:dyDescent="0.2">
      <c r="B655" s="1">
        <v>648</v>
      </c>
      <c r="C655" s="2">
        <v>2524.5</v>
      </c>
      <c r="D655" s="3"/>
      <c r="E655" s="2">
        <f t="shared" si="20"/>
        <v>46.090813464682903</v>
      </c>
      <c r="F655" s="2">
        <v>0</v>
      </c>
      <c r="G655" s="3"/>
      <c r="H655" s="5">
        <f t="shared" si="21"/>
        <v>0</v>
      </c>
    </row>
    <row r="656" spans="2:8" x14ac:dyDescent="0.2">
      <c r="B656" s="1">
        <v>649</v>
      </c>
      <c r="C656" s="2">
        <v>2376</v>
      </c>
      <c r="D656" s="3"/>
      <c r="E656" s="2">
        <f t="shared" si="20"/>
        <v>43.379589143230966</v>
      </c>
      <c r="F656" s="2">
        <v>0</v>
      </c>
      <c r="G656" s="3"/>
      <c r="H656" s="5">
        <f t="shared" si="21"/>
        <v>0</v>
      </c>
    </row>
    <row r="657" spans="2:8" x14ac:dyDescent="0.2">
      <c r="B657" s="1">
        <v>650</v>
      </c>
      <c r="C657" s="2">
        <v>2376</v>
      </c>
      <c r="D657" s="3"/>
      <c r="E657" s="2">
        <f t="shared" si="20"/>
        <v>43.379589143230966</v>
      </c>
      <c r="F657" s="2">
        <v>0</v>
      </c>
      <c r="G657" s="3"/>
      <c r="H657" s="5">
        <f t="shared" si="21"/>
        <v>0</v>
      </c>
    </row>
    <row r="658" spans="2:8" x14ac:dyDescent="0.2">
      <c r="B658" s="1">
        <v>651</v>
      </c>
      <c r="C658" s="2">
        <v>2524.5000000000005</v>
      </c>
      <c r="D658" s="3"/>
      <c r="E658" s="2">
        <f t="shared" si="20"/>
        <v>46.09081346468291</v>
      </c>
      <c r="F658" s="2">
        <v>0</v>
      </c>
      <c r="G658" s="3"/>
      <c r="H658" s="5">
        <f t="shared" si="21"/>
        <v>0</v>
      </c>
    </row>
    <row r="659" spans="2:8" x14ac:dyDescent="0.2">
      <c r="B659" s="1">
        <v>652</v>
      </c>
      <c r="C659" s="2">
        <v>2673</v>
      </c>
      <c r="D659" s="3"/>
      <c r="E659" s="2">
        <f t="shared" si="20"/>
        <v>48.802037786134839</v>
      </c>
      <c r="F659" s="2">
        <v>0</v>
      </c>
      <c r="G659" s="3"/>
      <c r="H659" s="5">
        <f t="shared" si="21"/>
        <v>0</v>
      </c>
    </row>
    <row r="660" spans="2:8" x14ac:dyDescent="0.2">
      <c r="B660" s="1">
        <v>653</v>
      </c>
      <c r="C660" s="2">
        <v>2821.4999999999995</v>
      </c>
      <c r="D660" s="3"/>
      <c r="E660" s="2">
        <f t="shared" si="20"/>
        <v>51.513262107586769</v>
      </c>
      <c r="F660" s="2">
        <v>0</v>
      </c>
      <c r="G660" s="3"/>
      <c r="H660" s="5">
        <f t="shared" si="21"/>
        <v>0</v>
      </c>
    </row>
    <row r="661" spans="2:8" x14ac:dyDescent="0.2">
      <c r="B661" s="1">
        <v>654</v>
      </c>
      <c r="C661" s="2">
        <v>2969.9999999999995</v>
      </c>
      <c r="D661" s="3"/>
      <c r="E661" s="2">
        <f t="shared" si="20"/>
        <v>54.224486429038706</v>
      </c>
      <c r="F661" s="2">
        <v>0</v>
      </c>
      <c r="G661" s="3"/>
      <c r="H661" s="5">
        <f t="shared" si="21"/>
        <v>0</v>
      </c>
    </row>
    <row r="662" spans="2:8" x14ac:dyDescent="0.2">
      <c r="B662" s="1">
        <v>655</v>
      </c>
      <c r="C662" s="2">
        <v>3118.5</v>
      </c>
      <c r="D662" s="3"/>
      <c r="E662" s="2">
        <f t="shared" si="20"/>
        <v>56.935710750490649</v>
      </c>
      <c r="F662" s="2">
        <v>0</v>
      </c>
      <c r="G662" s="3"/>
      <c r="H662" s="5">
        <f t="shared" si="21"/>
        <v>0</v>
      </c>
    </row>
    <row r="663" spans="2:8" x14ac:dyDescent="0.2">
      <c r="B663" s="1">
        <v>656</v>
      </c>
      <c r="C663" s="2">
        <v>3267</v>
      </c>
      <c r="D663" s="3"/>
      <c r="E663" s="2">
        <f t="shared" si="20"/>
        <v>59.646935071942586</v>
      </c>
      <c r="F663" s="2">
        <v>0</v>
      </c>
      <c r="G663" s="3"/>
      <c r="H663" s="5">
        <f t="shared" si="21"/>
        <v>0</v>
      </c>
    </row>
    <row r="664" spans="2:8" x14ac:dyDescent="0.2">
      <c r="B664" s="1">
        <v>657</v>
      </c>
      <c r="C664" s="2">
        <v>3415.5</v>
      </c>
      <c r="D664" s="3"/>
      <c r="E664" s="2">
        <f t="shared" si="20"/>
        <v>62.358159393394516</v>
      </c>
      <c r="F664" s="2">
        <v>0</v>
      </c>
      <c r="G664" s="3"/>
      <c r="H664" s="5">
        <f t="shared" si="21"/>
        <v>0</v>
      </c>
    </row>
    <row r="665" spans="2:8" x14ac:dyDescent="0.2">
      <c r="B665" s="1">
        <v>658</v>
      </c>
      <c r="C665" s="2">
        <v>3564</v>
      </c>
      <c r="D665" s="3"/>
      <c r="E665" s="2">
        <f t="shared" si="20"/>
        <v>65.069383714846452</v>
      </c>
      <c r="F665" s="2">
        <v>0</v>
      </c>
      <c r="G665" s="3"/>
      <c r="H665" s="5">
        <f t="shared" si="21"/>
        <v>0</v>
      </c>
    </row>
    <row r="666" spans="2:8" x14ac:dyDescent="0.2">
      <c r="B666" s="1">
        <v>659</v>
      </c>
      <c r="C666" s="2">
        <v>3712.5000000000005</v>
      </c>
      <c r="D666" s="3"/>
      <c r="E666" s="2">
        <f t="shared" si="20"/>
        <v>67.780608036298403</v>
      </c>
      <c r="F666" s="2">
        <v>0</v>
      </c>
      <c r="G666" s="3"/>
      <c r="H666" s="5">
        <f t="shared" si="21"/>
        <v>0</v>
      </c>
    </row>
    <row r="667" spans="2:8" x14ac:dyDescent="0.2">
      <c r="B667" s="1">
        <v>660</v>
      </c>
      <c r="C667" s="2">
        <v>3717.5011424170707</v>
      </c>
      <c r="D667" s="3"/>
      <c r="E667" s="2">
        <f t="shared" si="20"/>
        <v>67.87191590805736</v>
      </c>
      <c r="F667" s="2">
        <v>143.49885758293021</v>
      </c>
      <c r="G667" s="3"/>
      <c r="H667" s="5">
        <f t="shared" si="21"/>
        <v>5.5932723944751892</v>
      </c>
    </row>
    <row r="668" spans="2:8" x14ac:dyDescent="0.2">
      <c r="B668" s="1">
        <v>661</v>
      </c>
      <c r="C668" s="2">
        <v>3711.2215429146258</v>
      </c>
      <c r="D668" s="3"/>
      <c r="E668" s="2">
        <f t="shared" si="20"/>
        <v>67.75726673027954</v>
      </c>
      <c r="F668" s="2">
        <v>298.27845708537461</v>
      </c>
      <c r="G668" s="3"/>
      <c r="H668" s="5">
        <f t="shared" si="21"/>
        <v>11.626243497570087</v>
      </c>
    </row>
    <row r="669" spans="2:8" x14ac:dyDescent="0.2">
      <c r="B669" s="1">
        <v>662</v>
      </c>
      <c r="C669" s="2">
        <v>3704.9734332625867</v>
      </c>
      <c r="D669" s="3"/>
      <c r="E669" s="2">
        <f t="shared" si="20"/>
        <v>67.643192475385888</v>
      </c>
      <c r="F669" s="2">
        <v>453.02656673741421</v>
      </c>
      <c r="G669" s="3"/>
      <c r="H669" s="5">
        <f t="shared" si="21"/>
        <v>17.657987194998192</v>
      </c>
    </row>
    <row r="670" spans="2:8" x14ac:dyDescent="0.2">
      <c r="B670" s="1">
        <v>663</v>
      </c>
      <c r="C670" s="2">
        <v>3698.7567085753203</v>
      </c>
      <c r="D670" s="3"/>
      <c r="E670" s="2">
        <f t="shared" si="20"/>
        <v>67.529691228437159</v>
      </c>
      <c r="F670" s="2">
        <v>310.74329142467968</v>
      </c>
      <c r="G670" s="3"/>
      <c r="H670" s="5">
        <f t="shared" si="21"/>
        <v>12.112095545356945</v>
      </c>
    </row>
    <row r="671" spans="2:8" x14ac:dyDescent="0.2">
      <c r="B671" s="1">
        <v>664</v>
      </c>
      <c r="C671" s="2">
        <v>3698.469687126898</v>
      </c>
      <c r="D671" s="3"/>
      <c r="E671" s="2">
        <f t="shared" si="20"/>
        <v>67.524450962230148</v>
      </c>
      <c r="F671" s="2">
        <v>459.53031287310205</v>
      </c>
      <c r="G671" s="3"/>
      <c r="H671" s="5">
        <f t="shared" si="21"/>
        <v>17.911489030024264</v>
      </c>
    </row>
    <row r="672" spans="2:8" x14ac:dyDescent="0.2">
      <c r="B672" s="1">
        <v>665</v>
      </c>
      <c r="C672" s="2">
        <v>3706.2076014766203</v>
      </c>
      <c r="D672" s="3"/>
      <c r="E672" s="2">
        <f t="shared" si="20"/>
        <v>67.665725181639431</v>
      </c>
      <c r="F672" s="2">
        <v>1045.7923985233797</v>
      </c>
      <c r="G672" s="3"/>
      <c r="H672" s="5">
        <f t="shared" si="21"/>
        <v>40.762706069853941</v>
      </c>
    </row>
    <row r="673" spans="2:8" x14ac:dyDescent="0.2">
      <c r="B673" s="1">
        <v>666</v>
      </c>
      <c r="C673" s="2">
        <v>3713.9149628798691</v>
      </c>
      <c r="D673" s="3"/>
      <c r="E673" s="2">
        <f t="shared" si="20"/>
        <v>67.806441583597064</v>
      </c>
      <c r="F673" s="2">
        <v>889.58503712013089</v>
      </c>
      <c r="G673" s="3"/>
      <c r="H673" s="5">
        <f t="shared" si="21"/>
        <v>34.67408392284019</v>
      </c>
    </row>
    <row r="674" spans="2:8" x14ac:dyDescent="0.2">
      <c r="B674" s="1">
        <v>667</v>
      </c>
      <c r="C674" s="2">
        <v>3721.5916850762183</v>
      </c>
      <c r="D674" s="3"/>
      <c r="E674" s="2">
        <f t="shared" si="20"/>
        <v>67.946598593211689</v>
      </c>
      <c r="F674" s="2">
        <v>1178.9083149237808</v>
      </c>
      <c r="G674" s="3"/>
      <c r="H674" s="5">
        <f t="shared" si="21"/>
        <v>45.951274069688651</v>
      </c>
    </row>
    <row r="675" spans="2:8" x14ac:dyDescent="0.2">
      <c r="B675" s="1">
        <v>668</v>
      </c>
      <c r="C675" s="2">
        <v>3729.237472441635</v>
      </c>
      <c r="D675" s="3"/>
      <c r="E675" s="2">
        <f t="shared" si="20"/>
        <v>68.08619081315625</v>
      </c>
      <c r="F675" s="2">
        <v>844.56252755836522</v>
      </c>
      <c r="G675" s="3"/>
      <c r="H675" s="5">
        <f t="shared" si="21"/>
        <v>32.919204726563059</v>
      </c>
    </row>
    <row r="676" spans="2:8" x14ac:dyDescent="0.2">
      <c r="B676" s="1">
        <v>669</v>
      </c>
      <c r="C676" s="2">
        <v>3736.8530658738027</v>
      </c>
      <c r="D676" s="3"/>
      <c r="E676" s="2">
        <f t="shared" si="20"/>
        <v>68.225231770298223</v>
      </c>
      <c r="F676" s="2">
        <v>510.24693412619763</v>
      </c>
      <c r="G676" s="3"/>
      <c r="H676" s="5">
        <f t="shared" si="21"/>
        <v>19.888312277080811</v>
      </c>
    </row>
    <row r="677" spans="2:8" x14ac:dyDescent="0.2">
      <c r="B677" s="1">
        <v>670</v>
      </c>
      <c r="C677" s="2">
        <v>3744.4395160929125</v>
      </c>
      <c r="D677" s="3"/>
      <c r="E677" s="2">
        <f t="shared" si="20"/>
        <v>68.363740648059405</v>
      </c>
      <c r="F677" s="2">
        <v>175.96048390708711</v>
      </c>
      <c r="G677" s="3"/>
      <c r="H677" s="5">
        <f t="shared" si="21"/>
        <v>6.8585557664612393</v>
      </c>
    </row>
    <row r="678" spans="2:8" x14ac:dyDescent="0.2">
      <c r="B678" s="1">
        <v>671</v>
      </c>
      <c r="C678" s="2">
        <v>3593.7</v>
      </c>
      <c r="D678" s="3"/>
      <c r="E678" s="2">
        <f t="shared" si="20"/>
        <v>65.611628579136834</v>
      </c>
      <c r="F678" s="2">
        <v>0</v>
      </c>
      <c r="G678" s="3"/>
      <c r="H678" s="5">
        <f t="shared" si="21"/>
        <v>0</v>
      </c>
    </row>
    <row r="679" spans="2:8" x14ac:dyDescent="0.2">
      <c r="B679" s="1">
        <v>672</v>
      </c>
      <c r="C679" s="2">
        <v>3267</v>
      </c>
      <c r="D679" s="3"/>
      <c r="E679" s="2">
        <f t="shared" si="20"/>
        <v>59.646935071942586</v>
      </c>
      <c r="F679" s="2">
        <v>0</v>
      </c>
      <c r="G679" s="3"/>
      <c r="H679" s="5">
        <f t="shared" si="21"/>
        <v>0</v>
      </c>
    </row>
    <row r="680" spans="2:8" x14ac:dyDescent="0.2">
      <c r="F680" s="2"/>
    </row>
  </sheetData>
  <mergeCells count="3">
    <mergeCell ref="C2:H2"/>
    <mergeCell ref="C3:E3"/>
    <mergeCell ref="F3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BD67-BB82-7545-89CE-137E1C815650}">
  <dimension ref="B2:I680"/>
  <sheetViews>
    <sheetView zoomScale="160" zoomScaleNormal="160" workbookViewId="0">
      <selection activeCell="K10" sqref="K10"/>
    </sheetView>
  </sheetViews>
  <sheetFormatPr baseColWidth="10" defaultRowHeight="16" x14ac:dyDescent="0.2"/>
  <cols>
    <col min="2" max="2" width="10.83203125" style="1"/>
    <col min="3" max="3" width="13.1640625" bestFit="1" customWidth="1"/>
    <col min="5" max="5" width="11.6640625" customWidth="1"/>
    <col min="6" max="6" width="11.6640625" style="12" bestFit="1" customWidth="1"/>
    <col min="8" max="8" width="11" bestFit="1" customWidth="1"/>
  </cols>
  <sheetData>
    <row r="2" spans="2:9" x14ac:dyDescent="0.2">
      <c r="C2" s="18" t="s">
        <v>6</v>
      </c>
      <c r="D2" s="19"/>
      <c r="E2" s="19"/>
      <c r="F2" s="19"/>
      <c r="G2" s="19"/>
      <c r="H2" s="19"/>
    </row>
    <row r="3" spans="2:9" x14ac:dyDescent="0.2">
      <c r="C3" s="20" t="s">
        <v>9</v>
      </c>
      <c r="D3" s="20"/>
      <c r="E3" s="20"/>
      <c r="F3" s="20" t="s">
        <v>10</v>
      </c>
      <c r="G3" s="20"/>
      <c r="H3" s="20"/>
    </row>
    <row r="4" spans="2:9" s="10" customFormat="1" ht="34" x14ac:dyDescent="0.2">
      <c r="C4" s="11" t="s">
        <v>12</v>
      </c>
      <c r="D4" s="11" t="s">
        <v>19</v>
      </c>
      <c r="E4" s="11" t="s">
        <v>25</v>
      </c>
      <c r="F4" s="11" t="s">
        <v>12</v>
      </c>
      <c r="G4" s="11" t="str">
        <f>D4</f>
        <v>Factor</v>
      </c>
      <c r="H4" s="11" t="str">
        <f>E4</f>
        <v>Exergy Destruction</v>
      </c>
      <c r="I4" s="11" t="s">
        <v>24</v>
      </c>
    </row>
    <row r="5" spans="2:9" s="10" customFormat="1" ht="19" x14ac:dyDescent="0.2">
      <c r="C5" s="11" t="s">
        <v>23</v>
      </c>
      <c r="D5" s="21">
        <f>Properties!D10</f>
        <v>1.8257402838060172E-2</v>
      </c>
      <c r="E5" s="11" t="s">
        <v>21</v>
      </c>
      <c r="F5" s="11" t="s">
        <v>22</v>
      </c>
      <c r="G5" s="21">
        <f>Properties!F10</f>
        <v>3.8977818281534057E-2</v>
      </c>
      <c r="H5" s="11" t="s">
        <v>20</v>
      </c>
      <c r="I5" s="11" t="s">
        <v>15</v>
      </c>
    </row>
    <row r="6" spans="2:9" x14ac:dyDescent="0.2">
      <c r="B6" s="1" t="s">
        <v>4</v>
      </c>
      <c r="C6" s="14">
        <f>SUM(C8:C679)</f>
        <v>2182261.1702704765</v>
      </c>
      <c r="D6" s="5"/>
      <c r="E6" s="14">
        <f>ROUND(SUM(E8:E679),0)</f>
        <v>39842</v>
      </c>
      <c r="F6" s="15">
        <f>SUM(F8:F679)</f>
        <v>640290.51631481654</v>
      </c>
      <c r="G6" s="5"/>
      <c r="H6" s="14">
        <f>ROUND(SUM(H8:H679),0)</f>
        <v>24957</v>
      </c>
      <c r="I6" s="17">
        <f>H6+E6</f>
        <v>64799</v>
      </c>
    </row>
    <row r="7" spans="2:9" s="1" customFormat="1" x14ac:dyDescent="0.2">
      <c r="B7" s="1" t="s">
        <v>8</v>
      </c>
      <c r="C7" s="1" t="s">
        <v>18</v>
      </c>
      <c r="D7" s="22"/>
      <c r="E7" s="1" t="s">
        <v>18</v>
      </c>
      <c r="F7" s="23" t="s">
        <v>18</v>
      </c>
      <c r="G7" s="22"/>
      <c r="H7" s="1" t="s">
        <v>18</v>
      </c>
      <c r="I7" s="1" t="s">
        <v>18</v>
      </c>
    </row>
    <row r="8" spans="2:9" x14ac:dyDescent="0.2">
      <c r="B8" s="1">
        <v>1</v>
      </c>
      <c r="C8" s="2">
        <v>2713.9499780422011</v>
      </c>
      <c r="D8" s="3"/>
      <c r="E8" s="5">
        <f>$D$5*C8</f>
        <v>49.549678031461028</v>
      </c>
      <c r="F8" s="2">
        <v>0</v>
      </c>
      <c r="G8" s="3"/>
      <c r="H8" s="5">
        <f>$G$5*F8</f>
        <v>0</v>
      </c>
    </row>
    <row r="9" spans="2:9" x14ac:dyDescent="0.2">
      <c r="B9" s="1">
        <v>2</v>
      </c>
      <c r="C9" s="2">
        <v>2554.3058616867775</v>
      </c>
      <c r="D9" s="3"/>
      <c r="E9" s="5">
        <f t="shared" ref="E9:E72" si="0">$D$5*C9</f>
        <v>46.634991088433907</v>
      </c>
      <c r="F9" s="2">
        <v>0</v>
      </c>
      <c r="G9" s="3"/>
      <c r="H9" s="5">
        <f t="shared" ref="H9:H72" si="1">$G$5*F9</f>
        <v>0</v>
      </c>
    </row>
    <row r="10" spans="2:9" x14ac:dyDescent="0.2">
      <c r="B10" s="1">
        <v>3</v>
      </c>
      <c r="C10" s="2">
        <v>2713.9499780422011</v>
      </c>
      <c r="D10" s="3"/>
      <c r="E10" s="5">
        <f t="shared" si="0"/>
        <v>49.549678031461028</v>
      </c>
      <c r="F10" s="2">
        <v>0</v>
      </c>
      <c r="G10" s="3"/>
      <c r="H10" s="5">
        <f t="shared" si="1"/>
        <v>0</v>
      </c>
    </row>
    <row r="11" spans="2:9" x14ac:dyDescent="0.2">
      <c r="B11" s="1">
        <v>4</v>
      </c>
      <c r="C11" s="2">
        <v>2873.5940943976243</v>
      </c>
      <c r="D11" s="3"/>
      <c r="E11" s="5">
        <f t="shared" si="0"/>
        <v>52.464364974488134</v>
      </c>
      <c r="F11" s="2">
        <v>0</v>
      </c>
      <c r="G11" s="3"/>
      <c r="H11" s="5">
        <f t="shared" si="1"/>
        <v>0</v>
      </c>
    </row>
    <row r="12" spans="2:9" x14ac:dyDescent="0.2">
      <c r="B12" s="1">
        <v>5</v>
      </c>
      <c r="C12" s="2">
        <v>3272.704385286183</v>
      </c>
      <c r="D12" s="3"/>
      <c r="E12" s="5">
        <f t="shared" si="0"/>
        <v>59.75108233205593</v>
      </c>
      <c r="F12" s="2">
        <v>0</v>
      </c>
      <c r="G12" s="3"/>
      <c r="H12" s="5">
        <f t="shared" si="1"/>
        <v>0</v>
      </c>
    </row>
    <row r="13" spans="2:9" x14ac:dyDescent="0.2">
      <c r="B13" s="1">
        <v>6</v>
      </c>
      <c r="C13" s="2">
        <v>3512.1705598193184</v>
      </c>
      <c r="D13" s="3"/>
      <c r="E13" s="5">
        <f t="shared" si="0"/>
        <v>64.123112746596604</v>
      </c>
      <c r="F13" s="2">
        <v>0</v>
      </c>
      <c r="G13" s="3"/>
      <c r="H13" s="5">
        <f t="shared" si="1"/>
        <v>0</v>
      </c>
    </row>
    <row r="14" spans="2:9" x14ac:dyDescent="0.2">
      <c r="B14" s="1">
        <v>7</v>
      </c>
      <c r="C14" s="2">
        <v>3718.4927183644731</v>
      </c>
      <c r="D14" s="3"/>
      <c r="E14" s="5">
        <f t="shared" si="0"/>
        <v>67.890019509573619</v>
      </c>
      <c r="F14" s="2">
        <v>33.14401598798031</v>
      </c>
      <c r="G14" s="3"/>
      <c r="H14" s="5">
        <f t="shared" si="1"/>
        <v>1.291881432299756</v>
      </c>
    </row>
    <row r="15" spans="2:9" x14ac:dyDescent="0.2">
      <c r="B15" s="1">
        <v>8</v>
      </c>
      <c r="C15" s="2">
        <v>3717.5066749282855</v>
      </c>
      <c r="D15" s="3"/>
      <c r="E15" s="5">
        <f t="shared" si="0"/>
        <v>67.872016917343316</v>
      </c>
      <c r="F15" s="2">
        <v>273.5962339573025</v>
      </c>
      <c r="G15" s="3"/>
      <c r="H15" s="5">
        <f t="shared" si="1"/>
        <v>10.664184289699815</v>
      </c>
    </row>
    <row r="16" spans="2:9" x14ac:dyDescent="0.2">
      <c r="B16" s="1">
        <v>9</v>
      </c>
      <c r="C16" s="2">
        <v>3712.4355518947714</v>
      </c>
      <c r="D16" s="3"/>
      <c r="E16" s="5">
        <f t="shared" si="0"/>
        <v>67.779431381279082</v>
      </c>
      <c r="F16" s="2">
        <v>518.13353152395212</v>
      </c>
      <c r="G16" s="3"/>
      <c r="H16" s="5">
        <f t="shared" si="1"/>
        <v>20.195714637310104</v>
      </c>
    </row>
    <row r="17" spans="2:8" x14ac:dyDescent="0.2">
      <c r="B17" s="1">
        <v>10</v>
      </c>
      <c r="C17" s="2">
        <v>3705.1105444070254</v>
      </c>
      <c r="D17" s="3"/>
      <c r="E17" s="5">
        <f t="shared" si="0"/>
        <v>67.645695768783497</v>
      </c>
      <c r="F17" s="2">
        <v>764.92471354483405</v>
      </c>
      <c r="G17" s="3"/>
      <c r="H17" s="5">
        <f t="shared" si="1"/>
        <v>29.815096483605036</v>
      </c>
    </row>
    <row r="18" spans="2:8" x14ac:dyDescent="0.2">
      <c r="B18" s="1">
        <v>11</v>
      </c>
      <c r="C18" s="2">
        <v>3697.8218584516553</v>
      </c>
      <c r="D18" s="3"/>
      <c r="E18" s="5">
        <f t="shared" si="0"/>
        <v>67.512623293136187</v>
      </c>
      <c r="F18" s="2">
        <v>1011.6795740333391</v>
      </c>
      <c r="G18" s="3"/>
      <c r="H18" s="5">
        <f t="shared" si="1"/>
        <v>39.433062595811272</v>
      </c>
    </row>
    <row r="19" spans="2:8" x14ac:dyDescent="0.2">
      <c r="B19" s="1">
        <v>12</v>
      </c>
      <c r="C19" s="2">
        <v>3690.5693735673658</v>
      </c>
      <c r="D19" s="3"/>
      <c r="E19" s="5">
        <f t="shared" si="0"/>
        <v>67.380211755026778</v>
      </c>
      <c r="F19" s="2">
        <v>1258.3982334507637</v>
      </c>
      <c r="G19" s="3"/>
      <c r="H19" s="5">
        <f t="shared" si="1"/>
        <v>49.04961766924734</v>
      </c>
    </row>
    <row r="20" spans="2:8" x14ac:dyDescent="0.2">
      <c r="B20" s="1">
        <v>13</v>
      </c>
      <c r="C20" s="2">
        <v>3683.3529696163546</v>
      </c>
      <c r="D20" s="3"/>
      <c r="E20" s="5">
        <f t="shared" si="0"/>
        <v>67.248458961051</v>
      </c>
      <c r="F20" s="2">
        <v>1505.0808119349117</v>
      </c>
      <c r="G20" s="3"/>
      <c r="H20" s="5">
        <f t="shared" si="1"/>
        <v>58.664766386622723</v>
      </c>
    </row>
    <row r="21" spans="2:8" x14ac:dyDescent="0.2">
      <c r="B21" s="1">
        <v>14</v>
      </c>
      <c r="C21" s="2">
        <v>3676.1725267835836</v>
      </c>
      <c r="D21" s="3"/>
      <c r="E21" s="5">
        <f t="shared" si="0"/>
        <v>67.11736272369744</v>
      </c>
      <c r="F21" s="2">
        <v>1751.7274293008186</v>
      </c>
      <c r="G21" s="3"/>
      <c r="H21" s="5">
        <f t="shared" si="1"/>
        <v>68.278513418066098</v>
      </c>
    </row>
    <row r="22" spans="2:8" x14ac:dyDescent="0.2">
      <c r="B22" s="1">
        <v>15</v>
      </c>
      <c r="C22" s="2">
        <v>3669.0279255760647</v>
      </c>
      <c r="D22" s="3"/>
      <c r="E22" s="5">
        <f t="shared" si="0"/>
        <v>66.986920861334468</v>
      </c>
      <c r="F22" s="2">
        <v>1599.227914152912</v>
      </c>
      <c r="G22" s="3"/>
      <c r="H22" s="5">
        <f t="shared" si="1"/>
        <v>62.334415028608952</v>
      </c>
    </row>
    <row r="23" spans="2:8" x14ac:dyDescent="0.2">
      <c r="B23" s="1">
        <v>16</v>
      </c>
      <c r="C23" s="2">
        <v>3664.1878087712425</v>
      </c>
      <c r="D23" s="3"/>
      <c r="E23" s="5">
        <f t="shared" si="0"/>
        <v>66.898552899045569</v>
      </c>
      <c r="F23" s="2">
        <v>1816.926852764967</v>
      </c>
      <c r="G23" s="3"/>
      <c r="H23" s="5">
        <f t="shared" si="1"/>
        <v>70.819844697912472</v>
      </c>
    </row>
    <row r="24" spans="2:8" x14ac:dyDescent="0.2">
      <c r="B24" s="1">
        <v>17</v>
      </c>
      <c r="C24" s="2">
        <v>3663.4533968692922</v>
      </c>
      <c r="D24" s="3"/>
      <c r="E24" s="5">
        <f t="shared" si="0"/>
        <v>66.885144445102597</v>
      </c>
      <c r="F24" s="2">
        <v>2562.6671409922274</v>
      </c>
      <c r="G24" s="3"/>
      <c r="H24" s="5">
        <f t="shared" si="1"/>
        <v>99.88717413765346</v>
      </c>
    </row>
    <row r="25" spans="2:8" x14ac:dyDescent="0.2">
      <c r="B25" s="1">
        <v>18</v>
      </c>
      <c r="C25" s="2">
        <v>3662.721493780281</v>
      </c>
      <c r="D25" s="3"/>
      <c r="E25" s="5">
        <f t="shared" si="0"/>
        <v>66.871781795568097</v>
      </c>
      <c r="F25" s="2">
        <v>2403.7549277258149</v>
      </c>
      <c r="G25" s="3"/>
      <c r="H25" s="5">
        <f t="shared" si="1"/>
        <v>93.693122766238844</v>
      </c>
    </row>
    <row r="26" spans="2:8" x14ac:dyDescent="0.2">
      <c r="B26" s="1">
        <v>19</v>
      </c>
      <c r="C26" s="2">
        <v>3661.9918837289119</v>
      </c>
      <c r="D26" s="3"/>
      <c r="E26" s="5">
        <f t="shared" si="0"/>
        <v>66.858461010945547</v>
      </c>
      <c r="F26" s="2">
        <v>2723.7727704880313</v>
      </c>
      <c r="G26" s="3"/>
      <c r="H26" s="5">
        <f t="shared" si="1"/>
        <v>106.16672008827305</v>
      </c>
    </row>
    <row r="27" spans="2:8" x14ac:dyDescent="0.2">
      <c r="B27" s="1">
        <v>20</v>
      </c>
      <c r="C27" s="2">
        <v>3661.2641644052792</v>
      </c>
      <c r="D27" s="3"/>
      <c r="E27" s="5">
        <f t="shared" si="0"/>
        <v>66.845174746100952</v>
      </c>
      <c r="F27" s="2">
        <v>2405.2122571008167</v>
      </c>
      <c r="G27" s="3"/>
      <c r="H27" s="5">
        <f t="shared" si="1"/>
        <v>93.749926285794004</v>
      </c>
    </row>
    <row r="28" spans="2:8" x14ac:dyDescent="0.2">
      <c r="B28" s="1">
        <v>21</v>
      </c>
      <c r="C28" s="2">
        <v>3660.5385806774743</v>
      </c>
      <c r="D28" s="3"/>
      <c r="E28" s="5">
        <f t="shared" si="0"/>
        <v>66.831927471689681</v>
      </c>
      <c r="F28" s="2">
        <v>2884.8701898948916</v>
      </c>
      <c r="G28" s="3"/>
      <c r="H28" s="5">
        <f t="shared" si="1"/>
        <v>112.44594602753773</v>
      </c>
    </row>
    <row r="29" spans="2:8" x14ac:dyDescent="0.2">
      <c r="B29" s="1">
        <v>22</v>
      </c>
      <c r="C29" s="2">
        <v>3659.8147322092004</v>
      </c>
      <c r="D29" s="3"/>
      <c r="E29" s="5">
        <f t="shared" si="0"/>
        <v>66.818711878610685</v>
      </c>
      <c r="F29" s="2">
        <v>2087.3734565860482</v>
      </c>
      <c r="G29" s="3"/>
      <c r="H29" s="5">
        <f t="shared" si="1"/>
        <v>81.361263276508609</v>
      </c>
    </row>
    <row r="30" spans="2:8" x14ac:dyDescent="0.2">
      <c r="B30" s="1">
        <v>23</v>
      </c>
      <c r="C30" s="2">
        <v>3655.0143341163057</v>
      </c>
      <c r="D30" s="3"/>
      <c r="E30" s="5">
        <f t="shared" si="0"/>
        <v>66.731069076845657</v>
      </c>
      <c r="F30" s="2">
        <v>1293.9532729018238</v>
      </c>
      <c r="G30" s="3"/>
      <c r="H30" s="5">
        <f t="shared" si="1"/>
        <v>50.435475535963533</v>
      </c>
    </row>
    <row r="31" spans="2:8" x14ac:dyDescent="0.2">
      <c r="B31" s="1">
        <v>24</v>
      </c>
      <c r="C31" s="2">
        <v>3647.9938287331552</v>
      </c>
      <c r="D31" s="3"/>
      <c r="E31" s="5">
        <f t="shared" si="0"/>
        <v>66.6028928819387</v>
      </c>
      <c r="F31" s="2">
        <v>502.75319650785696</v>
      </c>
      <c r="G31" s="3"/>
      <c r="H31" s="5">
        <f t="shared" si="1"/>
        <v>19.59622273394363</v>
      </c>
    </row>
    <row r="32" spans="2:8" x14ac:dyDescent="0.2">
      <c r="B32" s="1">
        <v>25</v>
      </c>
      <c r="C32" s="2">
        <v>2713.9499780422011</v>
      </c>
      <c r="D32" s="3"/>
      <c r="E32" s="5">
        <f t="shared" si="0"/>
        <v>49.549678031461028</v>
      </c>
      <c r="F32" s="2">
        <v>0</v>
      </c>
      <c r="G32" s="3"/>
      <c r="H32" s="5">
        <f t="shared" si="1"/>
        <v>0</v>
      </c>
    </row>
    <row r="33" spans="2:8" x14ac:dyDescent="0.2">
      <c r="B33" s="1">
        <v>26</v>
      </c>
      <c r="C33" s="2">
        <v>2554.3058616867775</v>
      </c>
      <c r="D33" s="3"/>
      <c r="E33" s="5">
        <f t="shared" si="0"/>
        <v>46.634991088433907</v>
      </c>
      <c r="F33" s="2">
        <v>0</v>
      </c>
      <c r="G33" s="3"/>
      <c r="H33" s="5">
        <f t="shared" si="1"/>
        <v>0</v>
      </c>
    </row>
    <row r="34" spans="2:8" x14ac:dyDescent="0.2">
      <c r="B34" s="1">
        <v>27</v>
      </c>
      <c r="C34" s="2">
        <v>2745.8788013132853</v>
      </c>
      <c r="D34" s="3"/>
      <c r="E34" s="5">
        <f t="shared" si="0"/>
        <v>50.132615420066436</v>
      </c>
      <c r="F34" s="2">
        <v>0</v>
      </c>
      <c r="G34" s="3"/>
      <c r="H34" s="5">
        <f t="shared" si="1"/>
        <v>0</v>
      </c>
    </row>
    <row r="35" spans="2:8" x14ac:dyDescent="0.2">
      <c r="B35" s="1">
        <v>28</v>
      </c>
      <c r="C35" s="2">
        <v>2873.5940943976243</v>
      </c>
      <c r="D35" s="3"/>
      <c r="E35" s="5">
        <f t="shared" si="0"/>
        <v>52.464364974488134</v>
      </c>
      <c r="F35" s="2">
        <v>0</v>
      </c>
      <c r="G35" s="3"/>
      <c r="H35" s="5">
        <f t="shared" si="1"/>
        <v>0</v>
      </c>
    </row>
    <row r="36" spans="2:8" x14ac:dyDescent="0.2">
      <c r="B36" s="1">
        <v>29</v>
      </c>
      <c r="C36" s="2">
        <v>3170.0760247719822</v>
      </c>
      <c r="D36" s="3"/>
      <c r="E36" s="5">
        <f t="shared" si="0"/>
        <v>57.877355011538498</v>
      </c>
      <c r="F36" s="2">
        <v>0</v>
      </c>
      <c r="G36" s="3"/>
      <c r="H36" s="5">
        <f t="shared" si="1"/>
        <v>0</v>
      </c>
    </row>
    <row r="37" spans="2:8" x14ac:dyDescent="0.2">
      <c r="B37" s="1">
        <v>30</v>
      </c>
      <c r="C37" s="2">
        <v>3375.3327458003841</v>
      </c>
      <c r="D37" s="3"/>
      <c r="E37" s="5">
        <f t="shared" si="0"/>
        <v>61.624809652573369</v>
      </c>
      <c r="F37" s="2">
        <v>0</v>
      </c>
      <c r="G37" s="3"/>
      <c r="H37" s="5">
        <f t="shared" si="1"/>
        <v>0</v>
      </c>
    </row>
    <row r="38" spans="2:8" x14ac:dyDescent="0.2">
      <c r="B38" s="1">
        <v>31</v>
      </c>
      <c r="C38" s="2">
        <v>3580.589466828786</v>
      </c>
      <c r="D38" s="3"/>
      <c r="E38" s="5">
        <f t="shared" si="0"/>
        <v>65.372264293608239</v>
      </c>
      <c r="F38" s="2">
        <v>0</v>
      </c>
      <c r="G38" s="3"/>
      <c r="H38" s="5">
        <f t="shared" si="1"/>
        <v>0</v>
      </c>
    </row>
    <row r="39" spans="2:8" x14ac:dyDescent="0.2">
      <c r="B39" s="1">
        <v>32</v>
      </c>
      <c r="C39" s="2">
        <v>3610.8817727679248</v>
      </c>
      <c r="D39" s="3"/>
      <c r="E39" s="5">
        <f t="shared" si="0"/>
        <v>65.92532312603285</v>
      </c>
      <c r="F39" s="2">
        <v>174.96441508926318</v>
      </c>
      <c r="G39" s="3"/>
      <c r="H39" s="5">
        <f t="shared" si="1"/>
        <v>6.8197311770841962</v>
      </c>
    </row>
    <row r="40" spans="2:8" x14ac:dyDescent="0.2">
      <c r="B40" s="1">
        <v>33</v>
      </c>
      <c r="C40" s="2">
        <v>3606.9574262193887</v>
      </c>
      <c r="D40" s="3"/>
      <c r="E40" s="5">
        <f t="shared" si="0"/>
        <v>65.85367475022008</v>
      </c>
      <c r="F40" s="2">
        <v>384.14548266620022</v>
      </c>
      <c r="G40" s="3"/>
      <c r="H40" s="5">
        <f t="shared" si="1"/>
        <v>14.973152817035343</v>
      </c>
    </row>
    <row r="41" spans="2:8" x14ac:dyDescent="0.2">
      <c r="B41" s="1">
        <v>34</v>
      </c>
      <c r="C41" s="2">
        <v>3601.072848853843</v>
      </c>
      <c r="D41" s="3"/>
      <c r="E41" s="5">
        <f t="shared" si="0"/>
        <v>65.746237650725575</v>
      </c>
      <c r="F41" s="2">
        <v>595.28678106014786</v>
      </c>
      <c r="G41" s="3"/>
      <c r="H41" s="5">
        <f t="shared" si="1"/>
        <v>23.202979977561792</v>
      </c>
    </row>
    <row r="42" spans="2:8" x14ac:dyDescent="0.2">
      <c r="B42" s="1">
        <v>35</v>
      </c>
      <c r="C42" s="2">
        <v>3595.2210241807966</v>
      </c>
      <c r="D42" s="3"/>
      <c r="E42" s="5">
        <f t="shared" si="0"/>
        <v>65.639398530332073</v>
      </c>
      <c r="F42" s="2">
        <v>806.39532676159661</v>
      </c>
      <c r="G42" s="3"/>
      <c r="H42" s="5">
        <f t="shared" si="1"/>
        <v>31.431530509591791</v>
      </c>
    </row>
    <row r="43" spans="2:8" x14ac:dyDescent="0.2">
      <c r="B43" s="1">
        <v>36</v>
      </c>
      <c r="C43" s="2">
        <v>3589.4018390199362</v>
      </c>
      <c r="D43" s="3"/>
      <c r="E43" s="5">
        <f t="shared" si="0"/>
        <v>65.533155322660988</v>
      </c>
      <c r="F43" s="2">
        <v>1017.4712329508584</v>
      </c>
      <c r="G43" s="3"/>
      <c r="H43" s="5">
        <f t="shared" si="1"/>
        <v>39.658808824646968</v>
      </c>
    </row>
    <row r="44" spans="2:8" x14ac:dyDescent="0.2">
      <c r="B44" s="1">
        <v>37</v>
      </c>
      <c r="C44" s="2">
        <v>3583.6151805035674</v>
      </c>
      <c r="D44" s="3"/>
      <c r="E44" s="5">
        <f t="shared" si="0"/>
        <v>65.427505967041355</v>
      </c>
      <c r="F44" s="2">
        <v>1228.5146124956286</v>
      </c>
      <c r="G44" s="3"/>
      <c r="H44" s="5">
        <f t="shared" si="1"/>
        <v>47.884819322063841</v>
      </c>
    </row>
    <row r="45" spans="2:8" x14ac:dyDescent="0.2">
      <c r="B45" s="1">
        <v>38</v>
      </c>
      <c r="C45" s="2">
        <v>3577.8609360758956</v>
      </c>
      <c r="D45" s="3"/>
      <c r="E45" s="5">
        <f t="shared" si="0"/>
        <v>65.322448408496683</v>
      </c>
      <c r="F45" s="2">
        <v>1439.525577951702</v>
      </c>
      <c r="G45" s="3"/>
      <c r="H45" s="5">
        <f t="shared" si="1"/>
        <v>56.10956638902173</v>
      </c>
    </row>
    <row r="46" spans="2:8" x14ac:dyDescent="0.2">
      <c r="B46" s="1">
        <v>39</v>
      </c>
      <c r="C46" s="2">
        <v>3572.0507675047829</v>
      </c>
      <c r="D46" s="3"/>
      <c r="E46" s="5">
        <f t="shared" si="0"/>
        <v>65.216369820336837</v>
      </c>
      <c r="F46" s="2">
        <v>1650.5924675512169</v>
      </c>
      <c r="G46" s="3"/>
      <c r="H46" s="5">
        <f t="shared" si="1"/>
        <v>64.336493257080235</v>
      </c>
    </row>
    <row r="47" spans="2:8" x14ac:dyDescent="0.2">
      <c r="B47" s="1">
        <v>40</v>
      </c>
      <c r="C47" s="2">
        <v>3567.7201796985296</v>
      </c>
      <c r="D47" s="3"/>
      <c r="E47" s="5">
        <f t="shared" si="0"/>
        <v>65.137304534232484</v>
      </c>
      <c r="F47" s="2">
        <v>1860.1797763858726</v>
      </c>
      <c r="G47" s="3"/>
      <c r="H47" s="5">
        <f t="shared" si="1"/>
        <v>72.505749294953205</v>
      </c>
    </row>
    <row r="48" spans="2:8" x14ac:dyDescent="0.2">
      <c r="B48" s="1">
        <v>41</v>
      </c>
      <c r="C48" s="2">
        <v>3567.482008841273</v>
      </c>
      <c r="D48" s="3"/>
      <c r="E48" s="5">
        <f t="shared" si="0"/>
        <v>65.132956152947258</v>
      </c>
      <c r="F48" s="2">
        <v>1700.7738308877038</v>
      </c>
      <c r="G48" s="3"/>
      <c r="H48" s="5">
        <f t="shared" si="1"/>
        <v>66.29245331832945</v>
      </c>
    </row>
    <row r="49" spans="2:8" x14ac:dyDescent="0.2">
      <c r="B49" s="1">
        <v>42</v>
      </c>
      <c r="C49" s="2">
        <v>3567.247192969257</v>
      </c>
      <c r="D49" s="3"/>
      <c r="E49" s="5">
        <f t="shared" si="0"/>
        <v>65.128669024979089</v>
      </c>
      <c r="F49" s="2">
        <v>2020.296879470568</v>
      </c>
      <c r="G49" s="3"/>
      <c r="H49" s="5">
        <f t="shared" si="1"/>
        <v>78.746764642754115</v>
      </c>
    </row>
    <row r="50" spans="2:8" x14ac:dyDescent="0.2">
      <c r="B50" s="1">
        <v>43</v>
      </c>
      <c r="C50" s="2">
        <v>3567.0150922457419</v>
      </c>
      <c r="D50" s="3"/>
      <c r="E50" s="5">
        <f t="shared" si="0"/>
        <v>65.124431468570876</v>
      </c>
      <c r="F50" s="2">
        <v>2339.8172129049303</v>
      </c>
      <c r="G50" s="3"/>
      <c r="H50" s="5">
        <f t="shared" si="1"/>
        <v>91.200970136613861</v>
      </c>
    </row>
    <row r="51" spans="2:8" x14ac:dyDescent="0.2">
      <c r="B51" s="1">
        <v>44</v>
      </c>
      <c r="C51" s="2">
        <v>3566.784910228017</v>
      </c>
      <c r="D51" s="3"/>
      <c r="E51" s="5">
        <f t="shared" si="0"/>
        <v>65.12022894274719</v>
      </c>
      <c r="F51" s="2">
        <v>2499.6915112780789</v>
      </c>
      <c r="G51" s="3"/>
      <c r="H51" s="5">
        <f t="shared" si="1"/>
        <v>97.432521486490202</v>
      </c>
    </row>
    <row r="52" spans="2:8" x14ac:dyDescent="0.2">
      <c r="B52" s="1">
        <v>45</v>
      </c>
      <c r="C52" s="2">
        <v>3566.5560164540602</v>
      </c>
      <c r="D52" s="3"/>
      <c r="E52" s="5">
        <f t="shared" si="0"/>
        <v>65.116049936908937</v>
      </c>
      <c r="F52" s="2">
        <v>2978.8527541183057</v>
      </c>
      <c r="G52" s="3"/>
      <c r="H52" s="5">
        <f t="shared" si="1"/>
        <v>116.10918133747057</v>
      </c>
    </row>
    <row r="53" spans="2:8" x14ac:dyDescent="0.2">
      <c r="B53" s="1">
        <v>46</v>
      </c>
      <c r="C53" s="2">
        <v>3566.3278660346477</v>
      </c>
      <c r="D53" s="3"/>
      <c r="E53" s="5">
        <f t="shared" si="0"/>
        <v>65.111884502794055</v>
      </c>
      <c r="F53" s="2">
        <v>2180.8603227606009</v>
      </c>
      <c r="G53" s="3"/>
      <c r="H53" s="5">
        <f t="shared" si="1"/>
        <v>85.00517735797041</v>
      </c>
    </row>
    <row r="54" spans="2:8" x14ac:dyDescent="0.2">
      <c r="B54" s="1">
        <v>47</v>
      </c>
      <c r="C54" s="2">
        <v>3562.0312696058381</v>
      </c>
      <c r="D54" s="3"/>
      <c r="E54" s="5">
        <f t="shared" si="0"/>
        <v>65.033439810960701</v>
      </c>
      <c r="F54" s="2">
        <v>1386.9363374122913</v>
      </c>
      <c r="G54" s="3"/>
      <c r="H54" s="5">
        <f t="shared" si="1"/>
        <v>54.059752527712696</v>
      </c>
    </row>
    <row r="55" spans="2:8" x14ac:dyDescent="0.2">
      <c r="B55" s="1">
        <v>48</v>
      </c>
      <c r="C55" s="2">
        <v>3555.5350267063295</v>
      </c>
      <c r="D55" s="3"/>
      <c r="E55" s="5">
        <f t="shared" si="0"/>
        <v>64.914835287410497</v>
      </c>
      <c r="F55" s="2">
        <v>595.21199853468261</v>
      </c>
      <c r="G55" s="3"/>
      <c r="H55" s="5">
        <f t="shared" si="1"/>
        <v>23.200065117873574</v>
      </c>
    </row>
    <row r="56" spans="2:8" x14ac:dyDescent="0.2">
      <c r="B56" s="1">
        <v>49</v>
      </c>
      <c r="C56" s="2">
        <v>2713.9499780422011</v>
      </c>
      <c r="D56" s="3"/>
      <c r="E56" s="5">
        <f t="shared" si="0"/>
        <v>49.549678031461028</v>
      </c>
      <c r="F56" s="2">
        <v>0</v>
      </c>
      <c r="G56" s="3"/>
      <c r="H56" s="5">
        <f t="shared" si="1"/>
        <v>0</v>
      </c>
    </row>
    <row r="57" spans="2:8" x14ac:dyDescent="0.2">
      <c r="B57" s="1">
        <v>50</v>
      </c>
      <c r="C57" s="2">
        <v>2554.3058616867775</v>
      </c>
      <c r="D57" s="3"/>
      <c r="E57" s="5">
        <f t="shared" si="0"/>
        <v>46.634991088433907</v>
      </c>
      <c r="F57" s="2">
        <v>0</v>
      </c>
      <c r="G57" s="3"/>
      <c r="H57" s="5">
        <f t="shared" si="1"/>
        <v>0</v>
      </c>
    </row>
    <row r="58" spans="2:8" x14ac:dyDescent="0.2">
      <c r="B58" s="1">
        <v>51</v>
      </c>
      <c r="C58" s="2">
        <v>2713.9499780422011</v>
      </c>
      <c r="D58" s="3"/>
      <c r="E58" s="5">
        <f t="shared" si="0"/>
        <v>49.549678031461028</v>
      </c>
      <c r="F58" s="2">
        <v>0</v>
      </c>
      <c r="G58" s="3"/>
      <c r="H58" s="5">
        <f t="shared" si="1"/>
        <v>0</v>
      </c>
    </row>
    <row r="59" spans="2:8" x14ac:dyDescent="0.2">
      <c r="B59" s="1">
        <v>52</v>
      </c>
      <c r="C59" s="2">
        <v>2873.5940943976243</v>
      </c>
      <c r="D59" s="3"/>
      <c r="E59" s="5">
        <f t="shared" si="0"/>
        <v>52.464364974488134</v>
      </c>
      <c r="F59" s="2">
        <v>0</v>
      </c>
      <c r="G59" s="3"/>
      <c r="H59" s="5">
        <f t="shared" si="1"/>
        <v>0</v>
      </c>
    </row>
    <row r="60" spans="2:8" x14ac:dyDescent="0.2">
      <c r="B60" s="1">
        <v>53</v>
      </c>
      <c r="C60" s="2">
        <v>3217.4429603939211</v>
      </c>
      <c r="D60" s="3"/>
      <c r="E60" s="5">
        <f t="shared" si="0"/>
        <v>58.742152236392698</v>
      </c>
      <c r="F60" s="2">
        <v>0</v>
      </c>
      <c r="G60" s="3"/>
      <c r="H60" s="5">
        <f t="shared" si="1"/>
        <v>0</v>
      </c>
    </row>
    <row r="61" spans="2:8" x14ac:dyDescent="0.2">
      <c r="B61" s="1">
        <v>54</v>
      </c>
      <c r="C61" s="2">
        <v>3438.4886599629695</v>
      </c>
      <c r="D61" s="3"/>
      <c r="E61" s="5">
        <f t="shared" si="0"/>
        <v>62.777872619045638</v>
      </c>
      <c r="F61" s="2">
        <v>0</v>
      </c>
      <c r="G61" s="3"/>
      <c r="H61" s="5">
        <f t="shared" si="1"/>
        <v>0</v>
      </c>
    </row>
    <row r="62" spans="2:8" x14ac:dyDescent="0.2">
      <c r="B62" s="1">
        <v>55</v>
      </c>
      <c r="C62" s="2">
        <v>3520.9849512628034</v>
      </c>
      <c r="D62" s="3"/>
      <c r="E62" s="5">
        <f t="shared" si="0"/>
        <v>64.284040641952657</v>
      </c>
      <c r="F62" s="2">
        <v>138.54940826921393</v>
      </c>
      <c r="G62" s="3"/>
      <c r="H62" s="5">
        <f t="shared" si="1"/>
        <v>5.4003536585314924</v>
      </c>
    </row>
    <row r="63" spans="2:8" x14ac:dyDescent="0.2">
      <c r="B63" s="1">
        <v>56</v>
      </c>
      <c r="C63" s="2">
        <v>3521.0148764608657</v>
      </c>
      <c r="D63" s="3"/>
      <c r="E63" s="5">
        <f t="shared" si="0"/>
        <v>64.284586998348701</v>
      </c>
      <c r="F63" s="2">
        <v>359.56518264019905</v>
      </c>
      <c r="G63" s="3"/>
      <c r="H63" s="5">
        <f t="shared" si="1"/>
        <v>14.015066349316283</v>
      </c>
    </row>
    <row r="64" spans="2:8" x14ac:dyDescent="0.2">
      <c r="B64" s="1">
        <v>57</v>
      </c>
      <c r="C64" s="2">
        <v>3516.9762085658695</v>
      </c>
      <c r="D64" s="3"/>
      <c r="E64" s="5">
        <f t="shared" si="0"/>
        <v>64.210851411660613</v>
      </c>
      <c r="F64" s="2">
        <v>584.64955010424364</v>
      </c>
      <c r="G64" s="3"/>
      <c r="H64" s="5">
        <f t="shared" si="1"/>
        <v>22.788363922343851</v>
      </c>
    </row>
    <row r="65" spans="2:8" x14ac:dyDescent="0.2">
      <c r="B65" s="1">
        <v>58</v>
      </c>
      <c r="C65" s="2">
        <v>3510.7247111128968</v>
      </c>
      <c r="D65" s="3"/>
      <c r="E65" s="5">
        <f t="shared" si="0"/>
        <v>64.096715304320583</v>
      </c>
      <c r="F65" s="2">
        <v>811.94674712626374</v>
      </c>
      <c r="G65" s="3"/>
      <c r="H65" s="5">
        <f t="shared" si="1"/>
        <v>31.647912763770194</v>
      </c>
    </row>
    <row r="66" spans="2:8" x14ac:dyDescent="0.2">
      <c r="B66" s="1">
        <v>59</v>
      </c>
      <c r="C66" s="2">
        <v>3504.505841906147</v>
      </c>
      <c r="D66" s="3"/>
      <c r="E66" s="5">
        <f t="shared" si="0"/>
        <v>63.98317490401574</v>
      </c>
      <c r="F66" s="2">
        <v>1039.2113159020619</v>
      </c>
      <c r="G66" s="3"/>
      <c r="H66" s="5">
        <f t="shared" si="1"/>
        <v>40.50618982734445</v>
      </c>
    </row>
    <row r="67" spans="2:8" x14ac:dyDescent="0.2">
      <c r="B67" s="1">
        <v>60</v>
      </c>
      <c r="C67" s="2">
        <v>3498.3194906557792</v>
      </c>
      <c r="D67" s="3"/>
      <c r="E67" s="5">
        <f t="shared" si="0"/>
        <v>63.870228197140037</v>
      </c>
      <c r="F67" s="2">
        <v>1266.443366721478</v>
      </c>
      <c r="G67" s="3"/>
      <c r="H67" s="5">
        <f t="shared" si="1"/>
        <v>49.363199411923965</v>
      </c>
    </row>
    <row r="68" spans="2:8" x14ac:dyDescent="0.2">
      <c r="B68" s="1">
        <v>61</v>
      </c>
      <c r="C68" s="2">
        <v>3492.1655473720871</v>
      </c>
      <c r="D68" s="3"/>
      <c r="E68" s="5">
        <f t="shared" si="0"/>
        <v>63.757873175567099</v>
      </c>
      <c r="F68" s="2">
        <v>1493.6430095742176</v>
      </c>
      <c r="G68" s="3"/>
      <c r="H68" s="5">
        <f t="shared" si="1"/>
        <v>58.218945804667484</v>
      </c>
    </row>
    <row r="69" spans="2:8" x14ac:dyDescent="0.2">
      <c r="B69" s="1">
        <v>62</v>
      </c>
      <c r="C69" s="2">
        <v>3486.0439023648223</v>
      </c>
      <c r="D69" s="3"/>
      <c r="E69" s="5">
        <f t="shared" si="0"/>
        <v>63.646107836637867</v>
      </c>
      <c r="F69" s="2">
        <v>1720.8103541505316</v>
      </c>
      <c r="G69" s="3"/>
      <c r="H69" s="5">
        <f t="shared" si="1"/>
        <v>67.073433281061682</v>
      </c>
    </row>
    <row r="70" spans="2:8" x14ac:dyDescent="0.2">
      <c r="B70" s="1">
        <v>63</v>
      </c>
      <c r="C70" s="2">
        <v>3479.9544462425065</v>
      </c>
      <c r="D70" s="3"/>
      <c r="E70" s="5">
        <f t="shared" si="0"/>
        <v>63.534930183148056</v>
      </c>
      <c r="F70" s="2">
        <v>1947.9455098418957</v>
      </c>
      <c r="G70" s="3"/>
      <c r="H70" s="5">
        <f t="shared" si="1"/>
        <v>75.926666104947628</v>
      </c>
    </row>
    <row r="71" spans="2:8" x14ac:dyDescent="0.2">
      <c r="B71" s="1">
        <v>64</v>
      </c>
      <c r="C71" s="2">
        <v>3476.1334530203139</v>
      </c>
      <c r="D71" s="3"/>
      <c r="E71" s="5">
        <f t="shared" si="0"/>
        <v>63.465168770648987</v>
      </c>
      <c r="F71" s="2">
        <v>1792.1223867086628</v>
      </c>
      <c r="G71" s="3"/>
      <c r="H71" s="5">
        <f t="shared" si="1"/>
        <v>69.853020727399368</v>
      </c>
    </row>
    <row r="72" spans="2:8" x14ac:dyDescent="0.2">
      <c r="B72" s="1">
        <v>65</v>
      </c>
      <c r="C72" s="2">
        <v>3476.4033587759036</v>
      </c>
      <c r="D72" s="3"/>
      <c r="E72" s="5">
        <f t="shared" si="0"/>
        <v>63.470096548757098</v>
      </c>
      <c r="F72" s="2">
        <v>2079.2118903928372</v>
      </c>
      <c r="G72" s="3"/>
      <c r="H72" s="5">
        <f t="shared" si="1"/>
        <v>81.04314323253692</v>
      </c>
    </row>
    <row r="73" spans="2:8" x14ac:dyDescent="0.2">
      <c r="B73" s="1">
        <v>66</v>
      </c>
      <c r="C73" s="2">
        <v>3476.6763366386608</v>
      </c>
      <c r="D73" s="3"/>
      <c r="E73" s="5">
        <f t="shared" ref="E73:E136" si="2">$D$5*C73</f>
        <v>63.475080415563326</v>
      </c>
      <c r="F73" s="2">
        <v>2366.2983219698422</v>
      </c>
      <c r="G73" s="3"/>
      <c r="H73" s="5">
        <f t="shared" ref="H73:H136" si="3">$G$5*F73</f>
        <v>92.233145993639482</v>
      </c>
    </row>
    <row r="74" spans="2:8" x14ac:dyDescent="0.2">
      <c r="B74" s="1">
        <v>67</v>
      </c>
      <c r="C74" s="2">
        <v>3476.9514706229834</v>
      </c>
      <c r="D74" s="3"/>
      <c r="E74" s="5">
        <f t="shared" si="2"/>
        <v>63.480103647549548</v>
      </c>
      <c r="F74" s="2">
        <v>2908.8131835939598</v>
      </c>
      <c r="G74" s="3"/>
      <c r="H74" s="5">
        <f t="shared" si="3"/>
        <v>113.37919168505593</v>
      </c>
    </row>
    <row r="75" spans="2:8" x14ac:dyDescent="0.2">
      <c r="B75" s="1">
        <v>68</v>
      </c>
      <c r="C75" s="2">
        <v>3477.2276090648893</v>
      </c>
      <c r="D75" s="3"/>
      <c r="E75" s="5">
        <f t="shared" si="2"/>
        <v>63.485145218322494</v>
      </c>
      <c r="F75" s="2">
        <v>2908.5370451520539</v>
      </c>
      <c r="G75" s="3"/>
      <c r="H75" s="5">
        <f t="shared" si="3"/>
        <v>113.36842841104678</v>
      </c>
    </row>
    <row r="76" spans="2:8" x14ac:dyDescent="0.2">
      <c r="B76" s="1">
        <v>69</v>
      </c>
      <c r="C76" s="2">
        <v>3477.5044131488553</v>
      </c>
      <c r="D76" s="3"/>
      <c r="E76" s="5">
        <f t="shared" si="2"/>
        <v>63.490198941990684</v>
      </c>
      <c r="F76" s="2">
        <v>3227.5484737789352</v>
      </c>
      <c r="G76" s="3"/>
      <c r="H76" s="5">
        <f t="shared" si="3"/>
        <v>125.80279790579793</v>
      </c>
    </row>
    <row r="77" spans="2:8" x14ac:dyDescent="0.2">
      <c r="B77" s="1">
        <v>70</v>
      </c>
      <c r="C77" s="2">
        <v>3477.7817562788841</v>
      </c>
      <c r="D77" s="3"/>
      <c r="E77" s="5">
        <f t="shared" si="2"/>
        <v>63.495262507239993</v>
      </c>
      <c r="F77" s="2">
        <v>2397.1217256007039</v>
      </c>
      <c r="G77" s="3"/>
      <c r="H77" s="5">
        <f t="shared" si="3"/>
        <v>93.43457501918158</v>
      </c>
    </row>
    <row r="78" spans="2:8" x14ac:dyDescent="0.2">
      <c r="B78" s="1">
        <v>71</v>
      </c>
      <c r="C78" s="2">
        <v>3473.9892526781564</v>
      </c>
      <c r="D78" s="3"/>
      <c r="E78" s="5">
        <f t="shared" si="2"/>
        <v>63.426021241236711</v>
      </c>
      <c r="F78" s="2">
        <v>1570.7648241532293</v>
      </c>
      <c r="G78" s="3"/>
      <c r="H78" s="5">
        <f t="shared" si="3"/>
        <v>61.22498587887037</v>
      </c>
    </row>
    <row r="79" spans="2:8" x14ac:dyDescent="0.2">
      <c r="B79" s="1">
        <v>72</v>
      </c>
      <c r="C79" s="2">
        <v>3467.9926799457076</v>
      </c>
      <c r="D79" s="3"/>
      <c r="E79" s="5">
        <f t="shared" si="2"/>
        <v>63.316539397212665</v>
      </c>
      <c r="F79" s="2">
        <v>746.61199183747476</v>
      </c>
      <c r="G79" s="3"/>
      <c r="H79" s="5">
        <f t="shared" si="3"/>
        <v>29.10130654465528</v>
      </c>
    </row>
    <row r="80" spans="2:8" x14ac:dyDescent="0.2">
      <c r="B80" s="1">
        <v>73</v>
      </c>
      <c r="C80" s="2">
        <v>2713.9499780422011</v>
      </c>
      <c r="D80" s="3"/>
      <c r="E80" s="5">
        <f t="shared" si="2"/>
        <v>49.549678031461028</v>
      </c>
      <c r="F80" s="2">
        <v>0</v>
      </c>
      <c r="G80" s="3"/>
      <c r="H80" s="5">
        <f t="shared" si="3"/>
        <v>0</v>
      </c>
    </row>
    <row r="81" spans="2:8" x14ac:dyDescent="0.2">
      <c r="B81" s="1">
        <v>74</v>
      </c>
      <c r="C81" s="2">
        <v>2554.3058616867775</v>
      </c>
      <c r="D81" s="3"/>
      <c r="E81" s="5">
        <f t="shared" si="2"/>
        <v>46.634991088433907</v>
      </c>
      <c r="F81" s="2">
        <v>0</v>
      </c>
      <c r="G81" s="3"/>
      <c r="H81" s="5">
        <f t="shared" si="3"/>
        <v>0</v>
      </c>
    </row>
    <row r="82" spans="2:8" x14ac:dyDescent="0.2">
      <c r="B82" s="1">
        <v>75</v>
      </c>
      <c r="C82" s="2">
        <v>2713.9499780422011</v>
      </c>
      <c r="D82" s="3"/>
      <c r="E82" s="5">
        <f t="shared" si="2"/>
        <v>49.549678031461028</v>
      </c>
      <c r="F82" s="2">
        <v>0</v>
      </c>
      <c r="G82" s="3"/>
      <c r="H82" s="5">
        <f t="shared" si="3"/>
        <v>0</v>
      </c>
    </row>
    <row r="83" spans="2:8" x14ac:dyDescent="0.2">
      <c r="B83" s="1">
        <v>76</v>
      </c>
      <c r="C83" s="2">
        <v>2873.5940943976243</v>
      </c>
      <c r="D83" s="3"/>
      <c r="E83" s="5">
        <f t="shared" si="2"/>
        <v>52.464364974488134</v>
      </c>
      <c r="F83" s="2">
        <v>0</v>
      </c>
      <c r="G83" s="3"/>
      <c r="H83" s="5">
        <f t="shared" si="3"/>
        <v>0</v>
      </c>
    </row>
    <row r="84" spans="2:8" x14ac:dyDescent="0.2">
      <c r="B84" s="1">
        <v>77</v>
      </c>
      <c r="C84" s="2">
        <v>3192.8823271084716</v>
      </c>
      <c r="D84" s="3"/>
      <c r="E84" s="5">
        <f t="shared" si="2"/>
        <v>58.293738860542376</v>
      </c>
      <c r="F84" s="2">
        <v>0</v>
      </c>
      <c r="G84" s="3"/>
      <c r="H84" s="5">
        <f t="shared" si="3"/>
        <v>0</v>
      </c>
    </row>
    <row r="85" spans="2:8" x14ac:dyDescent="0.2">
      <c r="B85" s="1">
        <v>78</v>
      </c>
      <c r="C85" s="2">
        <v>3405.741148915703</v>
      </c>
      <c r="D85" s="3"/>
      <c r="E85" s="5">
        <f t="shared" si="2"/>
        <v>62.179988117911869</v>
      </c>
      <c r="F85" s="2">
        <v>0</v>
      </c>
      <c r="G85" s="3"/>
      <c r="H85" s="5">
        <f t="shared" si="3"/>
        <v>0</v>
      </c>
    </row>
    <row r="86" spans="2:8" x14ac:dyDescent="0.2">
      <c r="B86" s="1">
        <v>79</v>
      </c>
      <c r="C86" s="2">
        <v>3435.8878908002325</v>
      </c>
      <c r="D86" s="3"/>
      <c r="E86" s="5">
        <f t="shared" si="2"/>
        <v>62.730389328752743</v>
      </c>
      <c r="F86" s="2">
        <v>182.71207992270138</v>
      </c>
      <c r="G86" s="3"/>
      <c r="H86" s="5">
        <f t="shared" si="3"/>
        <v>7.1217182490681816</v>
      </c>
    </row>
    <row r="87" spans="2:8" x14ac:dyDescent="0.2">
      <c r="B87" s="1">
        <v>80</v>
      </c>
      <c r="C87" s="2">
        <v>3436.432459460706</v>
      </c>
      <c r="D87" s="3"/>
      <c r="E87" s="5">
        <f t="shared" si="2"/>
        <v>62.740331738159995</v>
      </c>
      <c r="F87" s="2">
        <v>395.02633306945972</v>
      </c>
      <c r="G87" s="3"/>
      <c r="H87" s="5">
        <f t="shared" si="3"/>
        <v>15.39726462680215</v>
      </c>
    </row>
    <row r="88" spans="2:8" x14ac:dyDescent="0.2">
      <c r="B88" s="1">
        <v>81</v>
      </c>
      <c r="C88" s="2">
        <v>3436.9856285090364</v>
      </c>
      <c r="D88" s="3"/>
      <c r="E88" s="5">
        <f t="shared" si="2"/>
        <v>62.750431168312907</v>
      </c>
      <c r="F88" s="2">
        <v>607.3319858283603</v>
      </c>
      <c r="G88" s="3"/>
      <c r="H88" s="5">
        <f t="shared" si="3"/>
        <v>23.672475780181045</v>
      </c>
    </row>
    <row r="89" spans="2:8" x14ac:dyDescent="0.2">
      <c r="B89" s="1">
        <v>82</v>
      </c>
      <c r="C89" s="2">
        <v>3437.5467975624097</v>
      </c>
      <c r="D89" s="3"/>
      <c r="E89" s="5">
        <f t="shared" si="2"/>
        <v>62.760676657780593</v>
      </c>
      <c r="F89" s="2">
        <v>819.62963858221883</v>
      </c>
      <c r="G89" s="3"/>
      <c r="H89" s="5">
        <f t="shared" si="3"/>
        <v>31.947375110817163</v>
      </c>
    </row>
    <row r="90" spans="2:8" x14ac:dyDescent="0.2">
      <c r="B90" s="1">
        <v>83</v>
      </c>
      <c r="C90" s="2">
        <v>3438.1153692456965</v>
      </c>
      <c r="D90" s="3"/>
      <c r="E90" s="5">
        <f t="shared" si="2"/>
        <v>62.771057300044674</v>
      </c>
      <c r="F90" s="2">
        <v>1031.9198887061639</v>
      </c>
      <c r="G90" s="3"/>
      <c r="H90" s="5">
        <f t="shared" si="3"/>
        <v>40.221985903089703</v>
      </c>
    </row>
    <row r="91" spans="2:8" x14ac:dyDescent="0.2">
      <c r="B91" s="1">
        <v>84</v>
      </c>
      <c r="C91" s="2">
        <v>3438.6907492302016</v>
      </c>
      <c r="D91" s="3"/>
      <c r="E91" s="5">
        <f t="shared" si="2"/>
        <v>62.781562244206746</v>
      </c>
      <c r="F91" s="2">
        <v>1244.2033305288896</v>
      </c>
      <c r="G91" s="3"/>
      <c r="H91" s="5">
        <f t="shared" si="3"/>
        <v>48.496331322634518</v>
      </c>
    </row>
    <row r="92" spans="2:8" x14ac:dyDescent="0.2">
      <c r="B92" s="1">
        <v>85</v>
      </c>
      <c r="C92" s="2">
        <v>3439.272346272111</v>
      </c>
      <c r="D92" s="3"/>
      <c r="E92" s="5">
        <f t="shared" si="2"/>
        <v>62.792180695690305</v>
      </c>
      <c r="F92" s="2">
        <v>1456.4805552942112</v>
      </c>
      <c r="G92" s="3"/>
      <c r="H92" s="5">
        <f t="shared" si="3"/>
        <v>56.770434414845582</v>
      </c>
    </row>
    <row r="93" spans="2:8" x14ac:dyDescent="0.2">
      <c r="B93" s="1">
        <v>86</v>
      </c>
      <c r="C93" s="2">
        <v>3439.8595722506502</v>
      </c>
      <c r="D93" s="3"/>
      <c r="E93" s="5">
        <f t="shared" si="2"/>
        <v>62.802901916937472</v>
      </c>
      <c r="F93" s="2">
        <v>1668.7521511229047</v>
      </c>
      <c r="G93" s="3"/>
      <c r="H93" s="5">
        <f t="shared" si="3"/>
        <v>65.044318103387639</v>
      </c>
    </row>
    <row r="94" spans="2:8" x14ac:dyDescent="0.2">
      <c r="B94" s="1">
        <v>87</v>
      </c>
      <c r="C94" s="2">
        <v>3440.4520254752247</v>
      </c>
      <c r="D94" s="3"/>
      <c r="E94" s="5">
        <f t="shared" si="2"/>
        <v>62.813718574121232</v>
      </c>
      <c r="F94" s="2">
        <v>1508.5155815429057</v>
      </c>
      <c r="G94" s="3"/>
      <c r="H94" s="5">
        <f t="shared" si="3"/>
        <v>58.798646212242048</v>
      </c>
    </row>
    <row r="95" spans="2:8" x14ac:dyDescent="0.2">
      <c r="B95" s="1">
        <v>88</v>
      </c>
      <c r="C95" s="2">
        <v>3441.0495955228703</v>
      </c>
      <c r="D95" s="3"/>
      <c r="E95" s="5">
        <f t="shared" si="2"/>
        <v>62.82462865120506</v>
      </c>
      <c r="F95" s="2">
        <v>1880.4209496579165</v>
      </c>
      <c r="G95" s="3"/>
      <c r="H95" s="5">
        <f t="shared" si="3"/>
        <v>73.294706068555968</v>
      </c>
    </row>
    <row r="96" spans="2:8" x14ac:dyDescent="0.2">
      <c r="B96" s="1">
        <v>89</v>
      </c>
      <c r="C96" s="2">
        <v>3441.6512801022286</v>
      </c>
      <c r="D96" s="3"/>
      <c r="E96" s="5">
        <f t="shared" si="2"/>
        <v>62.835613848951851</v>
      </c>
      <c r="F96" s="2">
        <v>2252.3222032412127</v>
      </c>
      <c r="G96" s="3"/>
      <c r="H96" s="5">
        <f t="shared" si="3"/>
        <v>87.790605549400411</v>
      </c>
    </row>
    <row r="97" spans="2:8" x14ac:dyDescent="0.2">
      <c r="B97" s="1">
        <v>90</v>
      </c>
      <c r="C97" s="2">
        <v>3442.2558797808083</v>
      </c>
      <c r="D97" s="3"/>
      <c r="E97" s="5">
        <f t="shared" si="2"/>
        <v>62.846652268839442</v>
      </c>
      <c r="F97" s="2">
        <v>2624.2205417252876</v>
      </c>
      <c r="G97" s="3"/>
      <c r="H97" s="5">
        <f t="shared" si="3"/>
        <v>102.28639140603713</v>
      </c>
    </row>
    <row r="98" spans="2:8" x14ac:dyDescent="0.2">
      <c r="B98" s="1">
        <v>91</v>
      </c>
      <c r="C98" s="2">
        <v>3442.8626124793182</v>
      </c>
      <c r="D98" s="3"/>
      <c r="E98" s="5">
        <f t="shared" si="2"/>
        <v>62.857729632131161</v>
      </c>
      <c r="F98" s="2">
        <v>2184.5924890493634</v>
      </c>
      <c r="G98" s="3"/>
      <c r="H98" s="5">
        <f t="shared" si="3"/>
        <v>85.150649057370273</v>
      </c>
    </row>
    <row r="99" spans="2:8" x14ac:dyDescent="0.2">
      <c r="B99" s="1">
        <v>92</v>
      </c>
      <c r="C99" s="2">
        <v>3443.4723391182388</v>
      </c>
      <c r="D99" s="3"/>
      <c r="E99" s="5">
        <f t="shared" si="2"/>
        <v>62.86886165699903</v>
      </c>
      <c r="F99" s="2">
        <v>1744.9614424330275</v>
      </c>
      <c r="G99" s="3"/>
      <c r="H99" s="5">
        <f t="shared" si="3"/>
        <v>68.014790011438095</v>
      </c>
    </row>
    <row r="100" spans="2:8" x14ac:dyDescent="0.2">
      <c r="B100" s="1">
        <v>93</v>
      </c>
      <c r="C100" s="2">
        <v>3444.0863241718484</v>
      </c>
      <c r="D100" s="3"/>
      <c r="E100" s="5">
        <f t="shared" si="2"/>
        <v>62.880071429459335</v>
      </c>
      <c r="F100" s="2">
        <v>1305.3261374020026</v>
      </c>
      <c r="G100" s="3"/>
      <c r="H100" s="5">
        <f t="shared" si="3"/>
        <v>50.87876498179201</v>
      </c>
    </row>
    <row r="101" spans="2:8" x14ac:dyDescent="0.2">
      <c r="B101" s="1">
        <v>94</v>
      </c>
      <c r="C101" s="2">
        <v>3444.7058241262012</v>
      </c>
      <c r="D101" s="3"/>
      <c r="E101" s="5">
        <f t="shared" si="2"/>
        <v>62.891381889684112</v>
      </c>
      <c r="F101" s="2">
        <v>865.68531747023644</v>
      </c>
      <c r="G101" s="3"/>
      <c r="H101" s="5">
        <f t="shared" si="3"/>
        <v>33.742524993346997</v>
      </c>
    </row>
    <row r="102" spans="2:8" x14ac:dyDescent="0.2">
      <c r="B102" s="1">
        <v>95</v>
      </c>
      <c r="C102" s="2">
        <v>3441.2330563706564</v>
      </c>
      <c r="D102" s="3"/>
      <c r="E102" s="5">
        <f t="shared" si="2"/>
        <v>62.827978169808105</v>
      </c>
      <c r="F102" s="2">
        <v>430.13676524836637</v>
      </c>
      <c r="G102" s="3"/>
      <c r="H102" s="5">
        <f t="shared" si="3"/>
        <v>16.7657926720577</v>
      </c>
    </row>
    <row r="103" spans="2:8" x14ac:dyDescent="0.2">
      <c r="B103" s="1">
        <v>96</v>
      </c>
      <c r="C103" s="2">
        <v>3192.8823271084716</v>
      </c>
      <c r="D103" s="3"/>
      <c r="E103" s="5">
        <f t="shared" si="2"/>
        <v>58.293738860542376</v>
      </c>
      <c r="F103" s="2">
        <v>0</v>
      </c>
      <c r="G103" s="3"/>
      <c r="H103" s="5">
        <f t="shared" si="3"/>
        <v>0</v>
      </c>
    </row>
    <row r="104" spans="2:8" x14ac:dyDescent="0.2">
      <c r="B104" s="1">
        <v>97</v>
      </c>
      <c r="C104" s="2">
        <v>2713.9499780422011</v>
      </c>
      <c r="D104" s="3"/>
      <c r="E104" s="5">
        <f t="shared" si="2"/>
        <v>49.549678031461028</v>
      </c>
      <c r="F104" s="2">
        <v>0</v>
      </c>
      <c r="G104" s="3"/>
      <c r="H104" s="5">
        <f t="shared" si="3"/>
        <v>0</v>
      </c>
    </row>
    <row r="105" spans="2:8" x14ac:dyDescent="0.2">
      <c r="B105" s="1">
        <v>98</v>
      </c>
      <c r="C105" s="2">
        <v>2554.3058616867775</v>
      </c>
      <c r="D105" s="3"/>
      <c r="E105" s="5">
        <f t="shared" si="2"/>
        <v>46.634991088433907</v>
      </c>
      <c r="F105" s="2">
        <v>0</v>
      </c>
      <c r="G105" s="3"/>
      <c r="H105" s="5">
        <f t="shared" si="3"/>
        <v>0</v>
      </c>
    </row>
    <row r="106" spans="2:8" x14ac:dyDescent="0.2">
      <c r="B106" s="1">
        <v>99</v>
      </c>
      <c r="C106" s="2">
        <v>2713.9499780422011</v>
      </c>
      <c r="D106" s="3"/>
      <c r="E106" s="5">
        <f t="shared" si="2"/>
        <v>49.549678031461028</v>
      </c>
      <c r="F106" s="2">
        <v>0</v>
      </c>
      <c r="G106" s="3"/>
      <c r="H106" s="5">
        <f t="shared" si="3"/>
        <v>0</v>
      </c>
    </row>
    <row r="107" spans="2:8" x14ac:dyDescent="0.2">
      <c r="B107" s="1">
        <v>100</v>
      </c>
      <c r="C107" s="2">
        <v>2873.5940943976243</v>
      </c>
      <c r="D107" s="3"/>
      <c r="E107" s="5">
        <f t="shared" si="2"/>
        <v>52.464364974488134</v>
      </c>
      <c r="F107" s="2">
        <v>0</v>
      </c>
      <c r="G107" s="3"/>
      <c r="H107" s="5">
        <f t="shared" si="3"/>
        <v>0</v>
      </c>
    </row>
    <row r="108" spans="2:8" x14ac:dyDescent="0.2">
      <c r="B108" s="1">
        <v>101</v>
      </c>
      <c r="C108" s="2">
        <v>3163.8561241347584</v>
      </c>
      <c r="D108" s="3"/>
      <c r="E108" s="5">
        <f t="shared" si="2"/>
        <v>57.763795779991995</v>
      </c>
      <c r="F108" s="2">
        <v>0</v>
      </c>
      <c r="G108" s="3"/>
      <c r="H108" s="5">
        <f t="shared" si="3"/>
        <v>0</v>
      </c>
    </row>
    <row r="109" spans="2:8" x14ac:dyDescent="0.2">
      <c r="B109" s="1">
        <v>102</v>
      </c>
      <c r="C109" s="2">
        <v>3367.0395449507519</v>
      </c>
      <c r="D109" s="3"/>
      <c r="E109" s="5">
        <f t="shared" si="2"/>
        <v>61.473397343844688</v>
      </c>
      <c r="F109" s="2">
        <v>0</v>
      </c>
      <c r="G109" s="3"/>
      <c r="H109" s="5">
        <f t="shared" si="3"/>
        <v>0</v>
      </c>
    </row>
    <row r="110" spans="2:8" x14ac:dyDescent="0.2">
      <c r="B110" s="1">
        <v>103</v>
      </c>
      <c r="C110" s="2">
        <v>3405.7179558407543</v>
      </c>
      <c r="D110" s="3"/>
      <c r="E110" s="5">
        <f t="shared" si="2"/>
        <v>62.179564672599476</v>
      </c>
      <c r="F110" s="2">
        <v>164.50500992599109</v>
      </c>
      <c r="G110" s="3"/>
      <c r="H110" s="5">
        <f t="shared" si="3"/>
        <v>6.4120463832972368</v>
      </c>
    </row>
    <row r="111" spans="2:8" x14ac:dyDescent="0.2">
      <c r="B111" s="1">
        <v>104</v>
      </c>
      <c r="C111" s="2">
        <v>3406.6053599127499</v>
      </c>
      <c r="D111" s="3"/>
      <c r="E111" s="5">
        <f t="shared" si="2"/>
        <v>62.195766366222038</v>
      </c>
      <c r="F111" s="2">
        <v>366.80102666998937</v>
      </c>
      <c r="G111" s="3"/>
      <c r="H111" s="5">
        <f t="shared" si="3"/>
        <v>14.297103763022973</v>
      </c>
    </row>
    <row r="112" spans="2:8" x14ac:dyDescent="0.2">
      <c r="B112" s="1">
        <v>105</v>
      </c>
      <c r="C112" s="2">
        <v>3407.49947835695</v>
      </c>
      <c r="D112" s="3"/>
      <c r="E112" s="5">
        <f t="shared" si="2"/>
        <v>62.212090646842739</v>
      </c>
      <c r="F112" s="2">
        <v>569.09032904178321</v>
      </c>
      <c r="G112" s="3"/>
      <c r="H112" s="5">
        <f t="shared" si="3"/>
        <v>22.18189943116905</v>
      </c>
    </row>
    <row r="113" spans="2:8" x14ac:dyDescent="0.2">
      <c r="B113" s="1">
        <v>106</v>
      </c>
      <c r="C113" s="2">
        <v>3408.3996002451349</v>
      </c>
      <c r="D113" s="3"/>
      <c r="E113" s="5">
        <f t="shared" si="2"/>
        <v>62.228524534758684</v>
      </c>
      <c r="F113" s="2">
        <v>771.37362796959133</v>
      </c>
      <c r="G113" s="3"/>
      <c r="H113" s="5">
        <f t="shared" si="3"/>
        <v>30.066461098166389</v>
      </c>
    </row>
    <row r="114" spans="2:8" x14ac:dyDescent="0.2">
      <c r="B114" s="1">
        <v>107</v>
      </c>
      <c r="C114" s="2">
        <v>3409.3050184033859</v>
      </c>
      <c r="D114" s="3"/>
      <c r="E114" s="5">
        <f t="shared" si="2"/>
        <v>62.245055118810768</v>
      </c>
      <c r="F114" s="2">
        <v>973.65163062733382</v>
      </c>
      <c r="G114" s="3"/>
      <c r="H114" s="5">
        <f t="shared" si="3"/>
        <v>37.950816328111536</v>
      </c>
    </row>
    <row r="115" spans="2:8" x14ac:dyDescent="0.2">
      <c r="B115" s="1">
        <v>108</v>
      </c>
      <c r="C115" s="2">
        <v>3410.2150294581252</v>
      </c>
      <c r="D115" s="3"/>
      <c r="E115" s="5">
        <f t="shared" si="2"/>
        <v>62.261669557224231</v>
      </c>
      <c r="F115" s="2">
        <v>1175.925040388589</v>
      </c>
      <c r="G115" s="3"/>
      <c r="H115" s="5">
        <f t="shared" si="3"/>
        <v>45.834992536972017</v>
      </c>
    </row>
    <row r="116" spans="2:8" x14ac:dyDescent="0.2">
      <c r="B116" s="1">
        <v>109</v>
      </c>
      <c r="C116" s="2">
        <v>3411.1289338817978</v>
      </c>
      <c r="D116" s="3"/>
      <c r="E116" s="5">
        <f t="shared" si="2"/>
        <v>62.278355078442708</v>
      </c>
      <c r="F116" s="2">
        <v>1378.1945567809107</v>
      </c>
      <c r="G116" s="3"/>
      <c r="H116" s="5">
        <f t="shared" si="3"/>
        <v>53.719016990805706</v>
      </c>
    </row>
    <row r="117" spans="2:8" x14ac:dyDescent="0.2">
      <c r="B117" s="1">
        <v>110</v>
      </c>
      <c r="C117" s="2">
        <v>3412.0461848546051</v>
      </c>
      <c r="D117" s="3"/>
      <c r="E117" s="5">
        <f t="shared" si="2"/>
        <v>62.295101698956849</v>
      </c>
      <c r="F117" s="2">
        <v>1286.052096462146</v>
      </c>
      <c r="G117" s="3"/>
      <c r="H117" s="5">
        <f t="shared" si="3"/>
        <v>50.127504916487432</v>
      </c>
    </row>
    <row r="118" spans="2:8" x14ac:dyDescent="0.2">
      <c r="B118" s="1">
        <v>111</v>
      </c>
      <c r="C118" s="2">
        <v>3412.9668329276601</v>
      </c>
      <c r="D118" s="3"/>
      <c r="E118" s="5">
        <f t="shared" si="2"/>
        <v>62.311910341698699</v>
      </c>
      <c r="F118" s="2">
        <v>1193.9062390431354</v>
      </c>
      <c r="G118" s="3"/>
      <c r="H118" s="5">
        <f t="shared" si="3"/>
        <v>46.535860430613091</v>
      </c>
    </row>
    <row r="119" spans="2:8" x14ac:dyDescent="0.2">
      <c r="B119" s="1">
        <v>112</v>
      </c>
      <c r="C119" s="2">
        <v>3413.8910763880126</v>
      </c>
      <c r="D119" s="3"/>
      <c r="E119" s="5">
        <f t="shared" si="2"/>
        <v>62.3287846268748</v>
      </c>
      <c r="F119" s="2">
        <v>1101.7567862368264</v>
      </c>
      <c r="G119" s="3"/>
      <c r="H119" s="5">
        <f t="shared" si="3"/>
        <v>42.944075804385982</v>
      </c>
    </row>
    <row r="120" spans="2:8" x14ac:dyDescent="0.2">
      <c r="B120" s="1">
        <v>113</v>
      </c>
      <c r="C120" s="2">
        <v>3414.8191119744879</v>
      </c>
      <c r="D120" s="3"/>
      <c r="E120" s="5">
        <f t="shared" si="2"/>
        <v>62.345728146425131</v>
      </c>
      <c r="F120" s="2">
        <v>1009.6035413043946</v>
      </c>
      <c r="G120" s="3"/>
      <c r="H120" s="5">
        <f t="shared" si="3"/>
        <v>39.352143369355957</v>
      </c>
    </row>
    <row r="121" spans="2:8" x14ac:dyDescent="0.2">
      <c r="B121" s="1">
        <v>114</v>
      </c>
      <c r="C121" s="2">
        <v>3415.7511348649932</v>
      </c>
      <c r="D121" s="3"/>
      <c r="E121" s="5">
        <f t="shared" si="2"/>
        <v>62.36274446379138</v>
      </c>
      <c r="F121" s="2">
        <v>917.44630906793282</v>
      </c>
      <c r="G121" s="3"/>
      <c r="H121" s="5">
        <f t="shared" si="3"/>
        <v>35.760055517914019</v>
      </c>
    </row>
    <row r="122" spans="2:8" x14ac:dyDescent="0.2">
      <c r="B122" s="1">
        <v>115</v>
      </c>
      <c r="C122" s="2">
        <v>3416.6873386639982</v>
      </c>
      <c r="D122" s="3"/>
      <c r="E122" s="5">
        <f t="shared" si="2"/>
        <v>62.379837113688339</v>
      </c>
      <c r="F122" s="2">
        <v>825.28489592297137</v>
      </c>
      <c r="G122" s="3"/>
      <c r="H122" s="5">
        <f t="shared" si="3"/>
        <v>32.167804703780327</v>
      </c>
    </row>
    <row r="123" spans="2:8" x14ac:dyDescent="0.2">
      <c r="B123" s="1">
        <v>116</v>
      </c>
      <c r="C123" s="2">
        <v>3417.6279153901323</v>
      </c>
      <c r="D123" s="3"/>
      <c r="E123" s="5">
        <f t="shared" si="2"/>
        <v>62.397009601877471</v>
      </c>
      <c r="F123" s="2">
        <v>733.1191098508807</v>
      </c>
      <c r="G123" s="3"/>
      <c r="H123" s="5">
        <f t="shared" si="3"/>
        <v>28.575383442487635</v>
      </c>
    </row>
    <row r="124" spans="2:8" x14ac:dyDescent="0.2">
      <c r="B124" s="1">
        <v>117</v>
      </c>
      <c r="C124" s="2">
        <v>3418.572847959354</v>
      </c>
      <c r="D124" s="3"/>
      <c r="E124" s="5">
        <f t="shared" si="2"/>
        <v>62.414261616448556</v>
      </c>
      <c r="F124" s="2">
        <v>1051.4624099925063</v>
      </c>
      <c r="G124" s="3"/>
      <c r="H124" s="5">
        <f t="shared" si="3"/>
        <v>40.983710746551772</v>
      </c>
    </row>
    <row r="125" spans="2:8" x14ac:dyDescent="0.2">
      <c r="B125" s="1">
        <v>118</v>
      </c>
      <c r="C125" s="2">
        <v>3419.5216936934412</v>
      </c>
      <c r="D125" s="3"/>
      <c r="E125" s="5">
        <f t="shared" si="2"/>
        <v>62.431585075246957</v>
      </c>
      <c r="F125" s="2">
        <v>571.58121519214774</v>
      </c>
      <c r="G125" s="3"/>
      <c r="H125" s="5">
        <f t="shared" si="3"/>
        <v>22.278988738897947</v>
      </c>
    </row>
    <row r="126" spans="2:8" x14ac:dyDescent="0.2">
      <c r="B126" s="1">
        <v>119</v>
      </c>
      <c r="C126" s="2">
        <v>3416.3465558225039</v>
      </c>
      <c r="D126" s="3"/>
      <c r="E126" s="5">
        <f t="shared" si="2"/>
        <v>62.373615304070874</v>
      </c>
      <c r="F126" s="2">
        <v>95.824003996815009</v>
      </c>
      <c r="G126" s="3"/>
      <c r="H126" s="5">
        <f t="shared" si="3"/>
        <v>3.7350106147968485</v>
      </c>
    </row>
    <row r="127" spans="2:8" x14ac:dyDescent="0.2">
      <c r="B127" s="1">
        <v>120</v>
      </c>
      <c r="C127" s="2">
        <v>3033.238210753048</v>
      </c>
      <c r="D127" s="3"/>
      <c r="E127" s="5">
        <f t="shared" si="2"/>
        <v>55.379051917515255</v>
      </c>
      <c r="F127" s="2">
        <v>0</v>
      </c>
      <c r="G127" s="3"/>
      <c r="H127" s="5">
        <f t="shared" si="3"/>
        <v>0</v>
      </c>
    </row>
    <row r="128" spans="2:8" x14ac:dyDescent="0.2">
      <c r="B128" s="1">
        <v>121</v>
      </c>
      <c r="C128" s="2">
        <v>2554.3058616867775</v>
      </c>
      <c r="D128" s="3"/>
      <c r="E128" s="5">
        <f t="shared" si="2"/>
        <v>46.634991088433907</v>
      </c>
      <c r="F128" s="2">
        <v>0</v>
      </c>
      <c r="G128" s="3"/>
      <c r="H128" s="5">
        <f t="shared" si="3"/>
        <v>0</v>
      </c>
    </row>
    <row r="129" spans="2:8" x14ac:dyDescent="0.2">
      <c r="B129" s="1">
        <v>122</v>
      </c>
      <c r="C129" s="2">
        <v>2554.3058616867775</v>
      </c>
      <c r="D129" s="3"/>
      <c r="E129" s="5">
        <f t="shared" si="2"/>
        <v>46.634991088433907</v>
      </c>
      <c r="F129" s="2">
        <v>0</v>
      </c>
      <c r="G129" s="3"/>
      <c r="H129" s="5">
        <f t="shared" si="3"/>
        <v>0</v>
      </c>
    </row>
    <row r="130" spans="2:8" x14ac:dyDescent="0.2">
      <c r="B130" s="1">
        <v>123</v>
      </c>
      <c r="C130" s="2">
        <v>2736.7562803786905</v>
      </c>
      <c r="D130" s="3"/>
      <c r="E130" s="5">
        <f t="shared" si="2"/>
        <v>49.966061880464906</v>
      </c>
      <c r="F130" s="2">
        <v>0</v>
      </c>
      <c r="G130" s="3"/>
      <c r="H130" s="5">
        <f t="shared" si="3"/>
        <v>0</v>
      </c>
    </row>
    <row r="131" spans="2:8" x14ac:dyDescent="0.2">
      <c r="B131" s="1">
        <v>124</v>
      </c>
      <c r="C131" s="2">
        <v>2919.2066990706026</v>
      </c>
      <c r="D131" s="3"/>
      <c r="E131" s="5">
        <f t="shared" si="2"/>
        <v>53.297132672495884</v>
      </c>
      <c r="F131" s="2">
        <v>0</v>
      </c>
      <c r="G131" s="3"/>
      <c r="H131" s="5">
        <f t="shared" si="3"/>
        <v>0</v>
      </c>
    </row>
    <row r="132" spans="2:8" x14ac:dyDescent="0.2">
      <c r="B132" s="1">
        <v>125</v>
      </c>
      <c r="C132" s="2">
        <v>3101.6571177625156</v>
      </c>
      <c r="D132" s="3"/>
      <c r="E132" s="5">
        <f t="shared" si="2"/>
        <v>56.628203464526884</v>
      </c>
      <c r="F132" s="2">
        <v>0</v>
      </c>
      <c r="G132" s="3"/>
      <c r="H132" s="5">
        <f t="shared" si="3"/>
        <v>0</v>
      </c>
    </row>
    <row r="133" spans="2:8" x14ac:dyDescent="0.2">
      <c r="B133" s="1">
        <v>126</v>
      </c>
      <c r="C133" s="2">
        <v>3284.1075364544286</v>
      </c>
      <c r="D133" s="3"/>
      <c r="E133" s="5">
        <f t="shared" si="2"/>
        <v>59.959274256557883</v>
      </c>
      <c r="F133" s="2">
        <v>0</v>
      </c>
      <c r="G133" s="3"/>
      <c r="H133" s="5">
        <f t="shared" si="3"/>
        <v>0</v>
      </c>
    </row>
    <row r="134" spans="2:8" x14ac:dyDescent="0.2">
      <c r="B134" s="1">
        <v>127</v>
      </c>
      <c r="C134" s="2">
        <v>3383.5081219151266</v>
      </c>
      <c r="D134" s="3"/>
      <c r="E134" s="5">
        <f t="shared" si="2"/>
        <v>61.774070787652875</v>
      </c>
      <c r="F134" s="2">
        <v>83.049833231214507</v>
      </c>
      <c r="G134" s="3"/>
      <c r="H134" s="5">
        <f t="shared" si="3"/>
        <v>3.2371013079979876</v>
      </c>
    </row>
    <row r="135" spans="2:8" x14ac:dyDescent="0.2">
      <c r="B135" s="1">
        <v>128</v>
      </c>
      <c r="C135" s="2">
        <v>3385.5818829633945</v>
      </c>
      <c r="D135" s="3"/>
      <c r="E135" s="5">
        <f t="shared" si="2"/>
        <v>61.811932278500983</v>
      </c>
      <c r="F135" s="2">
        <v>263.42649087485916</v>
      </c>
      <c r="G135" s="3"/>
      <c r="H135" s="5">
        <f t="shared" si="3"/>
        <v>10.267789891862449</v>
      </c>
    </row>
    <row r="136" spans="2:8" x14ac:dyDescent="0.2">
      <c r="B136" s="1">
        <v>129</v>
      </c>
      <c r="C136" s="2">
        <v>3383.5203971219967</v>
      </c>
      <c r="D136" s="3"/>
      <c r="E136" s="5">
        <f t="shared" si="2"/>
        <v>61.774294901049622</v>
      </c>
      <c r="F136" s="2">
        <v>447.93839540816998</v>
      </c>
      <c r="G136" s="3"/>
      <c r="H136" s="5">
        <f t="shared" si="3"/>
        <v>17.4596613775416</v>
      </c>
    </row>
    <row r="137" spans="2:8" x14ac:dyDescent="0.2">
      <c r="B137" s="1">
        <v>130</v>
      </c>
      <c r="C137" s="2">
        <v>3379.0874526143966</v>
      </c>
      <c r="D137" s="3"/>
      <c r="E137" s="5">
        <f t="shared" ref="E137:E200" si="4">$D$5*C137</f>
        <v>61.693360847415605</v>
      </c>
      <c r="F137" s="2">
        <v>634.82175860768257</v>
      </c>
      <c r="G137" s="3"/>
      <c r="H137" s="5">
        <f t="shared" ref="H137:H200" si="5">$G$5*F137</f>
        <v>24.743967148174129</v>
      </c>
    </row>
    <row r="138" spans="2:8" x14ac:dyDescent="0.2">
      <c r="B138" s="1">
        <v>131</v>
      </c>
      <c r="C138" s="2">
        <v>3374.6820083129969</v>
      </c>
      <c r="D138" s="3"/>
      <c r="E138" s="5">
        <f t="shared" si="4"/>
        <v>61.612928876124315</v>
      </c>
      <c r="F138" s="2">
        <v>821.67762160099483</v>
      </c>
      <c r="G138" s="3"/>
      <c r="H138" s="5">
        <f t="shared" si="5"/>
        <v>32.027201020766682</v>
      </c>
    </row>
    <row r="139" spans="2:8" x14ac:dyDescent="0.2">
      <c r="B139" s="1">
        <v>132</v>
      </c>
      <c r="C139" s="2">
        <v>3370.3039659775927</v>
      </c>
      <c r="D139" s="3"/>
      <c r="E139" s="5">
        <f t="shared" si="4"/>
        <v>61.532997193564754</v>
      </c>
      <c r="F139" s="2">
        <v>1008.506082628312</v>
      </c>
      <c r="G139" s="3"/>
      <c r="H139" s="5">
        <f t="shared" si="5"/>
        <v>39.309366824508118</v>
      </c>
    </row>
    <row r="140" spans="2:8" x14ac:dyDescent="0.2">
      <c r="B140" s="1">
        <v>133</v>
      </c>
      <c r="C140" s="2">
        <v>3365.9532276452023</v>
      </c>
      <c r="D140" s="3"/>
      <c r="E140" s="5">
        <f t="shared" si="4"/>
        <v>61.453564011187318</v>
      </c>
      <c r="F140" s="2">
        <v>1104.082030306658</v>
      </c>
      <c r="G140" s="3"/>
      <c r="H140" s="5">
        <f t="shared" si="5"/>
        <v>43.034708745200092</v>
      </c>
    </row>
    <row r="141" spans="2:8" x14ac:dyDescent="0.2">
      <c r="B141" s="1">
        <v>134</v>
      </c>
      <c r="C141" s="2">
        <v>3361.6296956294218</v>
      </c>
      <c r="D141" s="3"/>
      <c r="E141" s="5">
        <f t="shared" si="4"/>
        <v>61.374627545491961</v>
      </c>
      <c r="F141" s="2">
        <v>1108.4055623224385</v>
      </c>
      <c r="G141" s="3"/>
      <c r="H141" s="5">
        <f t="shared" si="5"/>
        <v>43.203230590445578</v>
      </c>
    </row>
    <row r="142" spans="2:8" x14ac:dyDescent="0.2">
      <c r="B142" s="1">
        <v>135</v>
      </c>
      <c r="C142" s="2">
        <v>3357.3332725197615</v>
      </c>
      <c r="D142" s="3"/>
      <c r="E142" s="5">
        <f t="shared" si="4"/>
        <v>61.296186018016137</v>
      </c>
      <c r="F142" s="2">
        <v>1568.8280321618804</v>
      </c>
      <c r="G142" s="3"/>
      <c r="H142" s="5">
        <f t="shared" si="5"/>
        <v>61.149493952582439</v>
      </c>
    </row>
    <row r="143" spans="2:8" x14ac:dyDescent="0.2">
      <c r="B143" s="1">
        <v>136</v>
      </c>
      <c r="C143" s="2">
        <v>3355.4579349690989</v>
      </c>
      <c r="D143" s="3"/>
      <c r="E143" s="5">
        <f t="shared" si="4"/>
        <v>61.261947224896353</v>
      </c>
      <c r="F143" s="2">
        <v>1753.153788404456</v>
      </c>
      <c r="G143" s="3"/>
      <c r="H143" s="5">
        <f t="shared" si="5"/>
        <v>68.334109784011901</v>
      </c>
    </row>
    <row r="144" spans="2:8" x14ac:dyDescent="0.2">
      <c r="B144" s="1">
        <v>137</v>
      </c>
      <c r="C144" s="2">
        <v>3357.7288356313484</v>
      </c>
      <c r="D144" s="3"/>
      <c r="E144" s="5">
        <f t="shared" si="4"/>
        <v>61.303407973092256</v>
      </c>
      <c r="F144" s="2">
        <v>1495.4523015735285</v>
      </c>
      <c r="G144" s="3"/>
      <c r="H144" s="5">
        <f t="shared" si="5"/>
        <v>58.28946805943486</v>
      </c>
    </row>
    <row r="145" spans="2:8" x14ac:dyDescent="0.2">
      <c r="B145" s="1">
        <v>138</v>
      </c>
      <c r="C145" s="2">
        <v>3359.9973255642376</v>
      </c>
      <c r="D145" s="3"/>
      <c r="E145" s="5">
        <f t="shared" si="4"/>
        <v>61.344824707631098</v>
      </c>
      <c r="F145" s="2">
        <v>1237.7532254719613</v>
      </c>
      <c r="G145" s="3"/>
      <c r="H145" s="5">
        <f t="shared" si="5"/>
        <v>48.244920299828756</v>
      </c>
    </row>
    <row r="146" spans="2:8" x14ac:dyDescent="0.2">
      <c r="B146" s="1">
        <v>139</v>
      </c>
      <c r="C146" s="2">
        <v>3362.2640554266582</v>
      </c>
      <c r="D146" s="3"/>
      <c r="E146" s="5">
        <f t="shared" si="4"/>
        <v>61.386209307854372</v>
      </c>
      <c r="F146" s="2">
        <v>1107.7712025252022</v>
      </c>
      <c r="G146" s="3"/>
      <c r="H146" s="5">
        <f t="shared" si="5"/>
        <v>43.178504629543795</v>
      </c>
    </row>
    <row r="147" spans="2:8" x14ac:dyDescent="0.2">
      <c r="B147" s="1">
        <v>140</v>
      </c>
      <c r="C147" s="2">
        <v>3364.5295430720075</v>
      </c>
      <c r="D147" s="3"/>
      <c r="E147" s="5">
        <f t="shared" si="4"/>
        <v>61.427571228420163</v>
      </c>
      <c r="F147" s="2">
        <v>722.35983562683532</v>
      </c>
      <c r="G147" s="3"/>
      <c r="H147" s="5">
        <f t="shared" si="5"/>
        <v>28.156010406941597</v>
      </c>
    </row>
    <row r="148" spans="2:8" x14ac:dyDescent="0.2">
      <c r="B148" s="1">
        <v>141</v>
      </c>
      <c r="C148" s="2">
        <v>3366.794689771084</v>
      </c>
      <c r="D148" s="3"/>
      <c r="E148" s="5">
        <f t="shared" si="4"/>
        <v>61.468926924192509</v>
      </c>
      <c r="F148" s="2">
        <v>464.66410275908129</v>
      </c>
      <c r="G148" s="3"/>
      <c r="H148" s="5">
        <f t="shared" si="5"/>
        <v>18.111592959295539</v>
      </c>
    </row>
    <row r="149" spans="2:8" x14ac:dyDescent="0.2">
      <c r="B149" s="1">
        <v>142</v>
      </c>
      <c r="C149" s="2">
        <v>3369.0602619248098</v>
      </c>
      <c r="D149" s="3"/>
      <c r="E149" s="5">
        <f t="shared" si="4"/>
        <v>61.510290387661769</v>
      </c>
      <c r="F149" s="2">
        <v>206.96794443667795</v>
      </c>
      <c r="G149" s="3"/>
      <c r="H149" s="5">
        <f t="shared" si="5"/>
        <v>8.0671589283554717</v>
      </c>
    </row>
    <row r="150" spans="2:8" x14ac:dyDescent="0.2">
      <c r="B150" s="1">
        <v>143</v>
      </c>
      <c r="C150" s="2">
        <v>2873.5940943976243</v>
      </c>
      <c r="D150" s="3"/>
      <c r="E150" s="5">
        <f t="shared" si="4"/>
        <v>52.464364974488134</v>
      </c>
      <c r="F150" s="2">
        <v>0</v>
      </c>
      <c r="G150" s="3"/>
      <c r="H150" s="5">
        <f t="shared" si="5"/>
        <v>0</v>
      </c>
    </row>
    <row r="151" spans="2:8" x14ac:dyDescent="0.2">
      <c r="B151" s="1">
        <v>144</v>
      </c>
      <c r="C151" s="2">
        <v>2713.9499780422011</v>
      </c>
      <c r="D151" s="3"/>
      <c r="E151" s="5">
        <f t="shared" si="4"/>
        <v>49.549678031461028</v>
      </c>
      <c r="F151" s="2">
        <v>0</v>
      </c>
      <c r="G151" s="3"/>
      <c r="H151" s="5">
        <f t="shared" si="5"/>
        <v>0</v>
      </c>
    </row>
    <row r="152" spans="2:8" x14ac:dyDescent="0.2">
      <c r="B152" s="1">
        <v>145</v>
      </c>
      <c r="C152" s="2">
        <v>2554.3058616867775</v>
      </c>
      <c r="D152" s="3"/>
      <c r="E152" s="5">
        <f t="shared" si="4"/>
        <v>46.634991088433907</v>
      </c>
      <c r="F152" s="2">
        <v>0</v>
      </c>
      <c r="G152" s="3"/>
      <c r="H152" s="5">
        <f t="shared" si="5"/>
        <v>0</v>
      </c>
    </row>
    <row r="153" spans="2:8" x14ac:dyDescent="0.2">
      <c r="B153" s="1">
        <v>146</v>
      </c>
      <c r="C153" s="2">
        <v>2554.3058616867775</v>
      </c>
      <c r="D153" s="3"/>
      <c r="E153" s="5">
        <f t="shared" si="4"/>
        <v>46.634991088433907</v>
      </c>
      <c r="F153" s="2">
        <v>0</v>
      </c>
      <c r="G153" s="3"/>
      <c r="H153" s="5">
        <f t="shared" si="5"/>
        <v>0</v>
      </c>
    </row>
    <row r="154" spans="2:8" x14ac:dyDescent="0.2">
      <c r="B154" s="1">
        <v>147</v>
      </c>
      <c r="C154" s="2">
        <v>2713.9499780422016</v>
      </c>
      <c r="D154" s="3"/>
      <c r="E154" s="5">
        <f t="shared" si="4"/>
        <v>49.549678031461035</v>
      </c>
      <c r="F154" s="2">
        <v>0</v>
      </c>
      <c r="G154" s="3"/>
      <c r="H154" s="5">
        <f t="shared" si="5"/>
        <v>0</v>
      </c>
    </row>
    <row r="155" spans="2:8" x14ac:dyDescent="0.2">
      <c r="B155" s="1">
        <v>148</v>
      </c>
      <c r="C155" s="2">
        <v>2873.5940943976243</v>
      </c>
      <c r="D155" s="3"/>
      <c r="E155" s="5">
        <f t="shared" si="4"/>
        <v>52.464364974488134</v>
      </c>
      <c r="F155" s="2">
        <v>0</v>
      </c>
      <c r="G155" s="3"/>
      <c r="H155" s="5">
        <f t="shared" si="5"/>
        <v>0</v>
      </c>
    </row>
    <row r="156" spans="2:8" x14ac:dyDescent="0.2">
      <c r="B156" s="1">
        <v>149</v>
      </c>
      <c r="C156" s="2">
        <v>3033.238210753048</v>
      </c>
      <c r="D156" s="3"/>
      <c r="E156" s="5">
        <f t="shared" si="4"/>
        <v>55.379051917515255</v>
      </c>
      <c r="F156" s="2">
        <v>0</v>
      </c>
      <c r="G156" s="3"/>
      <c r="H156" s="5">
        <f t="shared" si="5"/>
        <v>0</v>
      </c>
    </row>
    <row r="157" spans="2:8" x14ac:dyDescent="0.2">
      <c r="B157" s="1">
        <v>150</v>
      </c>
      <c r="C157" s="2">
        <v>3192.8823271084716</v>
      </c>
      <c r="D157" s="3"/>
      <c r="E157" s="5">
        <f t="shared" si="4"/>
        <v>58.293738860542376</v>
      </c>
      <c r="F157" s="2">
        <v>0</v>
      </c>
      <c r="G157" s="3"/>
      <c r="H157" s="5">
        <f t="shared" si="5"/>
        <v>0</v>
      </c>
    </row>
    <row r="158" spans="2:8" x14ac:dyDescent="0.2">
      <c r="B158" s="1">
        <v>151</v>
      </c>
      <c r="C158" s="2">
        <v>3345.6977568968609</v>
      </c>
      <c r="D158" s="3"/>
      <c r="E158" s="5">
        <f t="shared" si="4"/>
        <v>61.083751722060299</v>
      </c>
      <c r="F158" s="2">
        <v>6.8286865670343104</v>
      </c>
      <c r="G158" s="3"/>
      <c r="H158" s="5">
        <f t="shared" si="5"/>
        <v>0.26616730411141598</v>
      </c>
    </row>
    <row r="159" spans="2:8" x14ac:dyDescent="0.2">
      <c r="B159" s="1">
        <v>152</v>
      </c>
      <c r="C159" s="2">
        <v>3348.1554559089964</v>
      </c>
      <c r="D159" s="3"/>
      <c r="E159" s="5">
        <f t="shared" si="4"/>
        <v>61.128622922979559</v>
      </c>
      <c r="F159" s="2">
        <v>164.01510391032252</v>
      </c>
      <c r="G159" s="3"/>
      <c r="H159" s="5">
        <f t="shared" si="5"/>
        <v>6.3929509156434774</v>
      </c>
    </row>
    <row r="160" spans="2:8" x14ac:dyDescent="0.2">
      <c r="B160" s="1">
        <v>153</v>
      </c>
      <c r="C160" s="2">
        <v>3346.4666957262325</v>
      </c>
      <c r="D160" s="3"/>
      <c r="E160" s="5">
        <f t="shared" si="4"/>
        <v>61.097790548025962</v>
      </c>
      <c r="F160" s="2">
        <v>325.3479804485105</v>
      </c>
      <c r="G160" s="3"/>
      <c r="H160" s="5">
        <f t="shared" si="5"/>
        <v>12.681354460186137</v>
      </c>
    </row>
    <row r="161" spans="2:8" x14ac:dyDescent="0.2">
      <c r="B161" s="1">
        <v>154</v>
      </c>
      <c r="C161" s="2">
        <v>3342.3786994759985</v>
      </c>
      <c r="D161" s="3"/>
      <c r="E161" s="5">
        <f t="shared" si="4"/>
        <v>61.023154353684966</v>
      </c>
      <c r="F161" s="2">
        <v>489.08009305416817</v>
      </c>
      <c r="G161" s="3"/>
      <c r="H161" s="5">
        <f t="shared" si="5"/>
        <v>19.063274992181135</v>
      </c>
    </row>
    <row r="162" spans="2:8" x14ac:dyDescent="0.2">
      <c r="B162" s="1">
        <v>155</v>
      </c>
      <c r="C162" s="2">
        <v>3338.31685390744</v>
      </c>
      <c r="D162" s="3"/>
      <c r="E162" s="5">
        <f t="shared" si="4"/>
        <v>60.948995602873801</v>
      </c>
      <c r="F162" s="2">
        <v>652.78605497814988</v>
      </c>
      <c r="G162" s="3"/>
      <c r="H162" s="5">
        <f t="shared" si="5"/>
        <v>25.444176227657827</v>
      </c>
    </row>
    <row r="163" spans="2:8" x14ac:dyDescent="0.2">
      <c r="B163" s="1">
        <v>156</v>
      </c>
      <c r="C163" s="2">
        <v>3334.2810647960232</v>
      </c>
      <c r="D163" s="3"/>
      <c r="E163" s="5">
        <f t="shared" si="4"/>
        <v>60.875312575297208</v>
      </c>
      <c r="F163" s="2">
        <v>816.46596044499074</v>
      </c>
      <c r="G163" s="3"/>
      <c r="H163" s="5">
        <f t="shared" si="5"/>
        <v>31.824061839283022</v>
      </c>
    </row>
    <row r="164" spans="2:8" x14ac:dyDescent="0.2">
      <c r="B164" s="1">
        <v>157</v>
      </c>
      <c r="C164" s="2">
        <v>3330.271238184544</v>
      </c>
      <c r="D164" s="3"/>
      <c r="E164" s="5">
        <f t="shared" si="4"/>
        <v>60.802103555540661</v>
      </c>
      <c r="F164" s="2">
        <v>980.11990341189357</v>
      </c>
      <c r="G164" s="3"/>
      <c r="H164" s="5">
        <f t="shared" si="5"/>
        <v>38.202935489303499</v>
      </c>
    </row>
    <row r="165" spans="2:8" x14ac:dyDescent="0.2">
      <c r="B165" s="1">
        <v>158</v>
      </c>
      <c r="C165" s="2">
        <v>3326.2872803824748</v>
      </c>
      <c r="D165" s="3"/>
      <c r="E165" s="5">
        <f t="shared" si="4"/>
        <v>60.72936683305845</v>
      </c>
      <c r="F165" s="2">
        <v>1143.7479775693873</v>
      </c>
      <c r="G165" s="3"/>
      <c r="H165" s="5">
        <f t="shared" si="5"/>
        <v>44.580800829571672</v>
      </c>
    </row>
    <row r="166" spans="2:8" x14ac:dyDescent="0.2">
      <c r="B166" s="1">
        <v>159</v>
      </c>
      <c r="C166" s="2">
        <v>3322.3290979653466</v>
      </c>
      <c r="D166" s="3"/>
      <c r="E166" s="5">
        <f t="shared" si="4"/>
        <v>60.65710070216241</v>
      </c>
      <c r="F166" s="2">
        <v>988.062043631091</v>
      </c>
      <c r="G166" s="3"/>
      <c r="H166" s="5">
        <f t="shared" si="5"/>
        <v>38.51250278753384</v>
      </c>
    </row>
    <row r="167" spans="2:8" x14ac:dyDescent="0.2">
      <c r="B167" s="1">
        <v>160</v>
      </c>
      <c r="C167" s="2">
        <v>3320.8117130264177</v>
      </c>
      <c r="D167" s="3"/>
      <c r="E167" s="5">
        <f t="shared" si="4"/>
        <v>60.629397194071984</v>
      </c>
      <c r="F167" s="2">
        <v>1149.2235449254426</v>
      </c>
      <c r="G167" s="3"/>
      <c r="H167" s="5">
        <f t="shared" si="5"/>
        <v>44.794226498964292</v>
      </c>
    </row>
    <row r="168" spans="2:8" x14ac:dyDescent="0.2">
      <c r="B168" s="1">
        <v>161</v>
      </c>
      <c r="C168" s="2">
        <v>3323.446079553421</v>
      </c>
      <c r="D168" s="3"/>
      <c r="E168" s="5">
        <f t="shared" si="4"/>
        <v>60.677493884978581</v>
      </c>
      <c r="F168" s="2">
        <v>1785.1656438201339</v>
      </c>
      <c r="G168" s="3"/>
      <c r="H168" s="5">
        <f t="shared" si="5"/>
        <v>69.581862067258939</v>
      </c>
    </row>
    <row r="169" spans="2:8" x14ac:dyDescent="0.2">
      <c r="B169" s="1">
        <v>162</v>
      </c>
      <c r="C169" s="2">
        <v>3326.0745594869163</v>
      </c>
      <c r="D169" s="3"/>
      <c r="E169" s="5">
        <f t="shared" si="4"/>
        <v>60.725483101976167</v>
      </c>
      <c r="F169" s="2">
        <v>1622.8930475312141</v>
      </c>
      <c r="G169" s="3"/>
      <c r="H169" s="5">
        <f t="shared" si="5"/>
        <v>63.256830297036672</v>
      </c>
    </row>
    <row r="170" spans="2:8" x14ac:dyDescent="0.2">
      <c r="B170" s="1">
        <v>163</v>
      </c>
      <c r="C170" s="2">
        <v>3328.6969490686784</v>
      </c>
      <c r="D170" s="3"/>
      <c r="E170" s="5">
        <f t="shared" si="4"/>
        <v>60.773361124968723</v>
      </c>
      <c r="F170" s="2">
        <v>1939.5588906602984</v>
      </c>
      <c r="G170" s="3"/>
      <c r="H170" s="5">
        <f t="shared" si="5"/>
        <v>75.599773986490888</v>
      </c>
    </row>
    <row r="171" spans="2:8" x14ac:dyDescent="0.2">
      <c r="B171" s="1">
        <v>164</v>
      </c>
      <c r="C171" s="2">
        <v>3331.3128202613557</v>
      </c>
      <c r="D171" s="3"/>
      <c r="E171" s="5">
        <f t="shared" si="4"/>
        <v>60.821120139105915</v>
      </c>
      <c r="F171" s="2">
        <v>1585.7259634856905</v>
      </c>
      <c r="G171" s="3"/>
      <c r="H171" s="5">
        <f t="shared" si="5"/>
        <v>61.808138449055754</v>
      </c>
    </row>
    <row r="172" spans="2:8" x14ac:dyDescent="0.2">
      <c r="B172" s="1">
        <v>165</v>
      </c>
      <c r="C172" s="2">
        <v>3333.9228601287914</v>
      </c>
      <c r="D172" s="3"/>
      <c r="E172" s="5">
        <f t="shared" si="4"/>
        <v>60.868772688389086</v>
      </c>
      <c r="F172" s="2">
        <v>1231.8988676363233</v>
      </c>
      <c r="G172" s="3"/>
      <c r="H172" s="5">
        <f t="shared" si="5"/>
        <v>48.016730203956186</v>
      </c>
    </row>
    <row r="173" spans="2:8" x14ac:dyDescent="0.2">
      <c r="B173" s="1">
        <v>166</v>
      </c>
      <c r="C173" s="2">
        <v>3336.5280896000918</v>
      </c>
      <c r="D173" s="3"/>
      <c r="E173" s="5">
        <f t="shared" si="4"/>
        <v>60.916337412332197</v>
      </c>
      <c r="F173" s="2">
        <v>878.07658218309052</v>
      </c>
      <c r="G173" s="3"/>
      <c r="H173" s="5">
        <f t="shared" si="5"/>
        <v>34.22550945760301</v>
      </c>
    </row>
    <row r="174" spans="2:8" x14ac:dyDescent="0.2">
      <c r="B174" s="1">
        <v>167</v>
      </c>
      <c r="C174" s="2">
        <v>3334.9868915041343</v>
      </c>
      <c r="D174" s="3"/>
      <c r="E174" s="5">
        <f t="shared" si="4"/>
        <v>60.888199137841056</v>
      </c>
      <c r="F174" s="2">
        <v>528.40072429711654</v>
      </c>
      <c r="G174" s="3"/>
      <c r="H174" s="5">
        <f t="shared" si="5"/>
        <v>20.595907411483985</v>
      </c>
    </row>
    <row r="175" spans="2:8" x14ac:dyDescent="0.2">
      <c r="B175" s="1">
        <v>168</v>
      </c>
      <c r="C175" s="2">
        <v>3331.0562716662826</v>
      </c>
      <c r="D175" s="3"/>
      <c r="E175" s="5">
        <f t="shared" si="4"/>
        <v>60.816436228058123</v>
      </c>
      <c r="F175" s="2">
        <v>181.11428815303634</v>
      </c>
      <c r="G175" s="3"/>
      <c r="H175" s="5">
        <f t="shared" si="5"/>
        <v>7.0594398118184474</v>
      </c>
    </row>
    <row r="176" spans="2:8" x14ac:dyDescent="0.2">
      <c r="B176" s="1">
        <v>169</v>
      </c>
      <c r="C176" s="2">
        <v>2713.9499780422011</v>
      </c>
      <c r="D176" s="3"/>
      <c r="E176" s="5">
        <f t="shared" si="4"/>
        <v>49.549678031461028</v>
      </c>
      <c r="F176" s="2">
        <v>0</v>
      </c>
      <c r="G176" s="3"/>
      <c r="H176" s="5">
        <f t="shared" si="5"/>
        <v>0</v>
      </c>
    </row>
    <row r="177" spans="2:8" x14ac:dyDescent="0.2">
      <c r="B177" s="1">
        <v>170</v>
      </c>
      <c r="C177" s="2">
        <v>2554.3058616867775</v>
      </c>
      <c r="D177" s="3"/>
      <c r="E177" s="5">
        <f t="shared" si="4"/>
        <v>46.634991088433907</v>
      </c>
      <c r="F177" s="2">
        <v>0</v>
      </c>
      <c r="G177" s="3"/>
      <c r="H177" s="5">
        <f t="shared" si="5"/>
        <v>0</v>
      </c>
    </row>
    <row r="178" spans="2:8" x14ac:dyDescent="0.2">
      <c r="B178" s="1">
        <v>171</v>
      </c>
      <c r="C178" s="2">
        <v>2713.9499780422011</v>
      </c>
      <c r="D178" s="3"/>
      <c r="E178" s="5">
        <f t="shared" si="4"/>
        <v>49.549678031461028</v>
      </c>
      <c r="F178" s="2">
        <v>0</v>
      </c>
      <c r="G178" s="3"/>
      <c r="H178" s="5">
        <f t="shared" si="5"/>
        <v>0</v>
      </c>
    </row>
    <row r="179" spans="2:8" x14ac:dyDescent="0.2">
      <c r="B179" s="1">
        <v>172</v>
      </c>
      <c r="C179" s="2">
        <v>2873.5940943976243</v>
      </c>
      <c r="D179" s="3"/>
      <c r="E179" s="5">
        <f t="shared" si="4"/>
        <v>52.464364974488134</v>
      </c>
      <c r="F179" s="2">
        <v>0</v>
      </c>
      <c r="G179" s="3"/>
      <c r="H179" s="5">
        <f t="shared" si="5"/>
        <v>0</v>
      </c>
    </row>
    <row r="180" spans="2:8" x14ac:dyDescent="0.2">
      <c r="B180" s="1">
        <v>173</v>
      </c>
      <c r="C180" s="2">
        <v>3272.704385286183</v>
      </c>
      <c r="D180" s="3"/>
      <c r="E180" s="5">
        <f t="shared" si="4"/>
        <v>59.75108233205593</v>
      </c>
      <c r="F180" s="2">
        <v>0</v>
      </c>
      <c r="G180" s="3"/>
      <c r="H180" s="5">
        <f t="shared" si="5"/>
        <v>0</v>
      </c>
    </row>
    <row r="181" spans="2:8" x14ac:dyDescent="0.2">
      <c r="B181" s="1">
        <v>174</v>
      </c>
      <c r="C181" s="2">
        <v>3313.3102268886896</v>
      </c>
      <c r="D181" s="3"/>
      <c r="E181" s="5">
        <f t="shared" si="4"/>
        <v>60.492439539771354</v>
      </c>
      <c r="F181" s="2">
        <v>198.86033293062883</v>
      </c>
      <c r="G181" s="3"/>
      <c r="H181" s="5">
        <f t="shared" si="5"/>
        <v>7.7511419203754137</v>
      </c>
    </row>
    <row r="182" spans="2:8" x14ac:dyDescent="0.2">
      <c r="B182" s="1">
        <v>175</v>
      </c>
      <c r="C182" s="2">
        <v>3311.9417398560167</v>
      </c>
      <c r="D182" s="3"/>
      <c r="E182" s="5">
        <f t="shared" si="4"/>
        <v>60.467454520737185</v>
      </c>
      <c r="F182" s="2">
        <v>439.69499449643672</v>
      </c>
      <c r="G182" s="3"/>
      <c r="H182" s="5">
        <f t="shared" si="5"/>
        <v>17.138351594782229</v>
      </c>
    </row>
    <row r="183" spans="2:8" x14ac:dyDescent="0.2">
      <c r="B183" s="1">
        <v>176</v>
      </c>
      <c r="C183" s="2">
        <v>3314.7239316424252</v>
      </c>
      <c r="D183" s="3"/>
      <c r="E183" s="5">
        <f t="shared" si="4"/>
        <v>60.518250116954384</v>
      </c>
      <c r="F183" s="2">
        <v>676.37897724316281</v>
      </c>
      <c r="G183" s="3"/>
      <c r="H183" s="5">
        <f t="shared" si="5"/>
        <v>26.363776864433859</v>
      </c>
    </row>
    <row r="184" spans="2:8" x14ac:dyDescent="0.2">
      <c r="B184" s="1">
        <v>177</v>
      </c>
      <c r="C184" s="2">
        <v>3313.3588726757966</v>
      </c>
      <c r="D184" s="3"/>
      <c r="E184" s="5">
        <f t="shared" si="4"/>
        <v>60.49332768550294</v>
      </c>
      <c r="F184" s="2">
        <v>917.21021074292685</v>
      </c>
      <c r="G184" s="3"/>
      <c r="H184" s="5">
        <f t="shared" si="5"/>
        <v>35.750852920305363</v>
      </c>
    </row>
    <row r="185" spans="2:8" x14ac:dyDescent="0.2">
      <c r="B185" s="1">
        <v>178</v>
      </c>
      <c r="C185" s="2">
        <v>3309.60291953054</v>
      </c>
      <c r="D185" s="3"/>
      <c r="E185" s="5">
        <f t="shared" si="4"/>
        <v>60.424753735889112</v>
      </c>
      <c r="F185" s="2">
        <v>1160.4323384213194</v>
      </c>
      <c r="G185" s="3"/>
      <c r="H185" s="5">
        <f t="shared" si="5"/>
        <v>45.231120815001816</v>
      </c>
    </row>
    <row r="186" spans="2:8" x14ac:dyDescent="0.2">
      <c r="B186" s="1">
        <v>179</v>
      </c>
      <c r="C186" s="2">
        <v>3305.4308390220585</v>
      </c>
      <c r="D186" s="3"/>
      <c r="E186" s="5">
        <f t="shared" si="4"/>
        <v>60.34858238137295</v>
      </c>
      <c r="F186" s="2">
        <v>1404.0705934629359</v>
      </c>
      <c r="G186" s="3"/>
      <c r="H186" s="5">
        <f t="shared" si="5"/>
        <v>54.727608446443995</v>
      </c>
    </row>
    <row r="187" spans="2:8" x14ac:dyDescent="0.2">
      <c r="B187" s="1">
        <v>180</v>
      </c>
      <c r="C187" s="2">
        <v>3300.8437934369695</v>
      </c>
      <c r="D187" s="3"/>
      <c r="E187" s="5">
        <f t="shared" si="4"/>
        <v>60.264834842289432</v>
      </c>
      <c r="F187" s="2">
        <v>1648.12381358116</v>
      </c>
      <c r="G187" s="3"/>
      <c r="H187" s="5">
        <f t="shared" si="5"/>
        <v>64.240270511235366</v>
      </c>
    </row>
    <row r="188" spans="2:8" x14ac:dyDescent="0.2">
      <c r="B188" s="1">
        <v>181</v>
      </c>
      <c r="C188" s="2">
        <v>3296.2830713584335</v>
      </c>
      <c r="D188" s="3"/>
      <c r="E188" s="5">
        <f t="shared" si="4"/>
        <v>60.181567902069169</v>
      </c>
      <c r="F188" s="2">
        <v>1892.1507101928328</v>
      </c>
      <c r="G188" s="3"/>
      <c r="H188" s="5">
        <f t="shared" si="5"/>
        <v>73.751906543171842</v>
      </c>
    </row>
    <row r="189" spans="2:8" x14ac:dyDescent="0.2">
      <c r="B189" s="1">
        <v>182</v>
      </c>
      <c r="C189" s="2">
        <v>3291.7485809226914</v>
      </c>
      <c r="D189" s="3"/>
      <c r="E189" s="5">
        <f t="shared" si="4"/>
        <v>60.098779883518489</v>
      </c>
      <c r="F189" s="2">
        <v>2136.1513751617108</v>
      </c>
      <c r="G189" s="3"/>
      <c r="H189" s="5">
        <f t="shared" si="5"/>
        <v>83.262520122902245</v>
      </c>
    </row>
    <row r="190" spans="2:8" x14ac:dyDescent="0.2">
      <c r="B190" s="1">
        <v>183</v>
      </c>
      <c r="C190" s="2">
        <v>3287.2402305213695</v>
      </c>
      <c r="D190" s="3"/>
      <c r="E190" s="5">
        <f t="shared" si="4"/>
        <v>60.016469114106428</v>
      </c>
      <c r="F190" s="2">
        <v>1981.0156092076072</v>
      </c>
      <c r="G190" s="3"/>
      <c r="H190" s="5">
        <f t="shared" si="5"/>
        <v>77.215666428576597</v>
      </c>
    </row>
    <row r="191" spans="2:8" x14ac:dyDescent="0.2">
      <c r="B191" s="1">
        <v>184</v>
      </c>
      <c r="C191" s="2">
        <v>3285.1419625171056</v>
      </c>
      <c r="D191" s="3"/>
      <c r="E191" s="5">
        <f t="shared" si="4"/>
        <v>59.978160189890367</v>
      </c>
      <c r="F191" s="2">
        <v>2195.9726990191039</v>
      </c>
      <c r="G191" s="3"/>
      <c r="H191" s="5">
        <f t="shared" si="5"/>
        <v>85.594224813576517</v>
      </c>
    </row>
    <row r="192" spans="2:8" x14ac:dyDescent="0.2">
      <c r="B192" s="1">
        <v>185</v>
      </c>
      <c r="C192" s="2">
        <v>3287.1813382939404</v>
      </c>
      <c r="D192" s="3"/>
      <c r="E192" s="5">
        <f t="shared" si="4"/>
        <v>60.015393894986225</v>
      </c>
      <c r="F192" s="2">
        <v>2938.9391995675792</v>
      </c>
      <c r="G192" s="3"/>
      <c r="H192" s="5">
        <f t="shared" si="5"/>
        <v>114.55343806122225</v>
      </c>
    </row>
    <row r="193" spans="2:8" x14ac:dyDescent="0.2">
      <c r="B193" s="1">
        <v>186</v>
      </c>
      <c r="C193" s="2">
        <v>3289.2105429044268</v>
      </c>
      <c r="D193" s="3"/>
      <c r="E193" s="5">
        <f t="shared" si="4"/>
        <v>60.052441901000719</v>
      </c>
      <c r="F193" s="2">
        <v>2777.2658786016691</v>
      </c>
      <c r="G193" s="3"/>
      <c r="H193" s="5">
        <f t="shared" si="5"/>
        <v>108.25176473564089</v>
      </c>
    </row>
    <row r="194" spans="2:8" x14ac:dyDescent="0.2">
      <c r="B194" s="1">
        <v>187</v>
      </c>
      <c r="C194" s="2">
        <v>3291.2293525381697</v>
      </c>
      <c r="D194" s="3"/>
      <c r="E194" s="5">
        <f t="shared" si="4"/>
        <v>60.089300121737324</v>
      </c>
      <c r="F194" s="2">
        <v>3094.5353016787735</v>
      </c>
      <c r="G194" s="3"/>
      <c r="H194" s="5">
        <f t="shared" si="5"/>
        <v>120.61823465462741</v>
      </c>
    </row>
    <row r="195" spans="2:8" x14ac:dyDescent="0.2">
      <c r="B195" s="1">
        <v>188</v>
      </c>
      <c r="C195" s="2">
        <v>3293.2373572210859</v>
      </c>
      <c r="D195" s="3"/>
      <c r="E195" s="5">
        <f t="shared" si="4"/>
        <v>60.125961072134032</v>
      </c>
      <c r="F195" s="2">
        <v>2773.23906428501</v>
      </c>
      <c r="G195" s="3"/>
      <c r="H195" s="5">
        <f t="shared" si="5"/>
        <v>108.09480829895267</v>
      </c>
    </row>
    <row r="196" spans="2:8" x14ac:dyDescent="0.2">
      <c r="B196" s="1">
        <v>189</v>
      </c>
      <c r="C196" s="2">
        <v>3295.2347945303886</v>
      </c>
      <c r="D196" s="3"/>
      <c r="E196" s="5">
        <f t="shared" si="4"/>
        <v>60.162429089733749</v>
      </c>
      <c r="F196" s="2">
        <v>3250.1739760419773</v>
      </c>
      <c r="G196" s="3"/>
      <c r="H196" s="5">
        <f t="shared" si="5"/>
        <v>126.68469062153522</v>
      </c>
    </row>
    <row r="197" spans="2:8" x14ac:dyDescent="0.2">
      <c r="B197" s="1">
        <v>190</v>
      </c>
      <c r="C197" s="2">
        <v>3297.2212572145363</v>
      </c>
      <c r="D197" s="3"/>
      <c r="E197" s="5">
        <f t="shared" si="4"/>
        <v>60.198696739181003</v>
      </c>
      <c r="F197" s="2">
        <v>2449.9669315807123</v>
      </c>
      <c r="G197" s="3"/>
      <c r="H197" s="5">
        <f t="shared" si="5"/>
        <v>95.494365854920588</v>
      </c>
    </row>
    <row r="198" spans="2:8" x14ac:dyDescent="0.2">
      <c r="B198" s="1">
        <v>191</v>
      </c>
      <c r="C198" s="2">
        <v>3295.0771707113176</v>
      </c>
      <c r="D198" s="3"/>
      <c r="E198" s="5">
        <f t="shared" si="4"/>
        <v>60.159551288172096</v>
      </c>
      <c r="F198" s="2">
        <v>1653.8904363068118</v>
      </c>
      <c r="G198" s="3"/>
      <c r="H198" s="5">
        <f t="shared" si="5"/>
        <v>64.465040883933995</v>
      </c>
    </row>
    <row r="199" spans="2:8" x14ac:dyDescent="0.2">
      <c r="B199" s="1">
        <v>192</v>
      </c>
      <c r="C199" s="2">
        <v>3290.601740496305</v>
      </c>
      <c r="D199" s="3"/>
      <c r="E199" s="5">
        <f t="shared" si="4"/>
        <v>60.077841555862982</v>
      </c>
      <c r="F199" s="2">
        <v>860.14528474470717</v>
      </c>
      <c r="G199" s="3"/>
      <c r="H199" s="5">
        <f t="shared" si="5"/>
        <v>33.526586604497567</v>
      </c>
    </row>
    <row r="200" spans="2:8" x14ac:dyDescent="0.2">
      <c r="B200" s="1">
        <v>193</v>
      </c>
      <c r="C200" s="2">
        <v>2713.9499780422011</v>
      </c>
      <c r="D200" s="3"/>
      <c r="E200" s="5">
        <f t="shared" si="4"/>
        <v>49.549678031461028</v>
      </c>
      <c r="F200" s="2">
        <v>0</v>
      </c>
      <c r="G200" s="3"/>
      <c r="H200" s="5">
        <f t="shared" si="5"/>
        <v>0</v>
      </c>
    </row>
    <row r="201" spans="2:8" x14ac:dyDescent="0.2">
      <c r="B201" s="1">
        <v>194</v>
      </c>
      <c r="C201" s="2">
        <v>2554.3058616867775</v>
      </c>
      <c r="D201" s="3"/>
      <c r="E201" s="5">
        <f t="shared" ref="E201:E264" si="6">$D$5*C201</f>
        <v>46.634991088433907</v>
      </c>
      <c r="F201" s="2">
        <v>0</v>
      </c>
      <c r="G201" s="3"/>
      <c r="H201" s="5">
        <f t="shared" ref="H201:H264" si="7">$G$5*F201</f>
        <v>0</v>
      </c>
    </row>
    <row r="202" spans="2:8" x14ac:dyDescent="0.2">
      <c r="B202" s="1">
        <v>195</v>
      </c>
      <c r="C202" s="2">
        <v>2745.8788013132853</v>
      </c>
      <c r="D202" s="3"/>
      <c r="E202" s="5">
        <f t="shared" si="6"/>
        <v>50.132615420066436</v>
      </c>
      <c r="F202" s="2">
        <v>0</v>
      </c>
      <c r="G202" s="3"/>
      <c r="H202" s="5">
        <f t="shared" si="7"/>
        <v>0</v>
      </c>
    </row>
    <row r="203" spans="2:8" x14ac:dyDescent="0.2">
      <c r="B203" s="1">
        <v>196</v>
      </c>
      <c r="C203" s="2">
        <v>2873.5940943976243</v>
      </c>
      <c r="D203" s="3"/>
      <c r="E203" s="5">
        <f t="shared" si="6"/>
        <v>52.464364974488134</v>
      </c>
      <c r="F203" s="2">
        <v>0</v>
      </c>
      <c r="G203" s="3"/>
      <c r="H203" s="5">
        <f t="shared" si="7"/>
        <v>0</v>
      </c>
    </row>
    <row r="204" spans="2:8" x14ac:dyDescent="0.2">
      <c r="B204" s="1">
        <v>197</v>
      </c>
      <c r="C204" s="2">
        <v>3170.0760247719822</v>
      </c>
      <c r="D204" s="3"/>
      <c r="E204" s="5">
        <f t="shared" si="6"/>
        <v>57.877355011538498</v>
      </c>
      <c r="F204" s="2">
        <v>0</v>
      </c>
      <c r="G204" s="3"/>
      <c r="H204" s="5">
        <f t="shared" si="7"/>
        <v>0</v>
      </c>
    </row>
    <row r="205" spans="2:8" x14ac:dyDescent="0.2">
      <c r="B205" s="1">
        <v>198</v>
      </c>
      <c r="C205" s="2">
        <v>3269.0401762804231</v>
      </c>
      <c r="D205" s="3"/>
      <c r="E205" s="5">
        <f t="shared" si="6"/>
        <v>59.684183392154921</v>
      </c>
      <c r="F205" s="2">
        <v>106.29256951996103</v>
      </c>
      <c r="G205" s="3"/>
      <c r="H205" s="5">
        <f t="shared" si="7"/>
        <v>4.1430524594263671</v>
      </c>
    </row>
    <row r="206" spans="2:8" x14ac:dyDescent="0.2">
      <c r="B206" s="1">
        <v>199</v>
      </c>
      <c r="C206" s="2">
        <v>3267.0610653526505</v>
      </c>
      <c r="D206" s="3"/>
      <c r="E206" s="5">
        <f t="shared" si="6"/>
        <v>59.64804996668537</v>
      </c>
      <c r="F206" s="2">
        <v>313.52840147613551</v>
      </c>
      <c r="G206" s="3"/>
      <c r="H206" s="5">
        <f t="shared" si="7"/>
        <v>12.220653058836664</v>
      </c>
    </row>
    <row r="207" spans="2:8" x14ac:dyDescent="0.2">
      <c r="B207" s="1">
        <v>200</v>
      </c>
      <c r="C207" s="2">
        <v>3269.2084535803829</v>
      </c>
      <c r="D207" s="3"/>
      <c r="E207" s="5">
        <f t="shared" si="6"/>
        <v>59.687255698608787</v>
      </c>
      <c r="F207" s="2">
        <v>516.63773427680508</v>
      </c>
      <c r="G207" s="3"/>
      <c r="H207" s="5">
        <f t="shared" si="7"/>
        <v>20.137411724024787</v>
      </c>
    </row>
    <row r="208" spans="2:8" x14ac:dyDescent="0.2">
      <c r="B208" s="1">
        <v>201</v>
      </c>
      <c r="C208" s="2">
        <v>3267.2346608756393</v>
      </c>
      <c r="D208" s="3"/>
      <c r="E208" s="5">
        <f t="shared" si="6"/>
        <v>59.65121937007946</v>
      </c>
      <c r="F208" s="2">
        <v>723.86824800994964</v>
      </c>
      <c r="G208" s="3"/>
      <c r="H208" s="5">
        <f t="shared" si="7"/>
        <v>28.214805030704245</v>
      </c>
    </row>
    <row r="209" spans="2:8" x14ac:dyDescent="0.2">
      <c r="B209" s="1">
        <v>202</v>
      </c>
      <c r="C209" s="2">
        <v>3262.9413554451748</v>
      </c>
      <c r="D209" s="3"/>
      <c r="E209" s="5">
        <f t="shared" si="6"/>
        <v>59.572834763328643</v>
      </c>
      <c r="F209" s="2">
        <v>933.41827446881598</v>
      </c>
      <c r="G209" s="3"/>
      <c r="H209" s="5">
        <f t="shared" si="7"/>
        <v>36.382607882908587</v>
      </c>
    </row>
    <row r="210" spans="2:8" x14ac:dyDescent="0.2">
      <c r="B210" s="1">
        <v>203</v>
      </c>
      <c r="C210" s="2">
        <v>3258.673266323804</v>
      </c>
      <c r="D210" s="3"/>
      <c r="E210" s="5">
        <f t="shared" si="6"/>
        <v>59.494910540891034</v>
      </c>
      <c r="F210" s="2">
        <v>1142.9430846185892</v>
      </c>
      <c r="G210" s="3"/>
      <c r="H210" s="5">
        <f t="shared" si="7"/>
        <v>44.549427858399369</v>
      </c>
    </row>
    <row r="211" spans="2:8" x14ac:dyDescent="0.2">
      <c r="B211" s="1">
        <v>204</v>
      </c>
      <c r="C211" s="2">
        <v>3254.4303048745346</v>
      </c>
      <c r="D211" s="3"/>
      <c r="E211" s="5">
        <f t="shared" si="6"/>
        <v>59.417445084485358</v>
      </c>
      <c r="F211" s="2">
        <v>1352.44276709626</v>
      </c>
      <c r="G211" s="3"/>
      <c r="H211" s="5">
        <f t="shared" si="7"/>
        <v>52.715268412053113</v>
      </c>
    </row>
    <row r="212" spans="2:8" x14ac:dyDescent="0.2">
      <c r="B212" s="1">
        <v>205</v>
      </c>
      <c r="C212" s="2">
        <v>3250.212382707944</v>
      </c>
      <c r="D212" s="3"/>
      <c r="E212" s="5">
        <f t="shared" si="6"/>
        <v>59.340436780350331</v>
      </c>
      <c r="F212" s="2">
        <v>1561.9174102912521</v>
      </c>
      <c r="G212" s="3"/>
      <c r="H212" s="5">
        <f t="shared" si="7"/>
        <v>60.880132989096694</v>
      </c>
    </row>
    <row r="213" spans="2:8" x14ac:dyDescent="0.2">
      <c r="B213" s="1">
        <v>206</v>
      </c>
      <c r="C213" s="2">
        <v>3246.0194116816065</v>
      </c>
      <c r="D213" s="3"/>
      <c r="E213" s="5">
        <f t="shared" si="6"/>
        <v>59.263884019234176</v>
      </c>
      <c r="F213" s="2">
        <v>1771.367102345991</v>
      </c>
      <c r="G213" s="3"/>
      <c r="H213" s="5">
        <f t="shared" si="7"/>
        <v>69.044025025129585</v>
      </c>
    </row>
    <row r="214" spans="2:8" x14ac:dyDescent="0.2">
      <c r="B214" s="1">
        <v>207</v>
      </c>
      <c r="C214" s="2">
        <v>3241.8513038995097</v>
      </c>
      <c r="D214" s="3"/>
      <c r="E214" s="5">
        <f t="shared" si="6"/>
        <v>59.187785196383977</v>
      </c>
      <c r="F214" s="2">
        <v>1980.7919311564901</v>
      </c>
      <c r="G214" s="3"/>
      <c r="H214" s="5">
        <f t="shared" si="7"/>
        <v>77.206947946146585</v>
      </c>
    </row>
    <row r="215" spans="2:8" x14ac:dyDescent="0.2">
      <c r="B215" s="1">
        <v>208</v>
      </c>
      <c r="C215" s="2">
        <v>3240.0165946371249</v>
      </c>
      <c r="D215" s="3"/>
      <c r="E215" s="5">
        <f t="shared" si="6"/>
        <v>59.154288170289895</v>
      </c>
      <c r="F215" s="2">
        <v>2187.8833614472774</v>
      </c>
      <c r="G215" s="3"/>
      <c r="H215" s="5">
        <f t="shared" si="7"/>
        <v>85.278920083683872</v>
      </c>
    </row>
    <row r="216" spans="2:8" x14ac:dyDescent="0.2">
      <c r="B216" s="1">
        <v>209</v>
      </c>
      <c r="C216" s="2">
        <v>3242.2924501202046</v>
      </c>
      <c r="D216" s="3"/>
      <c r="E216" s="5">
        <f t="shared" si="6"/>
        <v>59.195839380645694</v>
      </c>
      <c r="F216" s="2">
        <v>2025.9633896087721</v>
      </c>
      <c r="G216" s="3"/>
      <c r="H216" s="5">
        <f t="shared" si="7"/>
        <v>78.967632845211497</v>
      </c>
    </row>
    <row r="217" spans="2:8" x14ac:dyDescent="0.2">
      <c r="B217" s="1">
        <v>210</v>
      </c>
      <c r="C217" s="2">
        <v>3244.5582528088348</v>
      </c>
      <c r="D217" s="3"/>
      <c r="E217" s="5">
        <f t="shared" si="6"/>
        <v>59.237207053083573</v>
      </c>
      <c r="F217" s="2">
        <v>2342.9858196309901</v>
      </c>
      <c r="G217" s="3"/>
      <c r="H217" s="5">
        <f t="shared" si="7"/>
        <v>91.32447551378786</v>
      </c>
    </row>
    <row r="218" spans="2:8" x14ac:dyDescent="0.2">
      <c r="B218" s="1">
        <v>211</v>
      </c>
      <c r="C218" s="2">
        <v>3246.8132744151526</v>
      </c>
      <c r="D218" s="3"/>
      <c r="E218" s="5">
        <f t="shared" si="6"/>
        <v>59.278377890958645</v>
      </c>
      <c r="F218" s="2">
        <v>2660.0190307355197</v>
      </c>
      <c r="G218" s="3"/>
      <c r="H218" s="5">
        <f t="shared" si="7"/>
        <v>103.68173840543145</v>
      </c>
    </row>
    <row r="219" spans="2:8" x14ac:dyDescent="0.2">
      <c r="B219" s="1">
        <v>212</v>
      </c>
      <c r="C219" s="2">
        <v>3249.0566310703252</v>
      </c>
      <c r="D219" s="3"/>
      <c r="E219" s="5">
        <f t="shared" si="6"/>
        <v>59.319335757121578</v>
      </c>
      <c r="F219" s="2">
        <v>2817.4197904357707</v>
      </c>
      <c r="G219" s="3"/>
      <c r="H219" s="5">
        <f t="shared" si="7"/>
        <v>109.81687661440323</v>
      </c>
    </row>
    <row r="220" spans="2:8" x14ac:dyDescent="0.2">
      <c r="B220" s="1">
        <v>213</v>
      </c>
      <c r="C220" s="2">
        <v>3251.2876059182463</v>
      </c>
      <c r="D220" s="3"/>
      <c r="E220" s="5">
        <f t="shared" si="6"/>
        <v>59.36006756364165</v>
      </c>
      <c r="F220" s="2">
        <v>3294.1211646541196</v>
      </c>
      <c r="G220" s="3"/>
      <c r="H220" s="5">
        <f t="shared" si="7"/>
        <v>128.39765615324362</v>
      </c>
    </row>
    <row r="221" spans="2:8" x14ac:dyDescent="0.2">
      <c r="B221" s="1">
        <v>214</v>
      </c>
      <c r="C221" s="2">
        <v>3253.5055687145555</v>
      </c>
      <c r="D221" s="3"/>
      <c r="E221" s="5">
        <f t="shared" si="6"/>
        <v>59.400561803893702</v>
      </c>
      <c r="F221" s="2">
        <v>2493.6826200806931</v>
      </c>
      <c r="G221" s="3"/>
      <c r="H221" s="5">
        <f t="shared" si="7"/>
        <v>97.19830801732499</v>
      </c>
    </row>
    <row r="222" spans="2:8" x14ac:dyDescent="0.2">
      <c r="B222" s="1">
        <v>215</v>
      </c>
      <c r="C222" s="2">
        <v>3251.6213287892751</v>
      </c>
      <c r="D222" s="3"/>
      <c r="E222" s="5">
        <f t="shared" si="6"/>
        <v>59.366160476534297</v>
      </c>
      <c r="F222" s="2">
        <v>1697.3462782288543</v>
      </c>
      <c r="G222" s="3"/>
      <c r="H222" s="5">
        <f t="shared" si="7"/>
        <v>66.158854793642433</v>
      </c>
    </row>
    <row r="223" spans="2:8" x14ac:dyDescent="0.2">
      <c r="B223" s="1">
        <v>216</v>
      </c>
      <c r="C223" s="2">
        <v>3247.4782450460534</v>
      </c>
      <c r="D223" s="3"/>
      <c r="E223" s="5">
        <f t="shared" si="6"/>
        <v>59.290518527642483</v>
      </c>
      <c r="F223" s="2">
        <v>903.26878019495871</v>
      </c>
      <c r="G223" s="3"/>
      <c r="H223" s="5">
        <f t="shared" si="7"/>
        <v>35.20744637382203</v>
      </c>
    </row>
    <row r="224" spans="2:8" x14ac:dyDescent="0.2">
      <c r="B224" s="1">
        <v>217</v>
      </c>
      <c r="C224" s="2">
        <v>2713.9499780422011</v>
      </c>
      <c r="D224" s="3"/>
      <c r="E224" s="5">
        <f t="shared" si="6"/>
        <v>49.549678031461028</v>
      </c>
      <c r="F224" s="2">
        <v>0</v>
      </c>
      <c r="G224" s="3"/>
      <c r="H224" s="5">
        <f t="shared" si="7"/>
        <v>0</v>
      </c>
    </row>
    <row r="225" spans="2:8" x14ac:dyDescent="0.2">
      <c r="B225" s="1">
        <v>218</v>
      </c>
      <c r="C225" s="2">
        <v>2554.3058616867775</v>
      </c>
      <c r="D225" s="3"/>
      <c r="E225" s="5">
        <f t="shared" si="6"/>
        <v>46.634991088433907</v>
      </c>
      <c r="F225" s="2">
        <v>0</v>
      </c>
      <c r="G225" s="3"/>
      <c r="H225" s="5">
        <f t="shared" si="7"/>
        <v>0</v>
      </c>
    </row>
    <row r="226" spans="2:8" x14ac:dyDescent="0.2">
      <c r="B226" s="1">
        <v>219</v>
      </c>
      <c r="C226" s="2">
        <v>2713.9499780422011</v>
      </c>
      <c r="D226" s="3"/>
      <c r="E226" s="5">
        <f t="shared" si="6"/>
        <v>49.549678031461028</v>
      </c>
      <c r="F226" s="2">
        <v>0</v>
      </c>
      <c r="G226" s="3"/>
      <c r="H226" s="5">
        <f t="shared" si="7"/>
        <v>0</v>
      </c>
    </row>
    <row r="227" spans="2:8" x14ac:dyDescent="0.2">
      <c r="B227" s="1">
        <v>220</v>
      </c>
      <c r="C227" s="2">
        <v>2873.5940943976243</v>
      </c>
      <c r="D227" s="3"/>
      <c r="E227" s="5">
        <f t="shared" si="6"/>
        <v>52.464364974488134</v>
      </c>
      <c r="F227" s="2">
        <v>0</v>
      </c>
      <c r="G227" s="3"/>
      <c r="H227" s="5">
        <f t="shared" si="7"/>
        <v>0</v>
      </c>
    </row>
    <row r="228" spans="2:8" x14ac:dyDescent="0.2">
      <c r="B228" s="1">
        <v>221</v>
      </c>
      <c r="C228" s="2">
        <v>3217.4429603939211</v>
      </c>
      <c r="D228" s="3"/>
      <c r="E228" s="5">
        <f t="shared" si="6"/>
        <v>58.742152236392698</v>
      </c>
      <c r="F228" s="2">
        <v>0</v>
      </c>
      <c r="G228" s="3"/>
      <c r="H228" s="5">
        <f t="shared" si="7"/>
        <v>0</v>
      </c>
    </row>
    <row r="229" spans="2:8" x14ac:dyDescent="0.2">
      <c r="B229" s="1">
        <v>222</v>
      </c>
      <c r="C229" s="2">
        <v>3227.4339592959332</v>
      </c>
      <c r="D229" s="3"/>
      <c r="E229" s="5">
        <f t="shared" si="6"/>
        <v>58.924561928101348</v>
      </c>
      <c r="F229" s="2">
        <v>211.05470066703629</v>
      </c>
      <c r="G229" s="3"/>
      <c r="H229" s="5">
        <f t="shared" si="7"/>
        <v>8.2264517700633046</v>
      </c>
    </row>
    <row r="230" spans="2:8" x14ac:dyDescent="0.2">
      <c r="B230" s="1">
        <v>223</v>
      </c>
      <c r="C230" s="2">
        <v>3225.7001274935024</v>
      </c>
      <c r="D230" s="3"/>
      <c r="E230" s="5">
        <f t="shared" si="6"/>
        <v>58.892906662430931</v>
      </c>
      <c r="F230" s="2">
        <v>433.83423203851498</v>
      </c>
      <c r="G230" s="3"/>
      <c r="H230" s="5">
        <f t="shared" si="7"/>
        <v>16.909911860706117</v>
      </c>
    </row>
    <row r="231" spans="2:8" x14ac:dyDescent="0.2">
      <c r="B231" s="1">
        <v>224</v>
      </c>
      <c r="C231" s="2">
        <v>3228.0570985804152</v>
      </c>
      <c r="D231" s="3"/>
      <c r="E231" s="5">
        <f t="shared" si="6"/>
        <v>58.935938833042357</v>
      </c>
      <c r="F231" s="2">
        <v>652.52296052064958</v>
      </c>
      <c r="G231" s="3"/>
      <c r="H231" s="5">
        <f t="shared" si="7"/>
        <v>25.4339213797025</v>
      </c>
    </row>
    <row r="232" spans="2:8" x14ac:dyDescent="0.2">
      <c r="B232" s="1">
        <v>225</v>
      </c>
      <c r="C232" s="2">
        <v>3226.324939103311</v>
      </c>
      <c r="D232" s="3"/>
      <c r="E232" s="5">
        <f t="shared" si="6"/>
        <v>58.904314099689103</v>
      </c>
      <c r="F232" s="2">
        <v>875.30081956680215</v>
      </c>
      <c r="G232" s="3"/>
      <c r="H232" s="5">
        <f t="shared" si="7"/>
        <v>34.117316286752647</v>
      </c>
    </row>
    <row r="233" spans="2:8" x14ac:dyDescent="0.2">
      <c r="B233" s="1">
        <v>226</v>
      </c>
      <c r="C233" s="2">
        <v>3222.3549600924935</v>
      </c>
      <c r="D233" s="3"/>
      <c r="E233" s="5">
        <f t="shared" si="6"/>
        <v>58.831832593629962</v>
      </c>
      <c r="F233" s="2">
        <v>1100.3164981466671</v>
      </c>
      <c r="G233" s="3"/>
      <c r="H233" s="5">
        <f t="shared" si="7"/>
        <v>42.887936516934694</v>
      </c>
    </row>
    <row r="234" spans="2:8" x14ac:dyDescent="0.2">
      <c r="B234" s="1">
        <v>227</v>
      </c>
      <c r="C234" s="2">
        <v>3218.4089715081432</v>
      </c>
      <c r="D234" s="3"/>
      <c r="E234" s="5">
        <f t="shared" si="6"/>
        <v>58.759789090451093</v>
      </c>
      <c r="F234" s="2">
        <v>1325.3081863000657</v>
      </c>
      <c r="G234" s="3"/>
      <c r="H234" s="5">
        <f t="shared" si="7"/>
        <v>51.657621652633445</v>
      </c>
    </row>
    <row r="235" spans="2:8" x14ac:dyDescent="0.2">
      <c r="B235" s="1">
        <v>228</v>
      </c>
      <c r="C235" s="2">
        <v>3214.4868882979431</v>
      </c>
      <c r="D235" s="3"/>
      <c r="E235" s="5">
        <f t="shared" si="6"/>
        <v>58.688182037318079</v>
      </c>
      <c r="F235" s="2">
        <v>1550.2759690793141</v>
      </c>
      <c r="G235" s="3"/>
      <c r="H235" s="5">
        <f t="shared" si="7"/>
        <v>60.426375009002619</v>
      </c>
    </row>
    <row r="236" spans="2:8" x14ac:dyDescent="0.2">
      <c r="B236" s="1">
        <v>229</v>
      </c>
      <c r="C236" s="2">
        <v>3210.5886256484368</v>
      </c>
      <c r="D236" s="3"/>
      <c r="E236" s="5">
        <f t="shared" si="6"/>
        <v>58.617009885757476</v>
      </c>
      <c r="F236" s="2">
        <v>1775.2199312978678</v>
      </c>
      <c r="G236" s="3"/>
      <c r="H236" s="5">
        <f t="shared" si="7"/>
        <v>69.19419989188566</v>
      </c>
    </row>
    <row r="237" spans="2:8" x14ac:dyDescent="0.2">
      <c r="B237" s="1">
        <v>230</v>
      </c>
      <c r="C237" s="2">
        <v>3206.7140989844665</v>
      </c>
      <c r="D237" s="3"/>
      <c r="E237" s="5">
        <f t="shared" si="6"/>
        <v>58.546271091646567</v>
      </c>
      <c r="F237" s="2">
        <v>2000.1401575308873</v>
      </c>
      <c r="G237" s="3"/>
      <c r="H237" s="5">
        <f t="shared" si="7"/>
        <v>77.96109959783783</v>
      </c>
    </row>
    <row r="238" spans="2:8" x14ac:dyDescent="0.2">
      <c r="B238" s="1">
        <v>231</v>
      </c>
      <c r="C238" s="2">
        <v>3202.863223968619</v>
      </c>
      <c r="D238" s="3"/>
      <c r="E238" s="5">
        <f t="shared" si="6"/>
        <v>58.475964115203219</v>
      </c>
      <c r="F238" s="2">
        <v>2225.0367321157833</v>
      </c>
      <c r="G238" s="3"/>
      <c r="H238" s="5">
        <f t="shared" si="7"/>
        <v>86.727077414147374</v>
      </c>
    </row>
    <row r="239" spans="2:8" x14ac:dyDescent="0.2">
      <c r="B239" s="1">
        <v>232</v>
      </c>
      <c r="C239" s="2">
        <v>3201.2569213563775</v>
      </c>
      <c r="D239" s="3"/>
      <c r="E239" s="5">
        <f t="shared" si="6"/>
        <v>58.446637201331697</v>
      </c>
      <c r="F239" s="2">
        <v>2066.9989183725993</v>
      </c>
      <c r="G239" s="3"/>
      <c r="H239" s="5">
        <f t="shared" si="7"/>
        <v>80.567108228454629</v>
      </c>
    </row>
    <row r="240" spans="2:8" x14ac:dyDescent="0.2">
      <c r="B240" s="1">
        <v>233</v>
      </c>
      <c r="C240" s="2">
        <v>3203.7217660768883</v>
      </c>
      <c r="D240" s="3"/>
      <c r="E240" s="5">
        <f t="shared" si="6"/>
        <v>58.491638864327328</v>
      </c>
      <c r="F240" s="2">
        <v>2351.8934830918524</v>
      </c>
      <c r="G240" s="3"/>
      <c r="H240" s="5">
        <f t="shared" si="7"/>
        <v>91.671676801478412</v>
      </c>
    </row>
    <row r="241" spans="2:8" x14ac:dyDescent="0.2">
      <c r="B241" s="1">
        <v>234</v>
      </c>
      <c r="C241" s="2">
        <v>3206.1753334205032</v>
      </c>
      <c r="D241" s="3"/>
      <c r="E241" s="5">
        <f t="shared" si="6"/>
        <v>58.536434631710016</v>
      </c>
      <c r="F241" s="2">
        <v>2636.7993251879998</v>
      </c>
      <c r="G241" s="3"/>
      <c r="H241" s="5">
        <f t="shared" si="7"/>
        <v>102.77668494204949</v>
      </c>
    </row>
    <row r="242" spans="2:8" x14ac:dyDescent="0.2">
      <c r="B242" s="1">
        <v>235</v>
      </c>
      <c r="C242" s="2">
        <v>3208.6167780700689</v>
      </c>
      <c r="D242" s="3"/>
      <c r="E242" s="5">
        <f t="shared" si="6"/>
        <v>58.58100907018396</v>
      </c>
      <c r="F242" s="2">
        <v>3177.1478761468743</v>
      </c>
      <c r="G242" s="3"/>
      <c r="H242" s="5">
        <f t="shared" si="7"/>
        <v>123.83829257001474</v>
      </c>
    </row>
    <row r="243" spans="2:8" x14ac:dyDescent="0.2">
      <c r="B243" s="1">
        <v>236</v>
      </c>
      <c r="C243" s="2">
        <v>3211.0450192736225</v>
      </c>
      <c r="D243" s="3"/>
      <c r="E243" s="5">
        <f t="shared" si="6"/>
        <v>58.625342448025215</v>
      </c>
      <c r="F243" s="2">
        <v>3174.7196349433207</v>
      </c>
      <c r="G243" s="3"/>
      <c r="H243" s="5">
        <f t="shared" si="7"/>
        <v>123.7436450256389</v>
      </c>
    </row>
    <row r="244" spans="2:8" x14ac:dyDescent="0.2">
      <c r="B244" s="1">
        <v>237</v>
      </c>
      <c r="C244" s="2">
        <v>3213.4597893674077</v>
      </c>
      <c r="D244" s="3"/>
      <c r="E244" s="5">
        <f t="shared" si="6"/>
        <v>58.669429878388755</v>
      </c>
      <c r="F244" s="2">
        <v>3491.5930975603828</v>
      </c>
      <c r="G244" s="3"/>
      <c r="H244" s="5">
        <f t="shared" si="7"/>
        <v>136.09468126976722</v>
      </c>
    </row>
    <row r="245" spans="2:8" x14ac:dyDescent="0.2">
      <c r="B245" s="1">
        <v>238</v>
      </c>
      <c r="C245" s="2">
        <v>3215.8610331430941</v>
      </c>
      <c r="D245" s="3"/>
      <c r="E245" s="5">
        <f t="shared" si="6"/>
        <v>58.713270353313845</v>
      </c>
      <c r="F245" s="2">
        <v>2659.042448736494</v>
      </c>
      <c r="G245" s="3"/>
      <c r="H245" s="5">
        <f t="shared" si="7"/>
        <v>103.6436733697364</v>
      </c>
    </row>
    <row r="246" spans="2:8" x14ac:dyDescent="0.2">
      <c r="B246" s="1">
        <v>239</v>
      </c>
      <c r="C246" s="2">
        <v>3214.197249851095</v>
      </c>
      <c r="D246" s="3"/>
      <c r="E246" s="5">
        <f t="shared" si="6"/>
        <v>58.682893991516579</v>
      </c>
      <c r="F246" s="2">
        <v>1830.5568269802907</v>
      </c>
      <c r="G246" s="3"/>
      <c r="H246" s="5">
        <f t="shared" si="7"/>
        <v>71.351111356059349</v>
      </c>
    </row>
    <row r="247" spans="2:8" x14ac:dyDescent="0.2">
      <c r="B247" s="1">
        <v>240</v>
      </c>
      <c r="C247" s="2">
        <v>3210.3649466884899</v>
      </c>
      <c r="D247" s="3"/>
      <c r="E247" s="5">
        <f t="shared" si="6"/>
        <v>58.612926088879327</v>
      </c>
      <c r="F247" s="2">
        <v>1004.2397250946924</v>
      </c>
      <c r="G247" s="3"/>
      <c r="H247" s="5">
        <f t="shared" si="7"/>
        <v>39.143073515838637</v>
      </c>
    </row>
    <row r="248" spans="2:8" x14ac:dyDescent="0.2">
      <c r="B248" s="1">
        <v>241</v>
      </c>
      <c r="C248" s="2">
        <v>2713.9499780422011</v>
      </c>
      <c r="D248" s="3"/>
      <c r="E248" s="5">
        <f t="shared" si="6"/>
        <v>49.549678031461028</v>
      </c>
      <c r="F248" s="2">
        <v>0</v>
      </c>
      <c r="G248" s="3"/>
      <c r="H248" s="5">
        <f t="shared" si="7"/>
        <v>0</v>
      </c>
    </row>
    <row r="249" spans="2:8" x14ac:dyDescent="0.2">
      <c r="B249" s="1">
        <v>242</v>
      </c>
      <c r="C249" s="2">
        <v>2554.3058616867775</v>
      </c>
      <c r="D249" s="3"/>
      <c r="E249" s="5">
        <f t="shared" si="6"/>
        <v>46.634991088433907</v>
      </c>
      <c r="F249" s="2">
        <v>0</v>
      </c>
      <c r="G249" s="3"/>
      <c r="H249" s="5">
        <f t="shared" si="7"/>
        <v>0</v>
      </c>
    </row>
    <row r="250" spans="2:8" x14ac:dyDescent="0.2">
      <c r="B250" s="1">
        <v>243</v>
      </c>
      <c r="C250" s="2">
        <v>2713.9499780422011</v>
      </c>
      <c r="D250" s="3"/>
      <c r="E250" s="5">
        <f t="shared" si="6"/>
        <v>49.549678031461028</v>
      </c>
      <c r="F250" s="2">
        <v>0</v>
      </c>
      <c r="G250" s="3"/>
      <c r="H250" s="5">
        <f t="shared" si="7"/>
        <v>0</v>
      </c>
    </row>
    <row r="251" spans="2:8" x14ac:dyDescent="0.2">
      <c r="B251" s="1">
        <v>244</v>
      </c>
      <c r="C251" s="2">
        <v>2873.5940943976243</v>
      </c>
      <c r="D251" s="3"/>
      <c r="E251" s="5">
        <f t="shared" si="6"/>
        <v>52.464364974488134</v>
      </c>
      <c r="F251" s="2">
        <v>0</v>
      </c>
      <c r="G251" s="3"/>
      <c r="H251" s="5">
        <f t="shared" si="7"/>
        <v>0</v>
      </c>
    </row>
    <row r="252" spans="2:8" x14ac:dyDescent="0.2">
      <c r="B252" s="1">
        <v>245</v>
      </c>
      <c r="C252" s="2">
        <v>3192.8823271084716</v>
      </c>
      <c r="D252" s="3"/>
      <c r="E252" s="5">
        <f t="shared" si="6"/>
        <v>58.293738860542376</v>
      </c>
      <c r="F252" s="2">
        <v>0</v>
      </c>
      <c r="G252" s="3"/>
      <c r="H252" s="5">
        <f t="shared" si="7"/>
        <v>0</v>
      </c>
    </row>
    <row r="253" spans="2:8" x14ac:dyDescent="0.2">
      <c r="B253" s="1">
        <v>246</v>
      </c>
      <c r="C253" s="2">
        <v>3191.8275834842561</v>
      </c>
      <c r="D253" s="3"/>
      <c r="E253" s="5">
        <f t="shared" si="6"/>
        <v>58.274481981304199</v>
      </c>
      <c r="F253" s="2">
        <v>213.91356543144684</v>
      </c>
      <c r="G253" s="3"/>
      <c r="H253" s="5">
        <f t="shared" si="7"/>
        <v>8.337884081341981</v>
      </c>
    </row>
    <row r="254" spans="2:8" x14ac:dyDescent="0.2">
      <c r="B254" s="1">
        <v>247</v>
      </c>
      <c r="C254" s="2">
        <v>3190.3144009819034</v>
      </c>
      <c r="D254" s="3"/>
      <c r="E254" s="5">
        <f t="shared" si="6"/>
        <v>58.246855198791245</v>
      </c>
      <c r="F254" s="2">
        <v>428.28556974103049</v>
      </c>
      <c r="G254" s="3"/>
      <c r="H254" s="5">
        <f t="shared" si="7"/>
        <v>16.693637109969167</v>
      </c>
    </row>
    <row r="255" spans="2:8" x14ac:dyDescent="0.2">
      <c r="B255" s="1">
        <v>248</v>
      </c>
      <c r="C255" s="2">
        <v>3192.8590023527186</v>
      </c>
      <c r="D255" s="3"/>
      <c r="E255" s="5">
        <f t="shared" si="6"/>
        <v>58.293313011080492</v>
      </c>
      <c r="F255" s="2">
        <v>638.59979017744718</v>
      </c>
      <c r="G255" s="3"/>
      <c r="H255" s="5">
        <f t="shared" si="7"/>
        <v>24.891226576162314</v>
      </c>
    </row>
    <row r="256" spans="2:8" x14ac:dyDescent="0.2">
      <c r="B256" s="1">
        <v>249</v>
      </c>
      <c r="C256" s="2">
        <v>3195.3988810698424</v>
      </c>
      <c r="D256" s="3"/>
      <c r="E256" s="5">
        <f t="shared" si="6"/>
        <v>58.339684599978838</v>
      </c>
      <c r="F256" s="2">
        <v>848.91873326755422</v>
      </c>
      <c r="G256" s="3"/>
      <c r="H256" s="5">
        <f t="shared" si="7"/>
        <v>33.089000121092809</v>
      </c>
    </row>
    <row r="257" spans="2:8" x14ac:dyDescent="0.2">
      <c r="B257" s="1">
        <v>250</v>
      </c>
      <c r="C257" s="2">
        <v>3197.9335106351978</v>
      </c>
      <c r="D257" s="3"/>
      <c r="E257" s="5">
        <f t="shared" si="6"/>
        <v>58.385960352998787</v>
      </c>
      <c r="F257" s="2">
        <v>1059.2429255094307</v>
      </c>
      <c r="G257" s="3"/>
      <c r="H257" s="5">
        <f t="shared" si="7"/>
        <v>41.286978266507106</v>
      </c>
    </row>
    <row r="258" spans="2:8" x14ac:dyDescent="0.2">
      <c r="B258" s="1">
        <v>251</v>
      </c>
      <c r="C258" s="2">
        <v>3200.4623677440973</v>
      </c>
      <c r="D258" s="3"/>
      <c r="E258" s="5">
        <f t="shared" si="6"/>
        <v>58.432130715955857</v>
      </c>
      <c r="F258" s="2">
        <v>1269.5728902077631</v>
      </c>
      <c r="G258" s="3"/>
      <c r="H258" s="5">
        <f t="shared" si="7"/>
        <v>49.48518140968018</v>
      </c>
    </row>
    <row r="259" spans="2:8" x14ac:dyDescent="0.2">
      <c r="B259" s="1">
        <v>252</v>
      </c>
      <c r="C259" s="2">
        <v>3202.9849323198773</v>
      </c>
      <c r="D259" s="3"/>
      <c r="E259" s="5">
        <f t="shared" si="6"/>
        <v>58.478186193600898</v>
      </c>
      <c r="F259" s="2">
        <v>1479.9091474392139</v>
      </c>
      <c r="G259" s="3"/>
      <c r="H259" s="5">
        <f t="shared" si="7"/>
        <v>57.683629822065676</v>
      </c>
    </row>
    <row r="260" spans="2:8" x14ac:dyDescent="0.2">
      <c r="B260" s="1">
        <v>253</v>
      </c>
      <c r="C260" s="2">
        <v>3205.5006875481877</v>
      </c>
      <c r="D260" s="3"/>
      <c r="E260" s="5">
        <f t="shared" si="6"/>
        <v>58.524117350246115</v>
      </c>
      <c r="F260" s="2">
        <v>1690.2522140181345</v>
      </c>
      <c r="G260" s="3"/>
      <c r="H260" s="5">
        <f t="shared" si="7"/>
        <v>65.882343647959459</v>
      </c>
    </row>
    <row r="261" spans="2:8" x14ac:dyDescent="0.2">
      <c r="B261" s="1">
        <v>254</v>
      </c>
      <c r="C261" s="2">
        <v>3208.0091199110179</v>
      </c>
      <c r="D261" s="3"/>
      <c r="E261" s="5">
        <f t="shared" si="6"/>
        <v>58.569914810386337</v>
      </c>
      <c r="F261" s="2">
        <v>1900.602603462537</v>
      </c>
      <c r="G261" s="3"/>
      <c r="H261" s="5">
        <f t="shared" si="7"/>
        <v>74.081342903173294</v>
      </c>
    </row>
    <row r="262" spans="2:8" x14ac:dyDescent="0.2">
      <c r="B262" s="1">
        <v>255</v>
      </c>
      <c r="C262" s="2">
        <v>3210.5099075115813</v>
      </c>
      <c r="D262" s="3"/>
      <c r="E262" s="5">
        <f t="shared" si="6"/>
        <v>58.615572697022245</v>
      </c>
      <c r="F262" s="2">
        <v>1738.457699506549</v>
      </c>
      <c r="G262" s="3"/>
      <c r="H262" s="5">
        <f t="shared" si="7"/>
        <v>67.761288301500002</v>
      </c>
    </row>
    <row r="263" spans="2:8" x14ac:dyDescent="0.2">
      <c r="B263" s="1">
        <v>256</v>
      </c>
      <c r="C263" s="2">
        <v>3213.0032136770765</v>
      </c>
      <c r="D263" s="3"/>
      <c r="E263" s="5">
        <f t="shared" si="6"/>
        <v>58.661093992084311</v>
      </c>
      <c r="F263" s="2">
        <v>2108.4673315037103</v>
      </c>
      <c r="G263" s="3"/>
      <c r="H263" s="5">
        <f t="shared" si="7"/>
        <v>82.183456499902647</v>
      </c>
    </row>
    <row r="264" spans="2:8" x14ac:dyDescent="0.2">
      <c r="B264" s="1">
        <v>257</v>
      </c>
      <c r="C264" s="2">
        <v>3215.4883143783727</v>
      </c>
      <c r="D264" s="3"/>
      <c r="E264" s="5">
        <f t="shared" si="6"/>
        <v>58.706465476681018</v>
      </c>
      <c r="F264" s="2">
        <v>2478.4851689650686</v>
      </c>
      <c r="G264" s="3"/>
      <c r="H264" s="5">
        <f t="shared" si="7"/>
        <v>96.605944529397675</v>
      </c>
    </row>
    <row r="265" spans="2:8" x14ac:dyDescent="0.2">
      <c r="B265" s="1">
        <v>258</v>
      </c>
      <c r="C265" s="2">
        <v>3217.9642221248232</v>
      </c>
      <c r="D265" s="3"/>
      <c r="E265" s="5">
        <f t="shared" ref="E265:E328" si="8">$D$5*C265</f>
        <v>58.751669121797839</v>
      </c>
      <c r="F265" s="2">
        <v>2848.5121993812727</v>
      </c>
      <c r="G265" s="3"/>
      <c r="H265" s="5">
        <f t="shared" ref="H265:H328" si="9">$G$5*F265</f>
        <v>111.02879088021615</v>
      </c>
    </row>
    <row r="266" spans="2:8" x14ac:dyDescent="0.2">
      <c r="B266" s="1">
        <v>259</v>
      </c>
      <c r="C266" s="2">
        <v>3220.4303660438209</v>
      </c>
      <c r="D266" s="3"/>
      <c r="E266" s="5">
        <f t="shared" si="8"/>
        <v>58.796694504783616</v>
      </c>
      <c r="F266" s="2">
        <v>2407.0247354848607</v>
      </c>
      <c r="G266" s="3"/>
      <c r="H266" s="5">
        <f t="shared" si="9"/>
        <v>93.820572738886483</v>
      </c>
    </row>
    <row r="267" spans="2:8" x14ac:dyDescent="0.2">
      <c r="B267" s="1">
        <v>260</v>
      </c>
      <c r="C267" s="2">
        <v>3222.8878175144328</v>
      </c>
      <c r="D267" s="3"/>
      <c r="E267" s="5">
        <f t="shared" si="8"/>
        <v>58.841561186237563</v>
      </c>
      <c r="F267" s="2">
        <v>1965.5459640368335</v>
      </c>
      <c r="G267" s="3"/>
      <c r="H267" s="5">
        <f t="shared" si="9"/>
        <v>76.612693410230378</v>
      </c>
    </row>
    <row r="268" spans="2:8" x14ac:dyDescent="0.2">
      <c r="B268" s="1">
        <v>261</v>
      </c>
      <c r="C268" s="2">
        <v>3225.3380507086035</v>
      </c>
      <c r="D268" s="3"/>
      <c r="E268" s="5">
        <f t="shared" si="8"/>
        <v>58.886296080710721</v>
      </c>
      <c r="F268" s="2">
        <v>1524.0744108652475</v>
      </c>
      <c r="G268" s="3"/>
      <c r="H268" s="5">
        <f t="shared" si="9"/>
        <v>59.405095434241694</v>
      </c>
    </row>
    <row r="269" spans="2:8" x14ac:dyDescent="0.2">
      <c r="B269" s="1">
        <v>262</v>
      </c>
      <c r="C269" s="2">
        <v>3227.7825310363773</v>
      </c>
      <c r="D269" s="3"/>
      <c r="E269" s="5">
        <f t="shared" si="8"/>
        <v>58.930925942784604</v>
      </c>
      <c r="F269" s="2">
        <v>1082.6086105600602</v>
      </c>
      <c r="G269" s="3"/>
      <c r="H269" s="5">
        <f t="shared" si="9"/>
        <v>42.197721692434101</v>
      </c>
    </row>
    <row r="270" spans="2:8" x14ac:dyDescent="0.2">
      <c r="B270" s="1">
        <v>263</v>
      </c>
      <c r="C270" s="2">
        <v>3226.1796597097164</v>
      </c>
      <c r="D270" s="3"/>
      <c r="E270" s="5">
        <f t="shared" si="8"/>
        <v>58.901661675276173</v>
      </c>
      <c r="F270" s="2">
        <v>645.19016190930643</v>
      </c>
      <c r="G270" s="3"/>
      <c r="H270" s="5">
        <f t="shared" si="9"/>
        <v>25.148104887934483</v>
      </c>
    </row>
    <row r="271" spans="2:8" x14ac:dyDescent="0.2">
      <c r="B271" s="1">
        <v>264</v>
      </c>
      <c r="C271" s="2">
        <v>3192.8823271084716</v>
      </c>
      <c r="D271" s="3"/>
      <c r="E271" s="5">
        <f t="shared" si="8"/>
        <v>58.293738860542376</v>
      </c>
      <c r="F271" s="2">
        <v>0</v>
      </c>
      <c r="G271" s="3"/>
      <c r="H271" s="5">
        <f t="shared" si="9"/>
        <v>0</v>
      </c>
    </row>
    <row r="272" spans="2:8" x14ac:dyDescent="0.2">
      <c r="B272" s="1">
        <v>265</v>
      </c>
      <c r="C272" s="2">
        <v>2713.9499780422011</v>
      </c>
      <c r="D272" s="3"/>
      <c r="E272" s="5">
        <f t="shared" si="8"/>
        <v>49.549678031461028</v>
      </c>
      <c r="F272" s="2">
        <v>0</v>
      </c>
      <c r="G272" s="3"/>
      <c r="H272" s="5">
        <f t="shared" si="9"/>
        <v>0</v>
      </c>
    </row>
    <row r="273" spans="2:8" x14ac:dyDescent="0.2">
      <c r="B273" s="1">
        <v>266</v>
      </c>
      <c r="C273" s="2">
        <v>2554.3058616867775</v>
      </c>
      <c r="D273" s="3"/>
      <c r="E273" s="5">
        <f t="shared" si="8"/>
        <v>46.634991088433907</v>
      </c>
      <c r="F273" s="2">
        <v>0</v>
      </c>
      <c r="G273" s="3"/>
      <c r="H273" s="5">
        <f t="shared" si="9"/>
        <v>0</v>
      </c>
    </row>
    <row r="274" spans="2:8" x14ac:dyDescent="0.2">
      <c r="B274" s="1">
        <v>267</v>
      </c>
      <c r="C274" s="2">
        <v>2713.9499780422011</v>
      </c>
      <c r="D274" s="3"/>
      <c r="E274" s="5">
        <f t="shared" si="8"/>
        <v>49.549678031461028</v>
      </c>
      <c r="F274" s="2">
        <v>0</v>
      </c>
      <c r="G274" s="3"/>
      <c r="H274" s="5">
        <f t="shared" si="9"/>
        <v>0</v>
      </c>
    </row>
    <row r="275" spans="2:8" x14ac:dyDescent="0.2">
      <c r="B275" s="1">
        <v>268</v>
      </c>
      <c r="C275" s="2">
        <v>2873.5940943976243</v>
      </c>
      <c r="D275" s="3"/>
      <c r="E275" s="5">
        <f t="shared" si="8"/>
        <v>52.464364974488134</v>
      </c>
      <c r="F275" s="2">
        <v>0</v>
      </c>
      <c r="G275" s="3"/>
      <c r="H275" s="5">
        <f t="shared" si="9"/>
        <v>0</v>
      </c>
    </row>
    <row r="276" spans="2:8" x14ac:dyDescent="0.2">
      <c r="B276" s="1">
        <v>269</v>
      </c>
      <c r="C276" s="2">
        <v>3163.8561241347584</v>
      </c>
      <c r="D276" s="3"/>
      <c r="E276" s="5">
        <f t="shared" si="8"/>
        <v>57.763795779991995</v>
      </c>
      <c r="F276" s="2">
        <v>0</v>
      </c>
      <c r="G276" s="3"/>
      <c r="H276" s="5">
        <f t="shared" si="9"/>
        <v>0</v>
      </c>
    </row>
    <row r="277" spans="2:8" x14ac:dyDescent="0.2">
      <c r="B277" s="1">
        <v>270</v>
      </c>
      <c r="C277" s="2">
        <v>3204.9710194973286</v>
      </c>
      <c r="D277" s="3"/>
      <c r="E277" s="5">
        <f t="shared" si="8"/>
        <v>58.514446987271128</v>
      </c>
      <c r="F277" s="2">
        <v>162.06852545342326</v>
      </c>
      <c r="G277" s="3"/>
      <c r="H277" s="5">
        <f t="shared" si="9"/>
        <v>6.3170775342797088</v>
      </c>
    </row>
    <row r="278" spans="2:8" x14ac:dyDescent="0.2">
      <c r="B278" s="1">
        <v>271</v>
      </c>
      <c r="C278" s="2">
        <v>3203.5322311610453</v>
      </c>
      <c r="D278" s="3"/>
      <c r="E278" s="5">
        <f t="shared" si="8"/>
        <v>58.488178449016907</v>
      </c>
      <c r="F278" s="2">
        <v>366.69073460570007</v>
      </c>
      <c r="G278" s="3"/>
      <c r="H278" s="5">
        <f t="shared" si="9"/>
        <v>14.292804818983209</v>
      </c>
    </row>
    <row r="279" spans="2:8" x14ac:dyDescent="0.2">
      <c r="B279" s="1">
        <v>272</v>
      </c>
      <c r="C279" s="2">
        <v>3206.1504977692193</v>
      </c>
      <c r="D279" s="3"/>
      <c r="E279" s="5">
        <f t="shared" si="8"/>
        <v>58.535981197219776</v>
      </c>
      <c r="F279" s="2">
        <v>567.25588881351996</v>
      </c>
      <c r="G279" s="3"/>
      <c r="H279" s="5">
        <f t="shared" si="9"/>
        <v>22.110396953303468</v>
      </c>
    </row>
    <row r="280" spans="2:8" x14ac:dyDescent="0.2">
      <c r="B280" s="1">
        <v>273</v>
      </c>
      <c r="C280" s="2">
        <v>3208.7664219993421</v>
      </c>
      <c r="D280" s="3"/>
      <c r="E280" s="5">
        <f t="shared" si="8"/>
        <v>58.583741179682974</v>
      </c>
      <c r="F280" s="2">
        <v>767.8233853993911</v>
      </c>
      <c r="G280" s="3"/>
      <c r="H280" s="5">
        <f t="shared" si="9"/>
        <v>29.928080388409757</v>
      </c>
    </row>
    <row r="281" spans="2:8" x14ac:dyDescent="0.2">
      <c r="B281" s="1">
        <v>274</v>
      </c>
      <c r="C281" s="2">
        <v>3211.3794915803678</v>
      </c>
      <c r="D281" s="3"/>
      <c r="E281" s="5">
        <f t="shared" si="8"/>
        <v>58.631449043667644</v>
      </c>
      <c r="F281" s="2">
        <v>968.39373663435845</v>
      </c>
      <c r="G281" s="3"/>
      <c r="H281" s="5">
        <f t="shared" si="9"/>
        <v>37.745875091509774</v>
      </c>
    </row>
    <row r="282" spans="2:8" x14ac:dyDescent="0.2">
      <c r="B282" s="1">
        <v>275</v>
      </c>
      <c r="C282" s="2">
        <v>3213.989197063916</v>
      </c>
      <c r="D282" s="3"/>
      <c r="E282" s="5">
        <f t="shared" si="8"/>
        <v>58.679095487969477</v>
      </c>
      <c r="F282" s="2">
        <v>1168.9674519668038</v>
      </c>
      <c r="G282" s="3"/>
      <c r="H282" s="5">
        <f t="shared" si="9"/>
        <v>45.563800919789969</v>
      </c>
    </row>
    <row r="283" spans="2:8" x14ac:dyDescent="0.2">
      <c r="B283" s="1">
        <v>276</v>
      </c>
      <c r="C283" s="2">
        <v>3216.5950318586742</v>
      </c>
      <c r="D283" s="3"/>
      <c r="E283" s="5">
        <f t="shared" si="8"/>
        <v>58.726671263546812</v>
      </c>
      <c r="F283" s="2">
        <v>1369.5450379880399</v>
      </c>
      <c r="G283" s="3"/>
      <c r="H283" s="5">
        <f t="shared" si="9"/>
        <v>53.38187761907448</v>
      </c>
    </row>
    <row r="284" spans="2:8" x14ac:dyDescent="0.2">
      <c r="B284" s="1">
        <v>277</v>
      </c>
      <c r="C284" s="2">
        <v>3219.1964922645061</v>
      </c>
      <c r="D284" s="3"/>
      <c r="E284" s="5">
        <f t="shared" si="8"/>
        <v>58.774167174143344</v>
      </c>
      <c r="F284" s="2">
        <v>1570.1269983982024</v>
      </c>
      <c r="G284" s="3"/>
      <c r="H284" s="5">
        <f t="shared" si="9"/>
        <v>61.200124822495653</v>
      </c>
    </row>
    <row r="285" spans="2:8" x14ac:dyDescent="0.2">
      <c r="B285" s="1">
        <v>278</v>
      </c>
      <c r="C285" s="2">
        <v>3221.7932263227344</v>
      </c>
      <c r="D285" s="3"/>
      <c r="E285" s="5">
        <f t="shared" si="8"/>
        <v>58.821576793907731</v>
      </c>
      <c r="F285" s="2">
        <v>1476.3050549940167</v>
      </c>
      <c r="G285" s="3"/>
      <c r="H285" s="5">
        <f t="shared" si="9"/>
        <v>57.543150161666929</v>
      </c>
    </row>
    <row r="286" spans="2:8" x14ac:dyDescent="0.2">
      <c r="B286" s="1">
        <v>279</v>
      </c>
      <c r="C286" s="2">
        <v>3224.3854784678947</v>
      </c>
      <c r="D286" s="3"/>
      <c r="E286" s="5">
        <f t="shared" si="8"/>
        <v>58.868904585579749</v>
      </c>
      <c r="F286" s="2">
        <v>1382.4875935029008</v>
      </c>
      <c r="G286" s="3"/>
      <c r="H286" s="5">
        <f t="shared" si="9"/>
        <v>53.886350196031394</v>
      </c>
    </row>
    <row r="287" spans="2:8" x14ac:dyDescent="0.2">
      <c r="B287" s="1">
        <v>280</v>
      </c>
      <c r="C287" s="2">
        <v>3226.9736398814803</v>
      </c>
      <c r="D287" s="3"/>
      <c r="E287" s="5">
        <f t="shared" si="8"/>
        <v>58.916157691117505</v>
      </c>
      <c r="F287" s="2">
        <v>1288.6742227433588</v>
      </c>
      <c r="G287" s="3"/>
      <c r="H287" s="5">
        <f t="shared" si="9"/>
        <v>50.229709678187781</v>
      </c>
    </row>
    <row r="288" spans="2:8" x14ac:dyDescent="0.2">
      <c r="B288" s="1">
        <v>281</v>
      </c>
      <c r="C288" s="2">
        <v>3229.5580991965803</v>
      </c>
      <c r="D288" s="3"/>
      <c r="E288" s="5">
        <f t="shared" si="8"/>
        <v>58.963343205951858</v>
      </c>
      <c r="F288" s="2">
        <v>1194.8645540823022</v>
      </c>
      <c r="G288" s="3"/>
      <c r="H288" s="5">
        <f t="shared" si="9"/>
        <v>46.573213460066199</v>
      </c>
    </row>
    <row r="289" spans="2:8" x14ac:dyDescent="0.2">
      <c r="B289" s="1">
        <v>282</v>
      </c>
      <c r="C289" s="2">
        <v>3232.1392424740757</v>
      </c>
      <c r="D289" s="3"/>
      <c r="E289" s="5">
        <f t="shared" si="8"/>
        <v>59.010468178551847</v>
      </c>
      <c r="F289" s="2">
        <v>1101.0582014588504</v>
      </c>
      <c r="G289" s="3"/>
      <c r="H289" s="5">
        <f t="shared" si="9"/>
        <v>42.916846493855786</v>
      </c>
    </row>
    <row r="290" spans="2:8" x14ac:dyDescent="0.2">
      <c r="B290" s="1">
        <v>283</v>
      </c>
      <c r="C290" s="2">
        <v>3235.5989616747784</v>
      </c>
      <c r="D290" s="3"/>
      <c r="E290" s="5">
        <f t="shared" si="8"/>
        <v>59.073633665705643</v>
      </c>
      <c r="F290" s="2">
        <v>1006.3732729121912</v>
      </c>
      <c r="G290" s="3"/>
      <c r="H290" s="5">
        <f t="shared" si="9"/>
        <v>39.226234554964066</v>
      </c>
    </row>
    <row r="291" spans="2:8" x14ac:dyDescent="0.2">
      <c r="B291" s="1">
        <v>284</v>
      </c>
      <c r="C291" s="2">
        <v>3239.0544624188715</v>
      </c>
      <c r="D291" s="3"/>
      <c r="E291" s="5">
        <f t="shared" si="8"/>
        <v>59.136722134797772</v>
      </c>
      <c r="F291" s="2">
        <v>911.69256282214155</v>
      </c>
      <c r="G291" s="3"/>
      <c r="H291" s="5">
        <f t="shared" si="9"/>
        <v>35.535787042307504</v>
      </c>
    </row>
    <row r="292" spans="2:8" x14ac:dyDescent="0.2">
      <c r="B292" s="1">
        <v>285</v>
      </c>
      <c r="C292" s="2">
        <v>3242.5059201464273</v>
      </c>
      <c r="D292" s="3"/>
      <c r="E292" s="5">
        <f t="shared" si="8"/>
        <v>59.199736788908289</v>
      </c>
      <c r="F292" s="2">
        <v>1227.529337805433</v>
      </c>
      <c r="G292" s="3"/>
      <c r="H292" s="5">
        <f t="shared" si="9"/>
        <v>47.846415464232003</v>
      </c>
    </row>
    <row r="293" spans="2:8" x14ac:dyDescent="0.2">
      <c r="B293" s="1">
        <v>286</v>
      </c>
      <c r="C293" s="2">
        <v>3245.9530836277704</v>
      </c>
      <c r="D293" s="3"/>
      <c r="E293" s="5">
        <f t="shared" si="8"/>
        <v>59.262673041235821</v>
      </c>
      <c r="F293" s="2">
        <v>745.14982525781852</v>
      </c>
      <c r="G293" s="3"/>
      <c r="H293" s="5">
        <f t="shared" si="9"/>
        <v>29.044314481416109</v>
      </c>
    </row>
    <row r="294" spans="2:8" x14ac:dyDescent="0.2">
      <c r="B294" s="1">
        <v>287</v>
      </c>
      <c r="C294" s="2">
        <v>3245.336389618094</v>
      </c>
      <c r="D294" s="3"/>
      <c r="E294" s="5">
        <f t="shared" si="8"/>
        <v>59.251413810273341</v>
      </c>
      <c r="F294" s="2">
        <v>266.83417020122488</v>
      </c>
      <c r="G294" s="3"/>
      <c r="H294" s="5">
        <f t="shared" si="9"/>
        <v>10.400613797407273</v>
      </c>
    </row>
    <row r="295" spans="2:8" x14ac:dyDescent="0.2">
      <c r="B295" s="1">
        <v>288</v>
      </c>
      <c r="C295" s="2">
        <v>3033.238210753048</v>
      </c>
      <c r="D295" s="3"/>
      <c r="E295" s="5">
        <f t="shared" si="8"/>
        <v>55.379051917515255</v>
      </c>
      <c r="F295" s="2">
        <v>0</v>
      </c>
      <c r="G295" s="3"/>
      <c r="H295" s="5">
        <f t="shared" si="9"/>
        <v>0</v>
      </c>
    </row>
    <row r="296" spans="2:8" x14ac:dyDescent="0.2">
      <c r="B296" s="1">
        <v>289</v>
      </c>
      <c r="C296" s="2">
        <v>2554.3058616867775</v>
      </c>
      <c r="D296" s="3"/>
      <c r="E296" s="5">
        <f t="shared" si="8"/>
        <v>46.634991088433907</v>
      </c>
      <c r="F296" s="2">
        <v>0</v>
      </c>
      <c r="G296" s="3"/>
      <c r="H296" s="5">
        <f t="shared" si="9"/>
        <v>0</v>
      </c>
    </row>
    <row r="297" spans="2:8" x14ac:dyDescent="0.2">
      <c r="B297" s="1">
        <v>290</v>
      </c>
      <c r="C297" s="2">
        <v>2554.3058616867775</v>
      </c>
      <c r="D297" s="3"/>
      <c r="E297" s="5">
        <f t="shared" si="8"/>
        <v>46.634991088433907</v>
      </c>
      <c r="F297" s="2">
        <v>0</v>
      </c>
      <c r="G297" s="3"/>
      <c r="H297" s="5">
        <f t="shared" si="9"/>
        <v>0</v>
      </c>
    </row>
    <row r="298" spans="2:8" x14ac:dyDescent="0.2">
      <c r="B298" s="1">
        <v>291</v>
      </c>
      <c r="C298" s="2">
        <v>2736.7562803786905</v>
      </c>
      <c r="D298" s="3"/>
      <c r="E298" s="5">
        <f t="shared" si="8"/>
        <v>49.966061880464906</v>
      </c>
      <c r="F298" s="2">
        <v>0</v>
      </c>
      <c r="G298" s="3"/>
      <c r="H298" s="5">
        <f t="shared" si="9"/>
        <v>0</v>
      </c>
    </row>
    <row r="299" spans="2:8" x14ac:dyDescent="0.2">
      <c r="B299" s="1">
        <v>292</v>
      </c>
      <c r="C299" s="2">
        <v>2919.2066990706026</v>
      </c>
      <c r="D299" s="3"/>
      <c r="E299" s="5">
        <f t="shared" si="8"/>
        <v>53.297132672495884</v>
      </c>
      <c r="F299" s="2">
        <v>0</v>
      </c>
      <c r="G299" s="3"/>
      <c r="H299" s="5">
        <f t="shared" si="9"/>
        <v>0</v>
      </c>
    </row>
    <row r="300" spans="2:8" x14ac:dyDescent="0.2">
      <c r="B300" s="1">
        <v>293</v>
      </c>
      <c r="C300" s="2">
        <v>3101.6571177625156</v>
      </c>
      <c r="D300" s="3"/>
      <c r="E300" s="5">
        <f t="shared" si="8"/>
        <v>56.628203464526884</v>
      </c>
      <c r="F300" s="2">
        <v>0</v>
      </c>
      <c r="G300" s="3"/>
      <c r="H300" s="5">
        <f t="shared" si="9"/>
        <v>0</v>
      </c>
    </row>
    <row r="301" spans="2:8" x14ac:dyDescent="0.2">
      <c r="B301" s="1">
        <v>294</v>
      </c>
      <c r="C301" s="2">
        <v>3231.5900287023228</v>
      </c>
      <c r="D301" s="3"/>
      <c r="E301" s="5">
        <f t="shared" si="8"/>
        <v>59.000440961476741</v>
      </c>
      <c r="F301" s="2">
        <v>52.517507752105757</v>
      </c>
      <c r="G301" s="3"/>
      <c r="H301" s="5">
        <f t="shared" si="9"/>
        <v>2.0470178737606344</v>
      </c>
    </row>
    <row r="302" spans="2:8" x14ac:dyDescent="0.2">
      <c r="B302" s="1">
        <v>295</v>
      </c>
      <c r="C302" s="2">
        <v>3231.1331401654138</v>
      </c>
      <c r="D302" s="3"/>
      <c r="E302" s="5">
        <f t="shared" si="8"/>
        <v>58.992099363406304</v>
      </c>
      <c r="F302" s="2">
        <v>235.42481498092729</v>
      </c>
      <c r="G302" s="3"/>
      <c r="H302" s="5">
        <f t="shared" si="9"/>
        <v>9.1763456572903603</v>
      </c>
    </row>
    <row r="303" spans="2:8" x14ac:dyDescent="0.2">
      <c r="B303" s="1">
        <v>296</v>
      </c>
      <c r="C303" s="2">
        <v>3234.7565289095178</v>
      </c>
      <c r="D303" s="3"/>
      <c r="E303" s="5">
        <f t="shared" si="8"/>
        <v>59.058253031346304</v>
      </c>
      <c r="F303" s="2">
        <v>414.25184492873586</v>
      </c>
      <c r="G303" s="3"/>
      <c r="H303" s="5">
        <f t="shared" si="9"/>
        <v>16.14663313442249</v>
      </c>
    </row>
    <row r="304" spans="2:8" x14ac:dyDescent="0.2">
      <c r="B304" s="1">
        <v>297</v>
      </c>
      <c r="C304" s="2">
        <v>3234.3039631829297</v>
      </c>
      <c r="D304" s="3"/>
      <c r="E304" s="5">
        <f t="shared" si="8"/>
        <v>59.049990356565282</v>
      </c>
      <c r="F304" s="2">
        <v>597.15482934723696</v>
      </c>
      <c r="G304" s="3"/>
      <c r="H304" s="5">
        <f t="shared" si="9"/>
        <v>23.275792424237082</v>
      </c>
    </row>
    <row r="305" spans="2:8" x14ac:dyDescent="0.2">
      <c r="B305" s="1">
        <v>298</v>
      </c>
      <c r="C305" s="2">
        <v>3231.6338337157958</v>
      </c>
      <c r="D305" s="3"/>
      <c r="E305" s="5">
        <f t="shared" si="8"/>
        <v>59.001240727254043</v>
      </c>
      <c r="F305" s="2">
        <v>782.27537750628335</v>
      </c>
      <c r="G305" s="3"/>
      <c r="H305" s="5">
        <f t="shared" si="9"/>
        <v>30.491387510558368</v>
      </c>
    </row>
    <row r="306" spans="2:8" x14ac:dyDescent="0.2">
      <c r="B306" s="1">
        <v>299</v>
      </c>
      <c r="C306" s="2">
        <v>3228.9840541613771</v>
      </c>
      <c r="D306" s="3"/>
      <c r="E306" s="5">
        <f t="shared" si="8"/>
        <v>58.952862634496967</v>
      </c>
      <c r="F306" s="2">
        <v>967.37557575261462</v>
      </c>
      <c r="G306" s="3"/>
      <c r="H306" s="5">
        <f t="shared" si="9"/>
        <v>37.706189401679794</v>
      </c>
    </row>
    <row r="307" spans="2:8" x14ac:dyDescent="0.2">
      <c r="B307" s="1">
        <v>300</v>
      </c>
      <c r="C307" s="2">
        <v>3226.3545479659442</v>
      </c>
      <c r="D307" s="3"/>
      <c r="E307" s="5">
        <f t="shared" si="8"/>
        <v>58.904854680621774</v>
      </c>
      <c r="F307" s="2">
        <v>1152.4555006399605</v>
      </c>
      <c r="G307" s="3"/>
      <c r="H307" s="5">
        <f t="shared" si="9"/>
        <v>44.920201081498739</v>
      </c>
    </row>
    <row r="308" spans="2:8" x14ac:dyDescent="0.2">
      <c r="B308" s="1">
        <v>301</v>
      </c>
      <c r="C308" s="2">
        <v>3223.7452387986136</v>
      </c>
      <c r="D308" s="3"/>
      <c r="E308" s="5">
        <f t="shared" si="8"/>
        <v>58.857215472024777</v>
      </c>
      <c r="F308" s="2">
        <v>1246.2900191532467</v>
      </c>
      <c r="G308" s="3"/>
      <c r="H308" s="5">
        <f t="shared" si="9"/>
        <v>48.577665892644852</v>
      </c>
    </row>
    <row r="309" spans="2:8" x14ac:dyDescent="0.2">
      <c r="B309" s="1">
        <v>302</v>
      </c>
      <c r="C309" s="2">
        <v>3221.1560505508219</v>
      </c>
      <c r="D309" s="3"/>
      <c r="E309" s="5">
        <f t="shared" si="8"/>
        <v>58.809943619161274</v>
      </c>
      <c r="F309" s="2">
        <v>1248.8792074010385</v>
      </c>
      <c r="G309" s="3"/>
      <c r="H309" s="5">
        <f t="shared" si="9"/>
        <v>48.678586801663961</v>
      </c>
    </row>
    <row r="310" spans="2:8" x14ac:dyDescent="0.2">
      <c r="B310" s="1">
        <v>303</v>
      </c>
      <c r="C310" s="2">
        <v>3218.5869073357712</v>
      </c>
      <c r="D310" s="3"/>
      <c r="E310" s="5">
        <f t="shared" si="8"/>
        <v>58.763037736535424</v>
      </c>
      <c r="F310" s="2">
        <v>1707.5743973458707</v>
      </c>
      <c r="G310" s="3"/>
      <c r="H310" s="5">
        <f t="shared" si="9"/>
        <v>66.557524561947375</v>
      </c>
    </row>
    <row r="311" spans="2:8" x14ac:dyDescent="0.2">
      <c r="B311" s="1">
        <v>304</v>
      </c>
      <c r="C311" s="2">
        <v>3218.2808803057992</v>
      </c>
      <c r="D311" s="3"/>
      <c r="E311" s="5">
        <f t="shared" si="8"/>
        <v>58.757450477769886</v>
      </c>
      <c r="F311" s="2">
        <v>1890.3308430677557</v>
      </c>
      <c r="G311" s="3"/>
      <c r="H311" s="5">
        <f t="shared" si="9"/>
        <v>73.680972093074061</v>
      </c>
    </row>
    <row r="312" spans="2:8" x14ac:dyDescent="0.2">
      <c r="B312" s="1">
        <v>305</v>
      </c>
      <c r="C312" s="2">
        <v>3222.058422606297</v>
      </c>
      <c r="D312" s="3"/>
      <c r="E312" s="5">
        <f t="shared" si="8"/>
        <v>58.82641858928789</v>
      </c>
      <c r="F312" s="2">
        <v>1631.1227145985799</v>
      </c>
      <c r="G312" s="3"/>
      <c r="H312" s="5">
        <f t="shared" si="9"/>
        <v>63.577604764505985</v>
      </c>
    </row>
    <row r="313" spans="2:8" x14ac:dyDescent="0.2">
      <c r="B313" s="1">
        <v>306</v>
      </c>
      <c r="C313" s="2">
        <v>3225.8305764849997</v>
      </c>
      <c r="D313" s="3"/>
      <c r="E313" s="5">
        <f t="shared" si="8"/>
        <v>58.895288322218512</v>
      </c>
      <c r="F313" s="2">
        <v>1371.9199745511992</v>
      </c>
      <c r="G313" s="3"/>
      <c r="H313" s="5">
        <f t="shared" si="9"/>
        <v>53.474447464863466</v>
      </c>
    </row>
    <row r="314" spans="2:8" x14ac:dyDescent="0.2">
      <c r="B314" s="1">
        <v>307</v>
      </c>
      <c r="C314" s="2">
        <v>3229.5981546001176</v>
      </c>
      <c r="D314" s="3"/>
      <c r="E314" s="5">
        <f t="shared" si="8"/>
        <v>58.964074513590084</v>
      </c>
      <c r="F314" s="2">
        <v>1240.4371033517427</v>
      </c>
      <c r="G314" s="3"/>
      <c r="H314" s="5">
        <f t="shared" si="9"/>
        <v>48.34953200411671</v>
      </c>
    </row>
    <row r="315" spans="2:8" x14ac:dyDescent="0.2">
      <c r="B315" s="1">
        <v>308</v>
      </c>
      <c r="C315" s="2">
        <v>3233.361835537045</v>
      </c>
      <c r="D315" s="3"/>
      <c r="E315" s="5">
        <f t="shared" si="8"/>
        <v>59.032789552609493</v>
      </c>
      <c r="F315" s="2">
        <v>853.52754316179789</v>
      </c>
      <c r="G315" s="3"/>
      <c r="H315" s="5">
        <f t="shared" si="9"/>
        <v>33.268641475644777</v>
      </c>
    </row>
    <row r="316" spans="2:8" x14ac:dyDescent="0.2">
      <c r="B316" s="1">
        <v>309</v>
      </c>
      <c r="C316" s="2">
        <v>3237.1226800229292</v>
      </c>
      <c r="D316" s="3"/>
      <c r="E316" s="5">
        <f t="shared" si="8"/>
        <v>59.101452805399582</v>
      </c>
      <c r="F316" s="2">
        <v>594.33611250723607</v>
      </c>
      <c r="G316" s="3"/>
      <c r="H316" s="5">
        <f t="shared" si="9"/>
        <v>23.165924991460429</v>
      </c>
    </row>
    <row r="317" spans="2:8" x14ac:dyDescent="0.2">
      <c r="B317" s="1">
        <v>310</v>
      </c>
      <c r="C317" s="2">
        <v>3240.8816126312163</v>
      </c>
      <c r="D317" s="3"/>
      <c r="E317" s="5">
        <f t="shared" si="8"/>
        <v>59.1700811522702</v>
      </c>
      <c r="F317" s="2">
        <v>335.14659373027143</v>
      </c>
      <c r="G317" s="3"/>
      <c r="H317" s="5">
        <f t="shared" si="9"/>
        <v>13.063283028093641</v>
      </c>
    </row>
    <row r="318" spans="2:8" x14ac:dyDescent="0.2">
      <c r="B318" s="1">
        <v>311</v>
      </c>
      <c r="C318" s="2">
        <v>2873.5940943976243</v>
      </c>
      <c r="D318" s="3"/>
      <c r="E318" s="5">
        <f t="shared" si="8"/>
        <v>52.464364974488134</v>
      </c>
      <c r="F318" s="2">
        <v>0</v>
      </c>
      <c r="G318" s="3"/>
      <c r="H318" s="5">
        <f t="shared" si="9"/>
        <v>0</v>
      </c>
    </row>
    <row r="319" spans="2:8" x14ac:dyDescent="0.2">
      <c r="B319" s="1">
        <v>312</v>
      </c>
      <c r="C319" s="2">
        <v>2713.9499780422011</v>
      </c>
      <c r="D319" s="3"/>
      <c r="E319" s="5">
        <f t="shared" si="8"/>
        <v>49.549678031461028</v>
      </c>
      <c r="F319" s="2">
        <v>0</v>
      </c>
      <c r="G319" s="3"/>
      <c r="H319" s="5">
        <f t="shared" si="9"/>
        <v>0</v>
      </c>
    </row>
    <row r="320" spans="2:8" x14ac:dyDescent="0.2">
      <c r="B320" s="1">
        <v>313</v>
      </c>
      <c r="C320" s="2">
        <v>2554.3058616867775</v>
      </c>
      <c r="D320" s="3"/>
      <c r="E320" s="5">
        <f t="shared" si="8"/>
        <v>46.634991088433907</v>
      </c>
      <c r="F320" s="2">
        <v>0</v>
      </c>
      <c r="G320" s="3"/>
      <c r="H320" s="5">
        <f t="shared" si="9"/>
        <v>0</v>
      </c>
    </row>
    <row r="321" spans="2:8" x14ac:dyDescent="0.2">
      <c r="B321" s="1">
        <v>314</v>
      </c>
      <c r="C321" s="2">
        <v>2554.3058616867775</v>
      </c>
      <c r="D321" s="3"/>
      <c r="E321" s="5">
        <f t="shared" si="8"/>
        <v>46.634991088433907</v>
      </c>
      <c r="F321" s="2">
        <v>0</v>
      </c>
      <c r="G321" s="3"/>
      <c r="H321" s="5">
        <f t="shared" si="9"/>
        <v>0</v>
      </c>
    </row>
    <row r="322" spans="2:8" x14ac:dyDescent="0.2">
      <c r="B322" s="1">
        <v>315</v>
      </c>
      <c r="C322" s="2">
        <v>2713.9499780422016</v>
      </c>
      <c r="D322" s="3"/>
      <c r="E322" s="5">
        <f t="shared" si="8"/>
        <v>49.549678031461035</v>
      </c>
      <c r="F322" s="2">
        <v>0</v>
      </c>
      <c r="G322" s="3"/>
      <c r="H322" s="5">
        <f t="shared" si="9"/>
        <v>0</v>
      </c>
    </row>
    <row r="323" spans="2:8" x14ac:dyDescent="0.2">
      <c r="B323" s="1">
        <v>316</v>
      </c>
      <c r="C323" s="2">
        <v>2873.5940943976243</v>
      </c>
      <c r="D323" s="3"/>
      <c r="E323" s="5">
        <f t="shared" si="8"/>
        <v>52.464364974488134</v>
      </c>
      <c r="F323" s="2">
        <v>0</v>
      </c>
      <c r="G323" s="3"/>
      <c r="H323" s="5">
        <f t="shared" si="9"/>
        <v>0</v>
      </c>
    </row>
    <row r="324" spans="2:8" x14ac:dyDescent="0.2">
      <c r="B324" s="1">
        <v>317</v>
      </c>
      <c r="C324" s="2">
        <v>3033.238210753048</v>
      </c>
      <c r="D324" s="3"/>
      <c r="E324" s="5">
        <f t="shared" si="8"/>
        <v>55.379051917515255</v>
      </c>
      <c r="F324" s="2">
        <v>0</v>
      </c>
      <c r="G324" s="3"/>
      <c r="H324" s="5">
        <f t="shared" si="9"/>
        <v>0</v>
      </c>
    </row>
    <row r="325" spans="2:8" x14ac:dyDescent="0.2">
      <c r="B325" s="1">
        <v>318</v>
      </c>
      <c r="C325" s="2">
        <v>3192.8823271084716</v>
      </c>
      <c r="D325" s="3"/>
      <c r="E325" s="5">
        <f t="shared" si="8"/>
        <v>58.293738860542376</v>
      </c>
      <c r="F325" s="2">
        <v>0</v>
      </c>
      <c r="G325" s="3"/>
      <c r="H325" s="5">
        <f t="shared" si="9"/>
        <v>0</v>
      </c>
    </row>
    <row r="326" spans="2:8" x14ac:dyDescent="0.2">
      <c r="B326" s="1">
        <v>319</v>
      </c>
      <c r="C326" s="2">
        <v>3229.9261412507763</v>
      </c>
      <c r="D326" s="3"/>
      <c r="E326" s="5">
        <f t="shared" si="8"/>
        <v>58.97006269799666</v>
      </c>
      <c r="F326" s="2">
        <v>122.60030221311899</v>
      </c>
      <c r="G326" s="3"/>
      <c r="H326" s="5">
        <f t="shared" si="9"/>
        <v>4.77869230092411</v>
      </c>
    </row>
    <row r="327" spans="2:8" x14ac:dyDescent="0.2">
      <c r="B327" s="1">
        <v>320</v>
      </c>
      <c r="C327" s="2">
        <v>3233.8679333950695</v>
      </c>
      <c r="D327" s="3"/>
      <c r="E327" s="5">
        <f t="shared" si="8"/>
        <v>59.042029585078929</v>
      </c>
      <c r="F327" s="2">
        <v>278.30262642424941</v>
      </c>
      <c r="G327" s="3"/>
      <c r="H327" s="5">
        <f t="shared" si="9"/>
        <v>10.847629200038051</v>
      </c>
    </row>
    <row r="328" spans="2:8" x14ac:dyDescent="0.2">
      <c r="B328" s="1">
        <v>321</v>
      </c>
      <c r="C328" s="2">
        <v>3233.6993308451406</v>
      </c>
      <c r="D328" s="3"/>
      <c r="E328" s="5">
        <f t="shared" si="8"/>
        <v>59.038951340405347</v>
      </c>
      <c r="F328" s="2">
        <v>438.11534532960241</v>
      </c>
      <c r="G328" s="3"/>
      <c r="H328" s="5">
        <f t="shared" si="9"/>
        <v>17.076780316608783</v>
      </c>
    </row>
    <row r="329" spans="2:8" x14ac:dyDescent="0.2">
      <c r="B329" s="1">
        <v>322</v>
      </c>
      <c r="C329" s="2">
        <v>3231.2266655761555</v>
      </c>
      <c r="D329" s="3"/>
      <c r="E329" s="5">
        <f t="shared" ref="E329:E392" si="10">$D$5*C329</f>
        <v>58.993806894505809</v>
      </c>
      <c r="F329" s="2">
        <v>600.23212695401116</v>
      </c>
      <c r="G329" s="3"/>
      <c r="H329" s="5">
        <f t="shared" ref="H329:H392" si="11">$G$5*F329</f>
        <v>23.395738771152129</v>
      </c>
    </row>
    <row r="330" spans="2:8" x14ac:dyDescent="0.2">
      <c r="B330" s="1">
        <v>323</v>
      </c>
      <c r="C330" s="2">
        <v>3228.773447446149</v>
      </c>
      <c r="D330" s="3"/>
      <c r="E330" s="5">
        <f t="shared" si="10"/>
        <v>58.949017502856648</v>
      </c>
      <c r="F330" s="2">
        <v>762.32946143944082</v>
      </c>
      <c r="G330" s="3"/>
      <c r="H330" s="5">
        <f t="shared" si="11"/>
        <v>29.713939218646249</v>
      </c>
    </row>
    <row r="331" spans="2:8" x14ac:dyDescent="0.2">
      <c r="B331" s="1">
        <v>324</v>
      </c>
      <c r="C331" s="2">
        <v>3226.339602798118</v>
      </c>
      <c r="D331" s="3"/>
      <c r="E331" s="5">
        <f t="shared" si="10"/>
        <v>58.904581820672291</v>
      </c>
      <c r="F331" s="2">
        <v>924.40742244289595</v>
      </c>
      <c r="G331" s="3"/>
      <c r="H331" s="5">
        <f t="shared" si="11"/>
        <v>36.031384530080487</v>
      </c>
    </row>
    <row r="332" spans="2:8" x14ac:dyDescent="0.2">
      <c r="B332" s="1">
        <v>325</v>
      </c>
      <c r="C332" s="2">
        <v>3223.9250581903275</v>
      </c>
      <c r="D332" s="3"/>
      <c r="E332" s="5">
        <f t="shared" si="10"/>
        <v>58.86049850709739</v>
      </c>
      <c r="F332" s="2">
        <v>1086.4660834061101</v>
      </c>
      <c r="G332" s="3"/>
      <c r="H332" s="5">
        <f t="shared" si="11"/>
        <v>42.348077568053384</v>
      </c>
    </row>
    <row r="333" spans="2:8" x14ac:dyDescent="0.2">
      <c r="B333" s="1">
        <v>326</v>
      </c>
      <c r="C333" s="2">
        <v>3221.5297403957647</v>
      </c>
      <c r="D333" s="3"/>
      <c r="E333" s="5">
        <f t="shared" si="10"/>
        <v>58.816766225196886</v>
      </c>
      <c r="F333" s="2">
        <v>1248.5055175560974</v>
      </c>
      <c r="G333" s="3"/>
      <c r="H333" s="5">
        <f t="shared" si="11"/>
        <v>48.664021186794194</v>
      </c>
    </row>
    <row r="334" spans="2:8" x14ac:dyDescent="0.2">
      <c r="B334" s="1">
        <v>327</v>
      </c>
      <c r="C334" s="2">
        <v>3219.1535764016403</v>
      </c>
      <c r="D334" s="3"/>
      <c r="E334" s="5">
        <f t="shared" si="10"/>
        <v>58.773383641946864</v>
      </c>
      <c r="F334" s="2">
        <v>1091.2375651947973</v>
      </c>
      <c r="G334" s="3"/>
      <c r="H334" s="5">
        <f t="shared" si="11"/>
        <v>42.534059518146485</v>
      </c>
    </row>
    <row r="335" spans="2:8" x14ac:dyDescent="0.2">
      <c r="B335" s="1">
        <v>328</v>
      </c>
      <c r="C335" s="2">
        <v>3219.1350375980187</v>
      </c>
      <c r="D335" s="3"/>
      <c r="E335" s="5">
        <f t="shared" si="10"/>
        <v>58.773045171541007</v>
      </c>
      <c r="F335" s="2">
        <v>1250.9002203538416</v>
      </c>
      <c r="G335" s="3"/>
      <c r="H335" s="5">
        <f t="shared" si="11"/>
        <v>48.757361477282949</v>
      </c>
    </row>
    <row r="336" spans="2:8" x14ac:dyDescent="0.2">
      <c r="B336" s="1">
        <v>329</v>
      </c>
      <c r="C336" s="2">
        <v>3223.2405416824299</v>
      </c>
      <c r="D336" s="3"/>
      <c r="E336" s="5">
        <f t="shared" si="10"/>
        <v>58.848001013463403</v>
      </c>
      <c r="F336" s="2">
        <v>1885.371181691125</v>
      </c>
      <c r="G336" s="3"/>
      <c r="H336" s="5">
        <f t="shared" si="11"/>
        <v>73.487655313197806</v>
      </c>
    </row>
    <row r="337" spans="2:8" x14ac:dyDescent="0.2">
      <c r="B337" s="1">
        <v>330</v>
      </c>
      <c r="C337" s="2">
        <v>3227.3392498948974</v>
      </c>
      <c r="D337" s="3"/>
      <c r="E337" s="5">
        <f t="shared" si="10"/>
        <v>58.92283278041409</v>
      </c>
      <c r="F337" s="2">
        <v>1721.6283571232329</v>
      </c>
      <c r="G337" s="3"/>
      <c r="H337" s="5">
        <f t="shared" si="11"/>
        <v>67.105317252285388</v>
      </c>
    </row>
    <row r="338" spans="2:8" x14ac:dyDescent="0.2">
      <c r="B338" s="1">
        <v>331</v>
      </c>
      <c r="C338" s="2">
        <v>3231.4309584665011</v>
      </c>
      <c r="D338" s="3"/>
      <c r="E338" s="5">
        <f t="shared" si="10"/>
        <v>58.997536752101801</v>
      </c>
      <c r="F338" s="2">
        <v>2036.8248812624756</v>
      </c>
      <c r="G338" s="3"/>
      <c r="H338" s="5">
        <f t="shared" si="11"/>
        <v>79.390990093155963</v>
      </c>
    </row>
    <row r="339" spans="2:8" x14ac:dyDescent="0.2">
      <c r="B339" s="1">
        <v>332</v>
      </c>
      <c r="C339" s="2">
        <v>3235.5152388675783</v>
      </c>
      <c r="D339" s="3"/>
      <c r="E339" s="5">
        <f t="shared" si="10"/>
        <v>59.072105104687864</v>
      </c>
      <c r="F339" s="2">
        <v>1681.5235448794679</v>
      </c>
      <c r="G339" s="3"/>
      <c r="H339" s="5">
        <f t="shared" si="11"/>
        <v>65.542119168432876</v>
      </c>
    </row>
    <row r="340" spans="2:8" x14ac:dyDescent="0.2">
      <c r="B340" s="1">
        <v>333</v>
      </c>
      <c r="C340" s="2">
        <v>3239.5927771905685</v>
      </c>
      <c r="D340" s="3"/>
      <c r="E340" s="5">
        <f t="shared" si="10"/>
        <v>59.146550364438319</v>
      </c>
      <c r="F340" s="2">
        <v>1326.2289505745462</v>
      </c>
      <c r="G340" s="3"/>
      <c r="H340" s="5">
        <f t="shared" si="11"/>
        <v>51.693511035204274</v>
      </c>
    </row>
    <row r="341" spans="2:8" x14ac:dyDescent="0.2">
      <c r="B341" s="1">
        <v>334</v>
      </c>
      <c r="C341" s="2">
        <v>3243.6645929166243</v>
      </c>
      <c r="D341" s="3"/>
      <c r="E341" s="5">
        <f t="shared" si="10"/>
        <v>59.22089114443127</v>
      </c>
      <c r="F341" s="2">
        <v>970.940078866558</v>
      </c>
      <c r="G341" s="3"/>
      <c r="H341" s="5">
        <f t="shared" si="11"/>
        <v>37.845125956319045</v>
      </c>
    </row>
    <row r="342" spans="2:8" x14ac:dyDescent="0.2">
      <c r="B342" s="1">
        <v>335</v>
      </c>
      <c r="C342" s="2">
        <v>3243.6057787116233</v>
      </c>
      <c r="D342" s="3"/>
      <c r="E342" s="5">
        <f t="shared" si="10"/>
        <v>59.219817349797964</v>
      </c>
      <c r="F342" s="2">
        <v>619.78183708962752</v>
      </c>
      <c r="G342" s="3"/>
      <c r="H342" s="5">
        <f t="shared" si="11"/>
        <v>24.157743820274845</v>
      </c>
    </row>
    <row r="343" spans="2:8" x14ac:dyDescent="0.2">
      <c r="B343" s="1">
        <v>336</v>
      </c>
      <c r="C343" s="2">
        <v>3241.201381307008</v>
      </c>
      <c r="D343" s="3"/>
      <c r="E343" s="5">
        <f t="shared" si="10"/>
        <v>59.175919297799119</v>
      </c>
      <c r="F343" s="2">
        <v>270.96917851231092</v>
      </c>
      <c r="G343" s="3"/>
      <c r="H343" s="5">
        <f t="shared" si="11"/>
        <v>10.561787399949418</v>
      </c>
    </row>
    <row r="344" spans="2:8" x14ac:dyDescent="0.2">
      <c r="B344" s="1">
        <v>337</v>
      </c>
      <c r="C344" s="2">
        <v>2713.9499780422011</v>
      </c>
      <c r="D344" s="3"/>
      <c r="E344" s="5">
        <f t="shared" si="10"/>
        <v>49.549678031461028</v>
      </c>
      <c r="F344" s="2">
        <v>0</v>
      </c>
      <c r="G344" s="3"/>
      <c r="H344" s="5">
        <f t="shared" si="11"/>
        <v>0</v>
      </c>
    </row>
    <row r="345" spans="2:8" x14ac:dyDescent="0.2">
      <c r="B345" s="1">
        <v>338</v>
      </c>
      <c r="C345" s="2">
        <v>2554.3058616867775</v>
      </c>
      <c r="D345" s="3"/>
      <c r="E345" s="5">
        <f t="shared" si="10"/>
        <v>46.634991088433907</v>
      </c>
      <c r="F345" s="2">
        <v>0</v>
      </c>
      <c r="G345" s="3"/>
      <c r="H345" s="5">
        <f t="shared" si="11"/>
        <v>0</v>
      </c>
    </row>
    <row r="346" spans="2:8" x14ac:dyDescent="0.2">
      <c r="B346" s="1">
        <v>339</v>
      </c>
      <c r="C346" s="2">
        <v>2713.9499780422011</v>
      </c>
      <c r="D346" s="3"/>
      <c r="E346" s="5">
        <f t="shared" si="10"/>
        <v>49.549678031461028</v>
      </c>
      <c r="F346" s="2">
        <v>0</v>
      </c>
      <c r="G346" s="3"/>
      <c r="H346" s="5">
        <f t="shared" si="11"/>
        <v>0</v>
      </c>
    </row>
    <row r="347" spans="2:8" x14ac:dyDescent="0.2">
      <c r="B347" s="1">
        <v>340</v>
      </c>
      <c r="C347" s="2">
        <v>2873.5940943976243</v>
      </c>
      <c r="D347" s="3"/>
      <c r="E347" s="5">
        <f t="shared" si="10"/>
        <v>52.464364974488134</v>
      </c>
      <c r="F347" s="2">
        <v>0</v>
      </c>
      <c r="G347" s="3"/>
      <c r="H347" s="5">
        <f t="shared" si="11"/>
        <v>0</v>
      </c>
    </row>
    <row r="348" spans="2:8" x14ac:dyDescent="0.2">
      <c r="B348" s="1">
        <v>341</v>
      </c>
      <c r="C348" s="2">
        <v>3233.883520875117</v>
      </c>
      <c r="D348" s="3"/>
      <c r="E348" s="5">
        <f t="shared" si="10"/>
        <v>59.042314171981381</v>
      </c>
      <c r="F348" s="2">
        <v>38.820864411065941</v>
      </c>
      <c r="G348" s="3"/>
      <c r="H348" s="5">
        <f t="shared" si="11"/>
        <v>1.5131525985466008</v>
      </c>
    </row>
    <row r="349" spans="2:8" x14ac:dyDescent="0.2">
      <c r="B349" s="1">
        <v>342</v>
      </c>
      <c r="C349" s="2">
        <v>3231.5721193332306</v>
      </c>
      <c r="D349" s="3"/>
      <c r="E349" s="5">
        <f t="shared" si="10"/>
        <v>59.000113982910648</v>
      </c>
      <c r="F349" s="2">
        <v>280.59844048608784</v>
      </c>
      <c r="G349" s="3"/>
      <c r="H349" s="5">
        <f t="shared" si="11"/>
        <v>10.93711502334858</v>
      </c>
    </row>
    <row r="350" spans="2:8" x14ac:dyDescent="0.2">
      <c r="B350" s="1">
        <v>343</v>
      </c>
      <c r="C350" s="2">
        <v>3231.6719015877661</v>
      </c>
      <c r="D350" s="3"/>
      <c r="E350" s="5">
        <f t="shared" si="10"/>
        <v>59.001935747727792</v>
      </c>
      <c r="F350" s="2">
        <v>519.96483276468734</v>
      </c>
      <c r="G350" s="3"/>
      <c r="H350" s="5">
        <f t="shared" si="11"/>
        <v>20.267094764290228</v>
      </c>
    </row>
    <row r="351" spans="2:8" x14ac:dyDescent="0.2">
      <c r="B351" s="1">
        <v>344</v>
      </c>
      <c r="C351" s="2">
        <v>3235.9147417884169</v>
      </c>
      <c r="D351" s="3"/>
      <c r="E351" s="5">
        <f t="shared" si="10"/>
        <v>59.079398990448595</v>
      </c>
      <c r="F351" s="2">
        <v>755.18816709717112</v>
      </c>
      <c r="G351" s="3"/>
      <c r="H351" s="5">
        <f t="shared" si="11"/>
        <v>29.435587145478312</v>
      </c>
    </row>
    <row r="352" spans="2:8" x14ac:dyDescent="0.2">
      <c r="B352" s="1">
        <v>345</v>
      </c>
      <c r="C352" s="2">
        <v>3236.0122500161106</v>
      </c>
      <c r="D352" s="3"/>
      <c r="E352" s="5">
        <f t="shared" si="10"/>
        <v>59.081179237441624</v>
      </c>
      <c r="F352" s="2">
        <v>994.55683340261294</v>
      </c>
      <c r="G352" s="3"/>
      <c r="H352" s="5">
        <f t="shared" si="11"/>
        <v>38.765655523024989</v>
      </c>
    </row>
    <row r="353" spans="2:8" x14ac:dyDescent="0.2">
      <c r="B353" s="1">
        <v>346</v>
      </c>
      <c r="C353" s="2">
        <v>3233.7234648377453</v>
      </c>
      <c r="D353" s="3"/>
      <c r="E353" s="5">
        <f t="shared" si="10"/>
        <v>59.039391964430422</v>
      </c>
      <c r="F353" s="2">
        <v>1236.3117931141142</v>
      </c>
      <c r="G353" s="3"/>
      <c r="H353" s="5">
        <f t="shared" si="11"/>
        <v>48.188736411319468</v>
      </c>
    </row>
    <row r="354" spans="2:8" x14ac:dyDescent="0.2">
      <c r="B354" s="1">
        <v>347</v>
      </c>
      <c r="C354" s="2">
        <v>3231.4532679514323</v>
      </c>
      <c r="D354" s="3"/>
      <c r="E354" s="5">
        <f t="shared" si="10"/>
        <v>58.997944065355298</v>
      </c>
      <c r="F354" s="2">
        <v>1478.0481645335622</v>
      </c>
      <c r="G354" s="3"/>
      <c r="H354" s="5">
        <f t="shared" si="11"/>
        <v>57.61109276854414</v>
      </c>
    </row>
    <row r="355" spans="2:8" x14ac:dyDescent="0.2">
      <c r="B355" s="1">
        <v>348</v>
      </c>
      <c r="C355" s="2">
        <v>3229.2015884810885</v>
      </c>
      <c r="D355" s="3"/>
      <c r="E355" s="5">
        <f t="shared" si="10"/>
        <v>58.956834246203044</v>
      </c>
      <c r="F355" s="2">
        <v>1719.766018537041</v>
      </c>
      <c r="G355" s="3"/>
      <c r="H355" s="5">
        <f t="shared" si="11"/>
        <v>67.032727357294121</v>
      </c>
    </row>
    <row r="356" spans="2:8" x14ac:dyDescent="0.2">
      <c r="B356" s="1">
        <v>349</v>
      </c>
      <c r="C356" s="2">
        <v>3226.9683557585499</v>
      </c>
      <c r="D356" s="3"/>
      <c r="E356" s="5">
        <f t="shared" si="10"/>
        <v>58.916061216756518</v>
      </c>
      <c r="F356" s="2">
        <v>1961.4654257927164</v>
      </c>
      <c r="G356" s="3"/>
      <c r="H356" s="5">
        <f t="shared" si="11"/>
        <v>76.453642932060319</v>
      </c>
    </row>
    <row r="357" spans="2:8" x14ac:dyDescent="0.2">
      <c r="B357" s="1">
        <v>350</v>
      </c>
      <c r="C357" s="2">
        <v>3224.753499323057</v>
      </c>
      <c r="D357" s="3"/>
      <c r="E357" s="5">
        <f t="shared" si="10"/>
        <v>58.87562369058525</v>
      </c>
      <c r="F357" s="2">
        <v>2203.1464567613452</v>
      </c>
      <c r="G357" s="3"/>
      <c r="H357" s="5">
        <f t="shared" si="11"/>
        <v>85.873842239249342</v>
      </c>
    </row>
    <row r="358" spans="2:8" x14ac:dyDescent="0.2">
      <c r="B358" s="1">
        <v>351</v>
      </c>
      <c r="C358" s="2">
        <v>3222.5569489207601</v>
      </c>
      <c r="D358" s="3"/>
      <c r="E358" s="5">
        <f t="shared" si="10"/>
        <v>58.835520385036418</v>
      </c>
      <c r="F358" s="2">
        <v>2045.6988908082167</v>
      </c>
      <c r="G358" s="3"/>
      <c r="H358" s="5">
        <f t="shared" si="11"/>
        <v>79.736879624658457</v>
      </c>
    </row>
    <row r="359" spans="2:8" x14ac:dyDescent="0.2">
      <c r="B359" s="1">
        <v>352</v>
      </c>
      <c r="C359" s="2">
        <v>3222.7802165107341</v>
      </c>
      <c r="D359" s="3"/>
      <c r="E359" s="5">
        <f t="shared" si="10"/>
        <v>58.839596671367254</v>
      </c>
      <c r="F359" s="2">
        <v>2258.3344450254754</v>
      </c>
      <c r="G359" s="3"/>
      <c r="H359" s="5">
        <f t="shared" si="11"/>
        <v>88.024949617132037</v>
      </c>
    </row>
    <row r="360" spans="2:8" x14ac:dyDescent="0.2">
      <c r="B360" s="1">
        <v>353</v>
      </c>
      <c r="C360" s="2">
        <v>3227.1437648806832</v>
      </c>
      <c r="D360" s="3"/>
      <c r="E360" s="5">
        <f t="shared" si="10"/>
        <v>58.919263731760772</v>
      </c>
      <c r="F360" s="2">
        <v>2998.9767729808364</v>
      </c>
      <c r="G360" s="3"/>
      <c r="H360" s="5">
        <f t="shared" si="11"/>
        <v>116.89357168778845</v>
      </c>
    </row>
    <row r="361" spans="2:8" x14ac:dyDescent="0.2">
      <c r="B361" s="1">
        <v>354</v>
      </c>
      <c r="C361" s="2">
        <v>3231.4944482482865</v>
      </c>
      <c r="D361" s="3"/>
      <c r="E361" s="5">
        <f t="shared" si="10"/>
        <v>58.998695910623958</v>
      </c>
      <c r="F361" s="2">
        <v>2834.9819732578094</v>
      </c>
      <c r="G361" s="3"/>
      <c r="H361" s="5">
        <f t="shared" si="11"/>
        <v>110.50141218506774</v>
      </c>
    </row>
    <row r="362" spans="2:8" x14ac:dyDescent="0.2">
      <c r="B362" s="1">
        <v>355</v>
      </c>
      <c r="C362" s="2">
        <v>3235.8320366174894</v>
      </c>
      <c r="D362" s="3"/>
      <c r="E362" s="5">
        <f t="shared" si="10"/>
        <v>59.077889008826176</v>
      </c>
      <c r="F362" s="2">
        <v>3149.9326175994538</v>
      </c>
      <c r="G362" s="3"/>
      <c r="H362" s="5">
        <f t="shared" si="11"/>
        <v>122.77750116786842</v>
      </c>
    </row>
    <row r="363" spans="2:8" x14ac:dyDescent="0.2">
      <c r="B363" s="1">
        <v>356</v>
      </c>
      <c r="C363" s="2">
        <v>3240.1561133952532</v>
      </c>
      <c r="D363" s="3"/>
      <c r="E363" s="5">
        <f t="shared" si="10"/>
        <v>59.15683542046051</v>
      </c>
      <c r="F363" s="2">
        <v>2826.3203081108427</v>
      </c>
      <c r="G363" s="3"/>
      <c r="H363" s="5">
        <f t="shared" si="11"/>
        <v>110.16379937495377</v>
      </c>
    </row>
    <row r="364" spans="2:8" x14ac:dyDescent="0.2">
      <c r="B364" s="1">
        <v>357</v>
      </c>
      <c r="C364" s="2">
        <v>3244.466909109663</v>
      </c>
      <c r="D364" s="3"/>
      <c r="E364" s="5">
        <f t="shared" si="10"/>
        <v>59.235539354371078</v>
      </c>
      <c r="F364" s="2">
        <v>3300.9418614627029</v>
      </c>
      <c r="G364" s="3"/>
      <c r="H364" s="5">
        <f t="shared" si="11"/>
        <v>128.663512034002</v>
      </c>
    </row>
    <row r="365" spans="2:8" x14ac:dyDescent="0.2">
      <c r="B365" s="1">
        <v>358</v>
      </c>
      <c r="C365" s="2">
        <v>3248.7640090330442</v>
      </c>
      <c r="D365" s="3"/>
      <c r="E365" s="5">
        <f t="shared" si="10"/>
        <v>59.313993238707646</v>
      </c>
      <c r="F365" s="2">
        <v>2498.4241797622044</v>
      </c>
      <c r="G365" s="3"/>
      <c r="H365" s="5">
        <f t="shared" si="11"/>
        <v>97.383123668961986</v>
      </c>
    </row>
    <row r="366" spans="2:8" x14ac:dyDescent="0.2">
      <c r="B366" s="1">
        <v>359</v>
      </c>
      <c r="C366" s="2">
        <v>3248.9113639930802</v>
      </c>
      <c r="D366" s="3"/>
      <c r="E366" s="5">
        <f t="shared" si="10"/>
        <v>59.316683557573207</v>
      </c>
      <c r="F366" s="2">
        <v>1700.0562430250493</v>
      </c>
      <c r="G366" s="3"/>
      <c r="H366" s="5">
        <f t="shared" si="11"/>
        <v>66.264483309017876</v>
      </c>
    </row>
    <row r="367" spans="2:8" x14ac:dyDescent="0.2">
      <c r="B367" s="1">
        <v>360</v>
      </c>
      <c r="C367" s="2">
        <v>3246.6767860786294</v>
      </c>
      <c r="D367" s="3"/>
      <c r="E367" s="5">
        <f t="shared" si="10"/>
        <v>59.275885968416048</v>
      </c>
      <c r="F367" s="2">
        <v>904.07023916238268</v>
      </c>
      <c r="G367" s="3"/>
      <c r="H367" s="5">
        <f t="shared" si="11"/>
        <v>35.238685495814387</v>
      </c>
    </row>
    <row r="368" spans="2:8" x14ac:dyDescent="0.2">
      <c r="B368" s="1">
        <v>361</v>
      </c>
      <c r="C368" s="2">
        <v>2713.9499780422011</v>
      </c>
      <c r="D368" s="3"/>
      <c r="E368" s="5">
        <f t="shared" si="10"/>
        <v>49.549678031461028</v>
      </c>
      <c r="F368" s="2">
        <v>0</v>
      </c>
      <c r="G368" s="3"/>
      <c r="H368" s="5">
        <f t="shared" si="11"/>
        <v>0</v>
      </c>
    </row>
    <row r="369" spans="2:8" x14ac:dyDescent="0.2">
      <c r="B369" s="1">
        <v>362</v>
      </c>
      <c r="C369" s="2">
        <v>2554.3058616867775</v>
      </c>
      <c r="D369" s="3"/>
      <c r="E369" s="5">
        <f t="shared" si="10"/>
        <v>46.634991088433907</v>
      </c>
      <c r="F369" s="2">
        <v>0</v>
      </c>
      <c r="G369" s="3"/>
      <c r="H369" s="5">
        <f t="shared" si="11"/>
        <v>0</v>
      </c>
    </row>
    <row r="370" spans="2:8" x14ac:dyDescent="0.2">
      <c r="B370" s="1">
        <v>363</v>
      </c>
      <c r="C370" s="2">
        <v>2745.8788013132853</v>
      </c>
      <c r="D370" s="3"/>
      <c r="E370" s="5">
        <f t="shared" si="10"/>
        <v>50.132615420066436</v>
      </c>
      <c r="F370" s="2">
        <v>0</v>
      </c>
      <c r="G370" s="3"/>
      <c r="H370" s="5">
        <f t="shared" si="11"/>
        <v>0</v>
      </c>
    </row>
    <row r="371" spans="2:8" x14ac:dyDescent="0.2">
      <c r="B371" s="1">
        <v>364</v>
      </c>
      <c r="C371" s="2">
        <v>2873.5940943976243</v>
      </c>
      <c r="D371" s="3"/>
      <c r="E371" s="5">
        <f t="shared" si="10"/>
        <v>52.464364974488134</v>
      </c>
      <c r="F371" s="2">
        <v>0</v>
      </c>
      <c r="G371" s="3"/>
      <c r="H371" s="5">
        <f t="shared" si="11"/>
        <v>0</v>
      </c>
    </row>
    <row r="372" spans="2:8" x14ac:dyDescent="0.2">
      <c r="B372" s="1">
        <v>365</v>
      </c>
      <c r="C372" s="2">
        <v>3170.0760247719822</v>
      </c>
      <c r="D372" s="3"/>
      <c r="E372" s="5">
        <f t="shared" si="10"/>
        <v>57.877355011538498</v>
      </c>
      <c r="F372" s="2">
        <v>0</v>
      </c>
      <c r="G372" s="3"/>
      <c r="H372" s="5">
        <f t="shared" si="11"/>
        <v>0</v>
      </c>
    </row>
    <row r="373" spans="2:8" x14ac:dyDescent="0.2">
      <c r="B373" s="1">
        <v>366</v>
      </c>
      <c r="C373" s="2">
        <v>3238.0019139356632</v>
      </c>
      <c r="D373" s="3"/>
      <c r="E373" s="5">
        <f t="shared" si="10"/>
        <v>59.117505333133245</v>
      </c>
      <c r="F373" s="2">
        <v>137.33083186472095</v>
      </c>
      <c r="G373" s="3"/>
      <c r="H373" s="5">
        <f t="shared" si="11"/>
        <v>5.352856208875</v>
      </c>
    </row>
    <row r="374" spans="2:8" x14ac:dyDescent="0.2">
      <c r="B374" s="1">
        <v>367</v>
      </c>
      <c r="C374" s="2">
        <v>3238.2890258087491</v>
      </c>
      <c r="D374" s="3"/>
      <c r="E374" s="5">
        <f t="shared" si="10"/>
        <v>59.122747250259764</v>
      </c>
      <c r="F374" s="2">
        <v>342.30044102003694</v>
      </c>
      <c r="G374" s="3"/>
      <c r="H374" s="5">
        <f t="shared" si="11"/>
        <v>13.342124387767967</v>
      </c>
    </row>
    <row r="375" spans="2:8" x14ac:dyDescent="0.2">
      <c r="B375" s="1">
        <v>368</v>
      </c>
      <c r="C375" s="2">
        <v>3242.7252267732638</v>
      </c>
      <c r="D375" s="3"/>
      <c r="E375" s="5">
        <f t="shared" si="10"/>
        <v>59.203740758339499</v>
      </c>
      <c r="F375" s="2">
        <v>543.12096108392416</v>
      </c>
      <c r="G375" s="3"/>
      <c r="H375" s="5">
        <f t="shared" si="11"/>
        <v>21.169670126021327</v>
      </c>
    </row>
    <row r="376" spans="2:8" x14ac:dyDescent="0.2">
      <c r="B376" s="1">
        <v>369</v>
      </c>
      <c r="C376" s="2">
        <v>3243.0072181718533</v>
      </c>
      <c r="D376" s="3"/>
      <c r="E376" s="5">
        <f t="shared" si="10"/>
        <v>59.208889188900422</v>
      </c>
      <c r="F376" s="2">
        <v>748.09569071373562</v>
      </c>
      <c r="G376" s="3"/>
      <c r="H376" s="5">
        <f t="shared" si="11"/>
        <v>29.159137889838693</v>
      </c>
    </row>
    <row r="377" spans="2:8" x14ac:dyDescent="0.2">
      <c r="B377" s="1">
        <v>370</v>
      </c>
      <c r="C377" s="2">
        <v>3240.8801183972359</v>
      </c>
      <c r="D377" s="3"/>
      <c r="E377" s="5">
        <f t="shared" si="10"/>
        <v>59.170053871438483</v>
      </c>
      <c r="F377" s="2">
        <v>955.47951151675488</v>
      </c>
      <c r="G377" s="3"/>
      <c r="H377" s="5">
        <f t="shared" si="11"/>
        <v>37.242506771628996</v>
      </c>
    </row>
    <row r="378" spans="2:8" x14ac:dyDescent="0.2">
      <c r="B378" s="1">
        <v>371</v>
      </c>
      <c r="C378" s="2">
        <v>3238.7708203748516</v>
      </c>
      <c r="D378" s="3"/>
      <c r="E378" s="5">
        <f t="shared" si="10"/>
        <v>59.131543567738291</v>
      </c>
      <c r="F378" s="2">
        <v>1162.8455305675416</v>
      </c>
      <c r="G378" s="3"/>
      <c r="H378" s="5">
        <f t="shared" si="11"/>
        <v>45.325181779955692</v>
      </c>
    </row>
    <row r="379" spans="2:8" x14ac:dyDescent="0.2">
      <c r="B379" s="1">
        <v>372</v>
      </c>
      <c r="C379" s="2">
        <v>3236.6792558178345</v>
      </c>
      <c r="D379" s="3"/>
      <c r="E379" s="5">
        <f t="shared" si="10"/>
        <v>59.093357031059014</v>
      </c>
      <c r="F379" s="2">
        <v>1370.1938161529602</v>
      </c>
      <c r="G379" s="3"/>
      <c r="H379" s="5">
        <f t="shared" si="11"/>
        <v>53.407165576491764</v>
      </c>
    </row>
    <row r="380" spans="2:8" x14ac:dyDescent="0.2">
      <c r="B380" s="1">
        <v>373</v>
      </c>
      <c r="C380" s="2">
        <v>3234.6053566403216</v>
      </c>
      <c r="D380" s="3"/>
      <c r="E380" s="5">
        <f t="shared" si="10"/>
        <v>59.055493018329642</v>
      </c>
      <c r="F380" s="2">
        <v>1577.5244363588745</v>
      </c>
      <c r="G380" s="3"/>
      <c r="H380" s="5">
        <f t="shared" si="11"/>
        <v>61.488460815075648</v>
      </c>
    </row>
    <row r="381" spans="2:8" x14ac:dyDescent="0.2">
      <c r="B381" s="1">
        <v>374</v>
      </c>
      <c r="C381" s="2">
        <v>3232.5490549569608</v>
      </c>
      <c r="D381" s="3"/>
      <c r="E381" s="5">
        <f t="shared" si="10"/>
        <v>59.017950290139943</v>
      </c>
      <c r="F381" s="2">
        <v>1784.8374590706367</v>
      </c>
      <c r="G381" s="3"/>
      <c r="H381" s="5">
        <f t="shared" si="11"/>
        <v>69.569070141730251</v>
      </c>
    </row>
    <row r="382" spans="2:8" x14ac:dyDescent="0.2">
      <c r="B382" s="1">
        <v>375</v>
      </c>
      <c r="C382" s="2">
        <v>3230.5102830824212</v>
      </c>
      <c r="D382" s="3"/>
      <c r="E382" s="5">
        <f t="shared" si="10"/>
        <v>58.98072761073157</v>
      </c>
      <c r="F382" s="2">
        <v>1992.1329519735787</v>
      </c>
      <c r="G382" s="3"/>
      <c r="H382" s="5">
        <f t="shared" si="11"/>
        <v>77.648996194682169</v>
      </c>
    </row>
    <row r="383" spans="2:8" x14ac:dyDescent="0.2">
      <c r="B383" s="1">
        <v>376</v>
      </c>
      <c r="C383" s="2">
        <v>3230.9088179898995</v>
      </c>
      <c r="D383" s="3"/>
      <c r="E383" s="5">
        <f t="shared" si="10"/>
        <v>58.98800382308243</v>
      </c>
      <c r="F383" s="2">
        <v>2196.9911380945027</v>
      </c>
      <c r="G383" s="3"/>
      <c r="H383" s="5">
        <f t="shared" si="11"/>
        <v>85.633921346788227</v>
      </c>
    </row>
    <row r="384" spans="2:8" x14ac:dyDescent="0.2">
      <c r="B384" s="1">
        <v>377</v>
      </c>
      <c r="C384" s="2">
        <v>3235.4522553529109</v>
      </c>
      <c r="D384" s="3"/>
      <c r="E384" s="5">
        <f t="shared" si="10"/>
        <v>59.070955189288419</v>
      </c>
      <c r="F384" s="2">
        <v>2032.8035843760658</v>
      </c>
      <c r="G384" s="3"/>
      <c r="H384" s="5">
        <f t="shared" si="11"/>
        <v>79.234248713861376</v>
      </c>
    </row>
    <row r="385" spans="2:8" x14ac:dyDescent="0.2">
      <c r="B385" s="1">
        <v>378</v>
      </c>
      <c r="C385" s="2">
        <v>3239.9826359449717</v>
      </c>
      <c r="D385" s="3"/>
      <c r="E385" s="5">
        <f t="shared" si="10"/>
        <v>59.153668172767404</v>
      </c>
      <c r="F385" s="2">
        <v>2347.5614364948533</v>
      </c>
      <c r="G385" s="3"/>
      <c r="H385" s="5">
        <f t="shared" si="11"/>
        <v>91.502823076433444</v>
      </c>
    </row>
    <row r="386" spans="2:8" x14ac:dyDescent="0.2">
      <c r="B386" s="1">
        <v>379</v>
      </c>
      <c r="C386" s="2">
        <v>3244.4992157982665</v>
      </c>
      <c r="D386" s="3"/>
      <c r="E386" s="5">
        <f t="shared" si="10"/>
        <v>59.236129190599272</v>
      </c>
      <c r="F386" s="2">
        <v>2662.3330893524058</v>
      </c>
      <c r="G386" s="3"/>
      <c r="H386" s="5">
        <f t="shared" si="11"/>
        <v>103.77193536169325</v>
      </c>
    </row>
    <row r="387" spans="2:8" x14ac:dyDescent="0.2">
      <c r="B387" s="1">
        <v>380</v>
      </c>
      <c r="C387" s="2">
        <v>3249.0010950147175</v>
      </c>
      <c r="D387" s="3"/>
      <c r="E387" s="5">
        <f t="shared" si="10"/>
        <v>59.318321812982312</v>
      </c>
      <c r="F387" s="2">
        <v>2817.4753264913784</v>
      </c>
      <c r="G387" s="3"/>
      <c r="H387" s="5">
        <f t="shared" si="11"/>
        <v>109.81904128868679</v>
      </c>
    </row>
    <row r="388" spans="2:8" x14ac:dyDescent="0.2">
      <c r="B388" s="1">
        <v>381</v>
      </c>
      <c r="C388" s="2">
        <v>3253.4875403634073</v>
      </c>
      <c r="D388" s="3"/>
      <c r="E388" s="5">
        <f t="shared" si="10"/>
        <v>59.400232653024283</v>
      </c>
      <c r="F388" s="2">
        <v>3291.9212302089586</v>
      </c>
      <c r="G388" s="3"/>
      <c r="H388" s="5">
        <f t="shared" si="11"/>
        <v>128.31190750820883</v>
      </c>
    </row>
    <row r="389" spans="2:8" x14ac:dyDescent="0.2">
      <c r="B389" s="1">
        <v>382</v>
      </c>
      <c r="C389" s="2">
        <v>3257.957904883373</v>
      </c>
      <c r="D389" s="3"/>
      <c r="E389" s="5">
        <f t="shared" si="10"/>
        <v>59.481849898898268</v>
      </c>
      <c r="F389" s="2">
        <v>2489.2302839118756</v>
      </c>
      <c r="G389" s="3"/>
      <c r="H389" s="5">
        <f t="shared" si="11"/>
        <v>97.024765667208513</v>
      </c>
    </row>
    <row r="390" spans="2:8" x14ac:dyDescent="0.2">
      <c r="B390" s="1">
        <v>383</v>
      </c>
      <c r="C390" s="2">
        <v>3258.2713743806744</v>
      </c>
      <c r="D390" s="3"/>
      <c r="E390" s="5">
        <f t="shared" si="10"/>
        <v>59.487573037787939</v>
      </c>
      <c r="F390" s="2">
        <v>1690.6962326374551</v>
      </c>
      <c r="G390" s="3"/>
      <c r="H390" s="5">
        <f t="shared" si="11"/>
        <v>65.899650525016952</v>
      </c>
    </row>
    <row r="391" spans="2:8" x14ac:dyDescent="0.2">
      <c r="B391" s="1">
        <v>384</v>
      </c>
      <c r="C391" s="2">
        <v>3256.1869093965802</v>
      </c>
      <c r="D391" s="3"/>
      <c r="E391" s="5">
        <f t="shared" si="10"/>
        <v>59.449516120871507</v>
      </c>
      <c r="F391" s="2">
        <v>894.56011584443195</v>
      </c>
      <c r="G391" s="3"/>
      <c r="H391" s="5">
        <f t="shared" si="11"/>
        <v>34.868001637292323</v>
      </c>
    </row>
    <row r="392" spans="2:8" x14ac:dyDescent="0.2">
      <c r="B392" s="1">
        <v>385</v>
      </c>
      <c r="C392" s="2">
        <v>2713.9499780422011</v>
      </c>
      <c r="D392" s="3"/>
      <c r="E392" s="5">
        <f t="shared" si="10"/>
        <v>49.549678031461028</v>
      </c>
      <c r="F392" s="2">
        <v>0</v>
      </c>
      <c r="G392" s="3"/>
      <c r="H392" s="5">
        <f t="shared" si="11"/>
        <v>0</v>
      </c>
    </row>
    <row r="393" spans="2:8" x14ac:dyDescent="0.2">
      <c r="B393" s="1">
        <v>386</v>
      </c>
      <c r="C393" s="2">
        <v>2554.3058616867775</v>
      </c>
      <c r="D393" s="3"/>
      <c r="E393" s="5">
        <f t="shared" ref="E393:E456" si="12">$D$5*C393</f>
        <v>46.634991088433907</v>
      </c>
      <c r="F393" s="2">
        <v>0</v>
      </c>
      <c r="G393" s="3"/>
      <c r="H393" s="5">
        <f t="shared" ref="H393:H456" si="13">$G$5*F393</f>
        <v>0</v>
      </c>
    </row>
    <row r="394" spans="2:8" x14ac:dyDescent="0.2">
      <c r="B394" s="1">
        <v>387</v>
      </c>
      <c r="C394" s="2">
        <v>2713.9499780422011</v>
      </c>
      <c r="D394" s="3"/>
      <c r="E394" s="5">
        <f t="shared" si="12"/>
        <v>49.549678031461028</v>
      </c>
      <c r="F394" s="2">
        <v>0</v>
      </c>
      <c r="G394" s="3"/>
      <c r="H394" s="5">
        <f t="shared" si="13"/>
        <v>0</v>
      </c>
    </row>
    <row r="395" spans="2:8" x14ac:dyDescent="0.2">
      <c r="B395" s="1">
        <v>388</v>
      </c>
      <c r="C395" s="2">
        <v>2873.5940943976243</v>
      </c>
      <c r="D395" s="3"/>
      <c r="E395" s="5">
        <f t="shared" si="12"/>
        <v>52.464364974488134</v>
      </c>
      <c r="F395" s="2">
        <v>0</v>
      </c>
      <c r="G395" s="3"/>
      <c r="H395" s="5">
        <f t="shared" si="13"/>
        <v>0</v>
      </c>
    </row>
    <row r="396" spans="2:8" x14ac:dyDescent="0.2">
      <c r="B396" s="1">
        <v>389</v>
      </c>
      <c r="C396" s="2">
        <v>3217.4429603939211</v>
      </c>
      <c r="D396" s="3"/>
      <c r="E396" s="5">
        <f t="shared" si="12"/>
        <v>58.742152236392698</v>
      </c>
      <c r="F396" s="2">
        <v>0</v>
      </c>
      <c r="G396" s="3"/>
      <c r="H396" s="5">
        <f t="shared" si="13"/>
        <v>0</v>
      </c>
    </row>
    <row r="397" spans="2:8" x14ac:dyDescent="0.2">
      <c r="B397" s="1">
        <v>390</v>
      </c>
      <c r="C397" s="2">
        <v>3248.4913733244493</v>
      </c>
      <c r="D397" s="3"/>
      <c r="E397" s="5">
        <f t="shared" si="12"/>
        <v>59.309015618747786</v>
      </c>
      <c r="F397" s="2">
        <v>189.99728663852011</v>
      </c>
      <c r="G397" s="3"/>
      <c r="H397" s="5">
        <f t="shared" si="13"/>
        <v>7.4056797125807758</v>
      </c>
    </row>
    <row r="398" spans="2:8" x14ac:dyDescent="0.2">
      <c r="B398" s="1">
        <v>391</v>
      </c>
      <c r="C398" s="2">
        <v>3248.928480478618</v>
      </c>
      <c r="D398" s="3"/>
      <c r="E398" s="5">
        <f t="shared" si="12"/>
        <v>59.316996060144845</v>
      </c>
      <c r="F398" s="2">
        <v>410.60587905339935</v>
      </c>
      <c r="G398" s="3"/>
      <c r="H398" s="5">
        <f t="shared" si="13"/>
        <v>16.004521339072951</v>
      </c>
    </row>
    <row r="399" spans="2:8" x14ac:dyDescent="0.2">
      <c r="B399" s="1">
        <v>392</v>
      </c>
      <c r="C399" s="2">
        <v>3253.5142633864689</v>
      </c>
      <c r="D399" s="3"/>
      <c r="E399" s="5">
        <f t="shared" si="12"/>
        <v>59.400720546021368</v>
      </c>
      <c r="F399" s="2">
        <v>627.06579571459588</v>
      </c>
      <c r="G399" s="3"/>
      <c r="H399" s="5">
        <f t="shared" si="13"/>
        <v>24.441656635929075</v>
      </c>
    </row>
    <row r="400" spans="2:8" x14ac:dyDescent="0.2">
      <c r="B400" s="1">
        <v>393</v>
      </c>
      <c r="C400" s="2">
        <v>3253.942460663684</v>
      </c>
      <c r="D400" s="3"/>
      <c r="E400" s="5">
        <f t="shared" si="12"/>
        <v>59.408538316205643</v>
      </c>
      <c r="F400" s="2">
        <v>847.68329800642914</v>
      </c>
      <c r="G400" s="3"/>
      <c r="H400" s="5">
        <f t="shared" si="13"/>
        <v>33.040845549986074</v>
      </c>
    </row>
    <row r="401" spans="2:8" x14ac:dyDescent="0.2">
      <c r="B401" s="1">
        <v>394</v>
      </c>
      <c r="C401" s="2">
        <v>3251.9576035653035</v>
      </c>
      <c r="D401" s="3"/>
      <c r="E401" s="5">
        <f t="shared" si="12"/>
        <v>59.372299980584529</v>
      </c>
      <c r="F401" s="2">
        <v>1070.713854673857</v>
      </c>
      <c r="G401" s="3"/>
      <c r="H401" s="5">
        <f t="shared" si="13"/>
        <v>41.734090058998461</v>
      </c>
    </row>
    <row r="402" spans="2:8" x14ac:dyDescent="0.2">
      <c r="B402" s="1">
        <v>395</v>
      </c>
      <c r="C402" s="2">
        <v>3249.989826040055</v>
      </c>
      <c r="D402" s="3"/>
      <c r="E402" s="5">
        <f t="shared" si="12"/>
        <v>59.336373473610386</v>
      </c>
      <c r="F402" s="2">
        <v>1293.7273317681538</v>
      </c>
      <c r="G402" s="3"/>
      <c r="H402" s="5">
        <f t="shared" si="13"/>
        <v>50.426668843513021</v>
      </c>
    </row>
    <row r="403" spans="2:8" x14ac:dyDescent="0.2">
      <c r="B403" s="1">
        <v>396</v>
      </c>
      <c r="C403" s="2">
        <v>3248.039062217691</v>
      </c>
      <c r="D403" s="3"/>
      <c r="E403" s="5">
        <f t="shared" si="12"/>
        <v>59.300757592663572</v>
      </c>
      <c r="F403" s="2">
        <v>1516.7237951595662</v>
      </c>
      <c r="G403" s="3"/>
      <c r="H403" s="5">
        <f t="shared" si="13"/>
        <v>59.118584471008255</v>
      </c>
    </row>
    <row r="404" spans="2:8" x14ac:dyDescent="0.2">
      <c r="B404" s="1">
        <v>397</v>
      </c>
      <c r="C404" s="2">
        <v>3246.1052464224335</v>
      </c>
      <c r="D404" s="3"/>
      <c r="E404" s="5">
        <f t="shared" si="12"/>
        <v>59.265451138674955</v>
      </c>
      <c r="F404" s="2">
        <v>1739.7033105238711</v>
      </c>
      <c r="G404" s="3"/>
      <c r="H404" s="5">
        <f t="shared" si="13"/>
        <v>67.809839501382669</v>
      </c>
    </row>
    <row r="405" spans="2:8" x14ac:dyDescent="0.2">
      <c r="B405" s="1">
        <v>398</v>
      </c>
      <c r="C405" s="2">
        <v>3244.188313172499</v>
      </c>
      <c r="D405" s="3"/>
      <c r="E405" s="5">
        <f t="shared" si="12"/>
        <v>59.230452916117223</v>
      </c>
      <c r="F405" s="2">
        <v>1962.6659433428549</v>
      </c>
      <c r="G405" s="3"/>
      <c r="H405" s="5">
        <f t="shared" si="13"/>
        <v>76.500436486973413</v>
      </c>
    </row>
    <row r="406" spans="2:8" x14ac:dyDescent="0.2">
      <c r="B406" s="1">
        <v>399</v>
      </c>
      <c r="C406" s="2">
        <v>3242.2881971796251</v>
      </c>
      <c r="D406" s="3"/>
      <c r="E406" s="5">
        <f t="shared" si="12"/>
        <v>59.195761732996289</v>
      </c>
      <c r="F406" s="2">
        <v>2185.6117589047772</v>
      </c>
      <c r="G406" s="3"/>
      <c r="H406" s="5">
        <f t="shared" si="13"/>
        <v>85.190377972574424</v>
      </c>
    </row>
    <row r="407" spans="2:8" x14ac:dyDescent="0.2">
      <c r="B407" s="1">
        <v>400</v>
      </c>
      <c r="C407" s="2">
        <v>3242.8173783602897</v>
      </c>
      <c r="D407" s="3"/>
      <c r="E407" s="5">
        <f t="shared" si="12"/>
        <v>59.205423206985998</v>
      </c>
      <c r="F407" s="2">
        <v>2025.4384613686871</v>
      </c>
      <c r="G407" s="3"/>
      <c r="H407" s="5">
        <f t="shared" si="13"/>
        <v>78.947172287658617</v>
      </c>
    </row>
    <row r="408" spans="2:8" x14ac:dyDescent="0.2">
      <c r="B408" s="1">
        <v>401</v>
      </c>
      <c r="C408" s="2">
        <v>3247.4871125140808</v>
      </c>
      <c r="D408" s="3"/>
      <c r="E408" s="5">
        <f t="shared" si="12"/>
        <v>59.290680424578412</v>
      </c>
      <c r="F408" s="2">
        <v>2308.12813665466</v>
      </c>
      <c r="G408" s="3"/>
      <c r="H408" s="5">
        <f t="shared" si="13"/>
        <v>89.965799081021146</v>
      </c>
    </row>
    <row r="409" spans="2:8" x14ac:dyDescent="0.2">
      <c r="B409" s="1">
        <v>402</v>
      </c>
      <c r="C409" s="2">
        <v>3252.1410326721784</v>
      </c>
      <c r="D409" s="3"/>
      <c r="E409" s="5">
        <f t="shared" si="12"/>
        <v>59.37564891968097</v>
      </c>
      <c r="F409" s="2">
        <v>2590.8336259363246</v>
      </c>
      <c r="G409" s="3"/>
      <c r="H409" s="5">
        <f t="shared" si="13"/>
        <v>100.98504226943405</v>
      </c>
    </row>
    <row r="410" spans="2:8" x14ac:dyDescent="0.2">
      <c r="B410" s="1">
        <v>403</v>
      </c>
      <c r="C410" s="2">
        <v>3256.7781376910598</v>
      </c>
      <c r="D410" s="3"/>
      <c r="E410" s="5">
        <f t="shared" si="12"/>
        <v>59.46031041401308</v>
      </c>
      <c r="F410" s="2">
        <v>3128.9865165258834</v>
      </c>
      <c r="G410" s="3"/>
      <c r="H410" s="5">
        <f t="shared" si="13"/>
        <v>121.96106784651614</v>
      </c>
    </row>
    <row r="411" spans="2:8" x14ac:dyDescent="0.2">
      <c r="B411" s="1">
        <v>404</v>
      </c>
      <c r="C411" s="2">
        <v>3261.3971916645787</v>
      </c>
      <c r="D411" s="3"/>
      <c r="E411" s="5">
        <f t="shared" si="12"/>
        <v>59.544642343138356</v>
      </c>
      <c r="F411" s="2">
        <v>3124.3674625523645</v>
      </c>
      <c r="G411" s="3"/>
      <c r="H411" s="5">
        <f t="shared" si="13"/>
        <v>121.78102720010372</v>
      </c>
    </row>
    <row r="412" spans="2:8" x14ac:dyDescent="0.2">
      <c r="B412" s="1">
        <v>405</v>
      </c>
      <c r="C412" s="2">
        <v>3265.9977724594014</v>
      </c>
      <c r="D412" s="3"/>
      <c r="E412" s="5">
        <f t="shared" si="12"/>
        <v>59.628636999998477</v>
      </c>
      <c r="F412" s="2">
        <v>3439.0551144683891</v>
      </c>
      <c r="G412" s="3"/>
      <c r="H412" s="5">
        <f t="shared" si="13"/>
        <v>134.04686531192917</v>
      </c>
    </row>
    <row r="413" spans="2:8" x14ac:dyDescent="0.2">
      <c r="B413" s="1">
        <v>406</v>
      </c>
      <c r="C413" s="2">
        <v>3270.579671094627</v>
      </c>
      <c r="D413" s="3"/>
      <c r="E413" s="5">
        <f t="shared" si="12"/>
        <v>59.712290569144947</v>
      </c>
      <c r="F413" s="2">
        <v>2604.3238107849611</v>
      </c>
      <c r="G413" s="3"/>
      <c r="H413" s="5">
        <f t="shared" si="13"/>
        <v>101.5108602430485</v>
      </c>
    </row>
    <row r="414" spans="2:8" x14ac:dyDescent="0.2">
      <c r="B414" s="1">
        <v>407</v>
      </c>
      <c r="C414" s="2">
        <v>3271.0084334227945</v>
      </c>
      <c r="D414" s="3"/>
      <c r="E414" s="5">
        <f t="shared" si="12"/>
        <v>59.720118655692083</v>
      </c>
      <c r="F414" s="2">
        <v>1773.7456434085911</v>
      </c>
      <c r="G414" s="3"/>
      <c r="H414" s="5">
        <f t="shared" si="13"/>
        <v>69.136735366442778</v>
      </c>
    </row>
    <row r="415" spans="2:8" x14ac:dyDescent="0.2">
      <c r="B415" s="1">
        <v>408</v>
      </c>
      <c r="C415" s="2">
        <v>3269.0568931158241</v>
      </c>
      <c r="D415" s="3"/>
      <c r="E415" s="5">
        <f t="shared" si="12"/>
        <v>59.684488598153017</v>
      </c>
      <c r="F415" s="2">
        <v>945.54777866735822</v>
      </c>
      <c r="G415" s="3"/>
      <c r="H415" s="5">
        <f t="shared" si="13"/>
        <v>36.855389493404473</v>
      </c>
    </row>
    <row r="416" spans="2:8" x14ac:dyDescent="0.2">
      <c r="B416" s="1">
        <v>409</v>
      </c>
      <c r="C416" s="2">
        <v>2713.9499780422011</v>
      </c>
      <c r="D416" s="3"/>
      <c r="E416" s="5">
        <f t="shared" si="12"/>
        <v>49.549678031461028</v>
      </c>
      <c r="F416" s="2">
        <v>0</v>
      </c>
      <c r="G416" s="3"/>
      <c r="H416" s="5">
        <f t="shared" si="13"/>
        <v>0</v>
      </c>
    </row>
    <row r="417" spans="2:8" x14ac:dyDescent="0.2">
      <c r="B417" s="1">
        <v>410</v>
      </c>
      <c r="C417" s="2">
        <v>2554.3058616867775</v>
      </c>
      <c r="D417" s="3"/>
      <c r="E417" s="5">
        <f t="shared" si="12"/>
        <v>46.634991088433907</v>
      </c>
      <c r="F417" s="2">
        <v>0</v>
      </c>
      <c r="G417" s="3"/>
      <c r="H417" s="5">
        <f t="shared" si="13"/>
        <v>0</v>
      </c>
    </row>
    <row r="418" spans="2:8" x14ac:dyDescent="0.2">
      <c r="B418" s="1">
        <v>411</v>
      </c>
      <c r="C418" s="2">
        <v>2713.9499780422011</v>
      </c>
      <c r="D418" s="3"/>
      <c r="E418" s="5">
        <f t="shared" si="12"/>
        <v>49.549678031461028</v>
      </c>
      <c r="F418" s="2">
        <v>0</v>
      </c>
      <c r="G418" s="3"/>
      <c r="H418" s="5">
        <f t="shared" si="13"/>
        <v>0</v>
      </c>
    </row>
    <row r="419" spans="2:8" x14ac:dyDescent="0.2">
      <c r="B419" s="1">
        <v>412</v>
      </c>
      <c r="C419" s="2">
        <v>2873.5940943976243</v>
      </c>
      <c r="D419" s="3"/>
      <c r="E419" s="5">
        <f t="shared" si="12"/>
        <v>52.464364974488134</v>
      </c>
      <c r="F419" s="2">
        <v>0</v>
      </c>
      <c r="G419" s="3"/>
      <c r="H419" s="5">
        <f t="shared" si="13"/>
        <v>0</v>
      </c>
    </row>
    <row r="420" spans="2:8" x14ac:dyDescent="0.2">
      <c r="B420" s="1">
        <v>413</v>
      </c>
      <c r="C420" s="2">
        <v>3192.8823271084716</v>
      </c>
      <c r="D420" s="3"/>
      <c r="E420" s="5">
        <f t="shared" si="12"/>
        <v>58.293738860542376</v>
      </c>
      <c r="F420" s="2">
        <v>0</v>
      </c>
      <c r="G420" s="3"/>
      <c r="H420" s="5">
        <f t="shared" si="13"/>
        <v>0</v>
      </c>
    </row>
    <row r="421" spans="2:8" x14ac:dyDescent="0.2">
      <c r="B421" s="1">
        <v>414</v>
      </c>
      <c r="C421" s="2">
        <v>3262.3117345132205</v>
      </c>
      <c r="D421" s="3"/>
      <c r="E421" s="5">
        <f t="shared" si="12"/>
        <v>59.561339520338677</v>
      </c>
      <c r="F421" s="2">
        <v>143.42941440248251</v>
      </c>
      <c r="G421" s="3"/>
      <c r="H421" s="5">
        <f t="shared" si="13"/>
        <v>5.5905656508068073</v>
      </c>
    </row>
    <row r="422" spans="2:8" x14ac:dyDescent="0.2">
      <c r="B422" s="1">
        <v>415</v>
      </c>
      <c r="C422" s="2">
        <v>3262.8487299744638</v>
      </c>
      <c r="D422" s="3"/>
      <c r="E422" s="5">
        <f t="shared" si="12"/>
        <v>59.571143662796807</v>
      </c>
      <c r="F422" s="2">
        <v>355.75124074847008</v>
      </c>
      <c r="G422" s="3"/>
      <c r="H422" s="5">
        <f t="shared" si="13"/>
        <v>13.866407215324141</v>
      </c>
    </row>
    <row r="423" spans="2:8" x14ac:dyDescent="0.2">
      <c r="B423" s="1">
        <v>416</v>
      </c>
      <c r="C423" s="2">
        <v>3267.523410897918</v>
      </c>
      <c r="D423" s="3"/>
      <c r="E423" s="5">
        <f t="shared" si="12"/>
        <v>59.656491195555702</v>
      </c>
      <c r="F423" s="2">
        <v>563.93538163224775</v>
      </c>
      <c r="G423" s="3"/>
      <c r="H423" s="5">
        <f t="shared" si="13"/>
        <v>21.980970827789314</v>
      </c>
    </row>
    <row r="424" spans="2:8" x14ac:dyDescent="0.2">
      <c r="B424" s="1">
        <v>417</v>
      </c>
      <c r="C424" s="2">
        <v>3272.1865295573079</v>
      </c>
      <c r="D424" s="3"/>
      <c r="E424" s="5">
        <f t="shared" si="12"/>
        <v>59.741627631401862</v>
      </c>
      <c r="F424" s="2">
        <v>772.13108478008871</v>
      </c>
      <c r="G424" s="3"/>
      <c r="H424" s="5">
        <f t="shared" si="13"/>
        <v>30.095985112082065</v>
      </c>
    </row>
    <row r="425" spans="2:8" x14ac:dyDescent="0.2">
      <c r="B425" s="1">
        <v>418</v>
      </c>
      <c r="C425" s="2">
        <v>3276.8374149641327</v>
      </c>
      <c r="D425" s="3"/>
      <c r="E425" s="5">
        <f t="shared" si="12"/>
        <v>59.826540719827918</v>
      </c>
      <c r="F425" s="2">
        <v>980.33902118049582</v>
      </c>
      <c r="G425" s="3"/>
      <c r="H425" s="5">
        <f t="shared" si="13"/>
        <v>38.211476221870335</v>
      </c>
    </row>
    <row r="426" spans="2:8" x14ac:dyDescent="0.2">
      <c r="B426" s="1">
        <v>419</v>
      </c>
      <c r="C426" s="2">
        <v>3281.4754001750184</v>
      </c>
      <c r="D426" s="3"/>
      <c r="E426" s="5">
        <f t="shared" si="12"/>
        <v>59.911218284180023</v>
      </c>
      <c r="F426" s="2">
        <v>1188.5598577768419</v>
      </c>
      <c r="G426" s="3"/>
      <c r="H426" s="5">
        <f t="shared" si="13"/>
        <v>46.327470153151708</v>
      </c>
    </row>
    <row r="427" spans="2:8" x14ac:dyDescent="0.2">
      <c r="B427" s="1">
        <v>420</v>
      </c>
      <c r="C427" s="2">
        <v>3286.0998223375632</v>
      </c>
      <c r="D427" s="3"/>
      <c r="E427" s="5">
        <f t="shared" si="12"/>
        <v>59.995648222494857</v>
      </c>
      <c r="F427" s="2">
        <v>1396.7942574215281</v>
      </c>
      <c r="G427" s="3"/>
      <c r="H427" s="5">
        <f t="shared" si="13"/>
        <v>54.443992742466627</v>
      </c>
    </row>
    <row r="428" spans="2:8" x14ac:dyDescent="0.2">
      <c r="B428" s="1">
        <v>421</v>
      </c>
      <c r="C428" s="2">
        <v>3290.7100227357691</v>
      </c>
      <c r="D428" s="3"/>
      <c r="E428" s="5">
        <f t="shared" si="12"/>
        <v>60.079818508329083</v>
      </c>
      <c r="F428" s="2">
        <v>1605.042878830553</v>
      </c>
      <c r="G428" s="3"/>
      <c r="H428" s="5">
        <f t="shared" si="13"/>
        <v>62.561069665127583</v>
      </c>
    </row>
    <row r="429" spans="2:8" x14ac:dyDescent="0.2">
      <c r="B429" s="1">
        <v>422</v>
      </c>
      <c r="C429" s="2">
        <v>3295.3053468350663</v>
      </c>
      <c r="D429" s="3"/>
      <c r="E429" s="5">
        <f t="shared" si="12"/>
        <v>60.163717191581398</v>
      </c>
      <c r="F429" s="2">
        <v>1813.3063765384886</v>
      </c>
      <c r="G429" s="3"/>
      <c r="H429" s="5">
        <f t="shared" si="13"/>
        <v>70.678726433464178</v>
      </c>
    </row>
    <row r="430" spans="2:8" x14ac:dyDescent="0.2">
      <c r="B430" s="1">
        <v>423</v>
      </c>
      <c r="C430" s="2">
        <v>3299.8853326181579</v>
      </c>
      <c r="D430" s="3"/>
      <c r="E430" s="5">
        <f t="shared" si="12"/>
        <v>60.247335837015889</v>
      </c>
      <c r="F430" s="2">
        <v>1649.0822743999724</v>
      </c>
      <c r="G430" s="3"/>
      <c r="H430" s="5">
        <f t="shared" si="13"/>
        <v>64.277629222861009</v>
      </c>
    </row>
    <row r="431" spans="2:8" x14ac:dyDescent="0.2">
      <c r="B431" s="1">
        <v>424</v>
      </c>
      <c r="C431" s="2">
        <v>3304.4500041986253</v>
      </c>
      <c r="D431" s="3"/>
      <c r="E431" s="5">
        <f t="shared" si="12"/>
        <v>60.330674884883926</v>
      </c>
      <c r="F431" s="2">
        <v>2017.0205409821615</v>
      </c>
      <c r="G431" s="3"/>
      <c r="H431" s="5">
        <f t="shared" si="13"/>
        <v>78.61906011652421</v>
      </c>
    </row>
    <row r="432" spans="2:8" x14ac:dyDescent="0.2">
      <c r="B432" s="1">
        <v>425</v>
      </c>
      <c r="C432" s="2">
        <v>3308.9984992513582</v>
      </c>
      <c r="D432" s="3"/>
      <c r="E432" s="5">
        <f t="shared" si="12"/>
        <v>60.4137185913686</v>
      </c>
      <c r="F432" s="2">
        <v>2384.9749840920831</v>
      </c>
      <c r="G432" s="3"/>
      <c r="H432" s="5">
        <f t="shared" si="13"/>
        <v>92.961121535945793</v>
      </c>
    </row>
    <row r="433" spans="2:8" x14ac:dyDescent="0.2">
      <c r="B433" s="1">
        <v>426</v>
      </c>
      <c r="C433" s="2">
        <v>3313.5296929180367</v>
      </c>
      <c r="D433" s="3"/>
      <c r="E433" s="5">
        <f t="shared" si="12"/>
        <v>60.496446419478417</v>
      </c>
      <c r="F433" s="2">
        <v>2752.9467285880592</v>
      </c>
      <c r="G433" s="3"/>
      <c r="H433" s="5">
        <f t="shared" si="13"/>
        <v>107.30385732564903</v>
      </c>
    </row>
    <row r="434" spans="2:8" x14ac:dyDescent="0.2">
      <c r="B434" s="1">
        <v>427</v>
      </c>
      <c r="C434" s="2">
        <v>3318.0428778972414</v>
      </c>
      <c r="D434" s="3"/>
      <c r="E434" s="5">
        <f t="shared" si="12"/>
        <v>60.578845455726437</v>
      </c>
      <c r="F434" s="2">
        <v>2309.4122236314402</v>
      </c>
      <c r="G434" s="3"/>
      <c r="H434" s="5">
        <f t="shared" si="13"/>
        <v>90.015849989859774</v>
      </c>
    </row>
    <row r="435" spans="2:8" x14ac:dyDescent="0.2">
      <c r="B435" s="1">
        <v>428</v>
      </c>
      <c r="C435" s="2">
        <v>3322.5389900885643</v>
      </c>
      <c r="D435" s="3"/>
      <c r="E435" s="5">
        <f t="shared" si="12"/>
        <v>60.66093278720853</v>
      </c>
      <c r="F435" s="2">
        <v>1865.894791462702</v>
      </c>
      <c r="G435" s="3"/>
      <c r="H435" s="5">
        <f t="shared" si="13"/>
        <v>72.728508114094083</v>
      </c>
    </row>
    <row r="436" spans="2:8" x14ac:dyDescent="0.2">
      <c r="B436" s="1">
        <v>429</v>
      </c>
      <c r="C436" s="2">
        <v>3327.0193691441691</v>
      </c>
      <c r="D436" s="3"/>
      <c r="E436" s="5">
        <f t="shared" si="12"/>
        <v>60.742732872493917</v>
      </c>
      <c r="F436" s="2">
        <v>1422.3930924296819</v>
      </c>
      <c r="G436" s="3"/>
      <c r="H436" s="5">
        <f t="shared" si="13"/>
        <v>55.441779481633418</v>
      </c>
    </row>
    <row r="437" spans="2:8" x14ac:dyDescent="0.2">
      <c r="B437" s="1">
        <v>430</v>
      </c>
      <c r="C437" s="2">
        <v>3331.4853469242903</v>
      </c>
      <c r="D437" s="3"/>
      <c r="E437" s="5">
        <f t="shared" si="12"/>
        <v>60.824270027891416</v>
      </c>
      <c r="F437" s="2">
        <v>978.90579467214729</v>
      </c>
      <c r="G437" s="3"/>
      <c r="H437" s="5">
        <f t="shared" si="13"/>
        <v>38.155612179471646</v>
      </c>
    </row>
    <row r="438" spans="2:8" x14ac:dyDescent="0.2">
      <c r="B438" s="1">
        <v>431</v>
      </c>
      <c r="C438" s="2">
        <v>3331.8063072979458</v>
      </c>
      <c r="D438" s="3"/>
      <c r="E438" s="5">
        <f t="shared" si="12"/>
        <v>60.830129930728297</v>
      </c>
      <c r="F438" s="2">
        <v>539.56351432107704</v>
      </c>
      <c r="G438" s="3"/>
      <c r="H438" s="5">
        <f t="shared" si="13"/>
        <v>21.031008612552839</v>
      </c>
    </row>
    <row r="439" spans="2:8" x14ac:dyDescent="0.2">
      <c r="B439" s="1">
        <v>432</v>
      </c>
      <c r="C439" s="2">
        <v>3192.8823271084716</v>
      </c>
      <c r="D439" s="3"/>
      <c r="E439" s="5">
        <f t="shared" si="12"/>
        <v>58.293738860542376</v>
      </c>
      <c r="F439" s="2">
        <v>0</v>
      </c>
      <c r="G439" s="3"/>
      <c r="H439" s="5">
        <f t="shared" si="13"/>
        <v>0</v>
      </c>
    </row>
    <row r="440" spans="2:8" x14ac:dyDescent="0.2">
      <c r="B440" s="1">
        <v>433</v>
      </c>
      <c r="C440" s="2">
        <v>2713.9499780422011</v>
      </c>
      <c r="D440" s="3"/>
      <c r="E440" s="5">
        <f t="shared" si="12"/>
        <v>49.549678031461028</v>
      </c>
      <c r="F440" s="2">
        <v>0</v>
      </c>
      <c r="G440" s="3"/>
      <c r="H440" s="5">
        <f t="shared" si="13"/>
        <v>0</v>
      </c>
    </row>
    <row r="441" spans="2:8" x14ac:dyDescent="0.2">
      <c r="B441" s="1">
        <v>434</v>
      </c>
      <c r="C441" s="2">
        <v>2554.3058616867775</v>
      </c>
      <c r="D441" s="3"/>
      <c r="E441" s="5">
        <f t="shared" si="12"/>
        <v>46.634991088433907</v>
      </c>
      <c r="F441" s="2">
        <v>0</v>
      </c>
      <c r="G441" s="3"/>
      <c r="H441" s="5">
        <f t="shared" si="13"/>
        <v>0</v>
      </c>
    </row>
    <row r="442" spans="2:8" x14ac:dyDescent="0.2">
      <c r="B442" s="1">
        <v>435</v>
      </c>
      <c r="C442" s="2">
        <v>2713.9499780422011</v>
      </c>
      <c r="D442" s="3"/>
      <c r="E442" s="5">
        <f t="shared" si="12"/>
        <v>49.549678031461028</v>
      </c>
      <c r="F442" s="2">
        <v>0</v>
      </c>
      <c r="G442" s="3"/>
      <c r="H442" s="5">
        <f t="shared" si="13"/>
        <v>0</v>
      </c>
    </row>
    <row r="443" spans="2:8" x14ac:dyDescent="0.2">
      <c r="B443" s="1">
        <v>436</v>
      </c>
      <c r="C443" s="2">
        <v>2873.5940943976243</v>
      </c>
      <c r="D443" s="3"/>
      <c r="E443" s="5">
        <f t="shared" si="12"/>
        <v>52.464364974488134</v>
      </c>
      <c r="F443" s="2">
        <v>0</v>
      </c>
      <c r="G443" s="3"/>
      <c r="H443" s="5">
        <f t="shared" si="13"/>
        <v>0</v>
      </c>
    </row>
    <row r="444" spans="2:8" x14ac:dyDescent="0.2">
      <c r="B444" s="1">
        <v>437</v>
      </c>
      <c r="C444" s="2">
        <v>3163.8561241347584</v>
      </c>
      <c r="D444" s="3"/>
      <c r="E444" s="5">
        <f t="shared" si="12"/>
        <v>57.763795779991995</v>
      </c>
      <c r="F444" s="2">
        <v>0</v>
      </c>
      <c r="G444" s="3"/>
      <c r="H444" s="5">
        <f t="shared" si="13"/>
        <v>0</v>
      </c>
    </row>
    <row r="445" spans="2:8" x14ac:dyDescent="0.2">
      <c r="B445" s="1">
        <v>438</v>
      </c>
      <c r="C445" s="2">
        <v>3323.7844444315169</v>
      </c>
      <c r="D445" s="3"/>
      <c r="E445" s="5">
        <f t="shared" si="12"/>
        <v>60.683671548864233</v>
      </c>
      <c r="F445" s="2">
        <v>43.255100519234929</v>
      </c>
      <c r="G445" s="3"/>
      <c r="H445" s="5">
        <f t="shared" si="13"/>
        <v>1.6859894477882285</v>
      </c>
    </row>
    <row r="446" spans="2:8" x14ac:dyDescent="0.2">
      <c r="B446" s="1">
        <v>439</v>
      </c>
      <c r="C446" s="2">
        <v>3324.2046686550252</v>
      </c>
      <c r="D446" s="3"/>
      <c r="E446" s="5">
        <f t="shared" si="12"/>
        <v>60.691343751795131</v>
      </c>
      <c r="F446" s="2">
        <v>246.01829711172013</v>
      </c>
      <c r="G446" s="3"/>
      <c r="H446" s="5">
        <f t="shared" si="13"/>
        <v>9.5892564787530823</v>
      </c>
    </row>
    <row r="447" spans="2:8" x14ac:dyDescent="0.2">
      <c r="B447" s="1">
        <v>440</v>
      </c>
      <c r="C447" s="2">
        <v>3328.7556838873907</v>
      </c>
      <c r="D447" s="3"/>
      <c r="E447" s="5">
        <f t="shared" si="12"/>
        <v>60.774433470214575</v>
      </c>
      <c r="F447" s="2">
        <v>444.65070269534863</v>
      </c>
      <c r="G447" s="3"/>
      <c r="H447" s="5">
        <f t="shared" si="13"/>
        <v>17.331514288415725</v>
      </c>
    </row>
    <row r="448" spans="2:8" x14ac:dyDescent="0.2">
      <c r="B448" s="1">
        <v>441</v>
      </c>
      <c r="C448" s="2">
        <v>3333.294284245665</v>
      </c>
      <c r="D448" s="3"/>
      <c r="E448" s="5">
        <f t="shared" si="12"/>
        <v>60.857296525276553</v>
      </c>
      <c r="F448" s="2">
        <v>643.29552315306819</v>
      </c>
      <c r="G448" s="3"/>
      <c r="H448" s="5">
        <f t="shared" si="13"/>
        <v>25.074256002784676</v>
      </c>
    </row>
    <row r="449" spans="2:8" x14ac:dyDescent="0.2">
      <c r="B449" s="1">
        <v>442</v>
      </c>
      <c r="C449" s="2">
        <v>3337.8198363041902</v>
      </c>
      <c r="D449" s="3"/>
      <c r="E449" s="5">
        <f t="shared" si="12"/>
        <v>60.939921352273664</v>
      </c>
      <c r="F449" s="2">
        <v>841.95339191053608</v>
      </c>
      <c r="G449" s="3"/>
      <c r="H449" s="5">
        <f t="shared" si="13"/>
        <v>32.817506311410099</v>
      </c>
    </row>
    <row r="450" spans="2:8" x14ac:dyDescent="0.2">
      <c r="B450" s="1">
        <v>443</v>
      </c>
      <c r="C450" s="2">
        <v>3342.3317105549145</v>
      </c>
      <c r="D450" s="3"/>
      <c r="E450" s="5">
        <f t="shared" si="12"/>
        <v>61.022296458023803</v>
      </c>
      <c r="F450" s="2">
        <v>1040.6249384758053</v>
      </c>
      <c r="G450" s="3"/>
      <c r="H450" s="5">
        <f t="shared" si="13"/>
        <v>40.561289751142496</v>
      </c>
    </row>
    <row r="451" spans="2:8" x14ac:dyDescent="0.2">
      <c r="B451" s="1">
        <v>444</v>
      </c>
      <c r="C451" s="2">
        <v>3346.8292814506212</v>
      </c>
      <c r="D451" s="3"/>
      <c r="E451" s="5">
        <f t="shared" si="12"/>
        <v>61.104410421659459</v>
      </c>
      <c r="F451" s="2">
        <v>1239.3107883960929</v>
      </c>
      <c r="G451" s="3"/>
      <c r="H451" s="5">
        <f t="shared" si="13"/>
        <v>48.305630704447616</v>
      </c>
    </row>
    <row r="452" spans="2:8" x14ac:dyDescent="0.2">
      <c r="B452" s="1">
        <v>445</v>
      </c>
      <c r="C452" s="2">
        <v>3351.3119274477622</v>
      </c>
      <c r="D452" s="3"/>
      <c r="E452" s="5">
        <f t="shared" si="12"/>
        <v>61.186251895409683</v>
      </c>
      <c r="F452" s="2">
        <v>1438.0115632149464</v>
      </c>
      <c r="G452" s="3"/>
      <c r="H452" s="5">
        <f t="shared" si="13"/>
        <v>56.050553397736905</v>
      </c>
    </row>
    <row r="453" spans="2:8" x14ac:dyDescent="0.2">
      <c r="B453" s="1">
        <v>446</v>
      </c>
      <c r="C453" s="2">
        <v>3355.7791798653366</v>
      </c>
      <c r="D453" s="3"/>
      <c r="E453" s="5">
        <f t="shared" si="12"/>
        <v>61.267812322376635</v>
      </c>
      <c r="F453" s="2">
        <v>1342.3191014514146</v>
      </c>
      <c r="G453" s="3"/>
      <c r="H453" s="5">
        <f t="shared" si="13"/>
        <v>52.320670012205312</v>
      </c>
    </row>
    <row r="454" spans="2:8" x14ac:dyDescent="0.2">
      <c r="B454" s="1">
        <v>447</v>
      </c>
      <c r="C454" s="2">
        <v>3360.2311675451692</v>
      </c>
      <c r="D454" s="3"/>
      <c r="E454" s="5">
        <f t="shared" si="12"/>
        <v>61.349094054877419</v>
      </c>
      <c r="F454" s="2">
        <v>1246.6419044256263</v>
      </c>
      <c r="G454" s="3"/>
      <c r="H454" s="5">
        <f t="shared" si="13"/>
        <v>48.591381612847613</v>
      </c>
    </row>
    <row r="455" spans="2:8" x14ac:dyDescent="0.2">
      <c r="B455" s="1">
        <v>448</v>
      </c>
      <c r="C455" s="2">
        <v>3364.6681672140294</v>
      </c>
      <c r="D455" s="3"/>
      <c r="E455" s="5">
        <f t="shared" si="12"/>
        <v>61.43010214522414</v>
      </c>
      <c r="F455" s="2">
        <v>1150.9796954108097</v>
      </c>
      <c r="G455" s="3"/>
      <c r="H455" s="5">
        <f t="shared" si="13"/>
        <v>44.862677413457959</v>
      </c>
    </row>
    <row r="456" spans="2:8" x14ac:dyDescent="0.2">
      <c r="B456" s="1">
        <v>449</v>
      </c>
      <c r="C456" s="2">
        <v>3369.0904541965479</v>
      </c>
      <c r="D456" s="3"/>
      <c r="E456" s="5">
        <f t="shared" si="12"/>
        <v>61.51084162012949</v>
      </c>
      <c r="F456" s="2">
        <v>1055.3321990823347</v>
      </c>
      <c r="G456" s="3"/>
      <c r="H456" s="5">
        <f t="shared" si="13"/>
        <v>41.134546682482963</v>
      </c>
    </row>
    <row r="457" spans="2:8" x14ac:dyDescent="0.2">
      <c r="B457" s="1">
        <v>450</v>
      </c>
      <c r="C457" s="2">
        <v>3373.4983023995906</v>
      </c>
      <c r="D457" s="3"/>
      <c r="E457" s="5">
        <f t="shared" ref="E457:E520" si="14">$D$5*C457</f>
        <v>61.591317480421459</v>
      </c>
      <c r="F457" s="2">
        <v>959.69914153333548</v>
      </c>
      <c r="G457" s="3"/>
      <c r="H457" s="5">
        <f t="shared" ref="H457:H520" si="15">$G$5*F457</f>
        <v>37.406978743630582</v>
      </c>
    </row>
    <row r="458" spans="2:8" x14ac:dyDescent="0.2">
      <c r="B458" s="1">
        <v>451</v>
      </c>
      <c r="C458" s="2">
        <v>3377.8919842967639</v>
      </c>
      <c r="D458" s="3"/>
      <c r="E458" s="5">
        <f t="shared" si="14"/>
        <v>61.671534700760446</v>
      </c>
      <c r="F458" s="2">
        <v>864.08025029020564</v>
      </c>
      <c r="G458" s="3"/>
      <c r="H458" s="5">
        <f t="shared" si="15"/>
        <v>33.679962976474101</v>
      </c>
    </row>
    <row r="459" spans="2:8" x14ac:dyDescent="0.2">
      <c r="B459" s="1">
        <v>452</v>
      </c>
      <c r="C459" s="2">
        <v>3382.2717709130447</v>
      </c>
      <c r="D459" s="3"/>
      <c r="E459" s="5">
        <f t="shared" si="14"/>
        <v>61.751498229358631</v>
      </c>
      <c r="F459" s="2">
        <v>768.47525432796829</v>
      </c>
      <c r="G459" s="3"/>
      <c r="H459" s="5">
        <f t="shared" si="15"/>
        <v>29.953488817051216</v>
      </c>
    </row>
    <row r="460" spans="2:8" x14ac:dyDescent="0.2">
      <c r="B460" s="1">
        <v>453</v>
      </c>
      <c r="C460" s="2">
        <v>3386.6377243049405</v>
      </c>
      <c r="D460" s="3"/>
      <c r="E460" s="5">
        <f t="shared" si="14"/>
        <v>61.831209199206668</v>
      </c>
      <c r="F460" s="2">
        <v>1083.3975336469198</v>
      </c>
      <c r="G460" s="3"/>
      <c r="H460" s="5">
        <f t="shared" si="15"/>
        <v>42.228472193151816</v>
      </c>
    </row>
    <row r="461" spans="2:8" x14ac:dyDescent="0.2">
      <c r="B461" s="1">
        <v>454</v>
      </c>
      <c r="C461" s="2">
        <v>3390.989481065963</v>
      </c>
      <c r="D461" s="3"/>
      <c r="E461" s="5">
        <f t="shared" si="14"/>
        <v>61.910660975445907</v>
      </c>
      <c r="F461" s="2">
        <v>600.11342781962594</v>
      </c>
      <c r="G461" s="3"/>
      <c r="H461" s="5">
        <f t="shared" si="15"/>
        <v>23.391112137861885</v>
      </c>
    </row>
    <row r="462" spans="2:8" x14ac:dyDescent="0.2">
      <c r="B462" s="1">
        <v>455</v>
      </c>
      <c r="C462" s="2">
        <v>3391.2012774347627</v>
      </c>
      <c r="D462" s="3"/>
      <c r="E462" s="5">
        <f t="shared" si="14"/>
        <v>61.914527827070721</v>
      </c>
      <c r="F462" s="2">
        <v>120.96928238455621</v>
      </c>
      <c r="G462" s="3"/>
      <c r="H462" s="5">
        <f t="shared" si="15"/>
        <v>4.7151187064328104</v>
      </c>
    </row>
    <row r="463" spans="2:8" x14ac:dyDescent="0.2">
      <c r="B463" s="1">
        <v>456</v>
      </c>
      <c r="C463" s="2">
        <v>3033.238210753048</v>
      </c>
      <c r="D463" s="3"/>
      <c r="E463" s="5">
        <f t="shared" si="14"/>
        <v>55.379051917515255</v>
      </c>
      <c r="F463" s="2">
        <v>0</v>
      </c>
      <c r="G463" s="3"/>
      <c r="H463" s="5">
        <f t="shared" si="15"/>
        <v>0</v>
      </c>
    </row>
    <row r="464" spans="2:8" x14ac:dyDescent="0.2">
      <c r="B464" s="1">
        <v>457</v>
      </c>
      <c r="C464" s="2">
        <v>2554.3058616867775</v>
      </c>
      <c r="D464" s="3"/>
      <c r="E464" s="5">
        <f t="shared" si="14"/>
        <v>46.634991088433907</v>
      </c>
      <c r="F464" s="2">
        <v>0</v>
      </c>
      <c r="G464" s="3"/>
      <c r="H464" s="5">
        <f t="shared" si="15"/>
        <v>0</v>
      </c>
    </row>
    <row r="465" spans="2:8" x14ac:dyDescent="0.2">
      <c r="B465" s="1">
        <v>458</v>
      </c>
      <c r="C465" s="2">
        <v>2554.3058616867775</v>
      </c>
      <c r="D465" s="3"/>
      <c r="E465" s="5">
        <f t="shared" si="14"/>
        <v>46.634991088433907</v>
      </c>
      <c r="F465" s="2">
        <v>0</v>
      </c>
      <c r="G465" s="3"/>
      <c r="H465" s="5">
        <f t="shared" si="15"/>
        <v>0</v>
      </c>
    </row>
    <row r="466" spans="2:8" x14ac:dyDescent="0.2">
      <c r="B466" s="1">
        <v>459</v>
      </c>
      <c r="C466" s="2">
        <v>2736.7562803786905</v>
      </c>
      <c r="D466" s="3"/>
      <c r="E466" s="5">
        <f t="shared" si="14"/>
        <v>49.966061880464906</v>
      </c>
      <c r="F466" s="2">
        <v>0</v>
      </c>
      <c r="G466" s="3"/>
      <c r="H466" s="5">
        <f t="shared" si="15"/>
        <v>0</v>
      </c>
    </row>
    <row r="467" spans="2:8" x14ac:dyDescent="0.2">
      <c r="B467" s="1">
        <v>460</v>
      </c>
      <c r="C467" s="2">
        <v>2919.2066990706026</v>
      </c>
      <c r="D467" s="3"/>
      <c r="E467" s="5">
        <f t="shared" si="14"/>
        <v>53.297132672495884</v>
      </c>
      <c r="F467" s="2">
        <v>0</v>
      </c>
      <c r="G467" s="3"/>
      <c r="H467" s="5">
        <f t="shared" si="15"/>
        <v>0</v>
      </c>
    </row>
    <row r="468" spans="2:8" x14ac:dyDescent="0.2">
      <c r="B468" s="1">
        <v>461</v>
      </c>
      <c r="C468" s="2">
        <v>3101.6571177625156</v>
      </c>
      <c r="D468" s="3"/>
      <c r="E468" s="5">
        <f t="shared" si="14"/>
        <v>56.628203464526884</v>
      </c>
      <c r="F468" s="2">
        <v>0</v>
      </c>
      <c r="G468" s="3"/>
      <c r="H468" s="5">
        <f t="shared" si="15"/>
        <v>0</v>
      </c>
    </row>
    <row r="469" spans="2:8" x14ac:dyDescent="0.2">
      <c r="B469" s="1">
        <v>462</v>
      </c>
      <c r="C469" s="2">
        <v>3284.1075364544286</v>
      </c>
      <c r="D469" s="3"/>
      <c r="E469" s="5">
        <f t="shared" si="14"/>
        <v>59.959274256557883</v>
      </c>
      <c r="F469" s="2">
        <v>0</v>
      </c>
      <c r="G469" s="3"/>
      <c r="H469" s="5">
        <f t="shared" si="15"/>
        <v>0</v>
      </c>
    </row>
    <row r="470" spans="2:8" x14ac:dyDescent="0.2">
      <c r="B470" s="1">
        <v>463</v>
      </c>
      <c r="C470" s="2">
        <v>3384.5242120860357</v>
      </c>
      <c r="D470" s="3"/>
      <c r="E470" s="5">
        <f t="shared" si="14"/>
        <v>61.792621955222955</v>
      </c>
      <c r="F470" s="2">
        <v>82.033743060305369</v>
      </c>
      <c r="G470" s="3"/>
      <c r="H470" s="5">
        <f t="shared" si="15"/>
        <v>3.1974963299586383</v>
      </c>
    </row>
    <row r="471" spans="2:8" x14ac:dyDescent="0.2">
      <c r="B471" s="1">
        <v>464</v>
      </c>
      <c r="C471" s="2">
        <v>3388.9432362776679</v>
      </c>
      <c r="D471" s="3"/>
      <c r="E471" s="5">
        <f t="shared" si="14"/>
        <v>61.873301860040719</v>
      </c>
      <c r="F471" s="2">
        <v>260.06513756058575</v>
      </c>
      <c r="G471" s="3"/>
      <c r="H471" s="5">
        <f t="shared" si="15"/>
        <v>10.13677167319867</v>
      </c>
    </row>
    <row r="472" spans="2:8" x14ac:dyDescent="0.2">
      <c r="B472" s="1">
        <v>465</v>
      </c>
      <c r="C472" s="2">
        <v>3389.2263870905567</v>
      </c>
      <c r="D472" s="3"/>
      <c r="E472" s="5">
        <f t="shared" si="14"/>
        <v>61.878471458495554</v>
      </c>
      <c r="F472" s="2">
        <v>442.23240543960992</v>
      </c>
      <c r="G472" s="3"/>
      <c r="H472" s="5">
        <f t="shared" si="15"/>
        <v>17.237254337430809</v>
      </c>
    </row>
    <row r="473" spans="2:8" x14ac:dyDescent="0.2">
      <c r="B473" s="1">
        <v>466</v>
      </c>
      <c r="C473" s="2">
        <v>3387.1664292539913</v>
      </c>
      <c r="D473" s="3"/>
      <c r="E473" s="5">
        <f t="shared" si="14"/>
        <v>61.840861978443961</v>
      </c>
      <c r="F473" s="2">
        <v>626.74278196808791</v>
      </c>
      <c r="G473" s="3"/>
      <c r="H473" s="5">
        <f t="shared" si="15"/>
        <v>24.429066264815251</v>
      </c>
    </row>
    <row r="474" spans="2:8" x14ac:dyDescent="0.2">
      <c r="B474" s="1">
        <v>467</v>
      </c>
      <c r="C474" s="2">
        <v>3385.1230407302874</v>
      </c>
      <c r="D474" s="3"/>
      <c r="E474" s="5">
        <f t="shared" si="14"/>
        <v>61.80355501101203</v>
      </c>
      <c r="F474" s="2">
        <v>811.23658918370438</v>
      </c>
      <c r="G474" s="3"/>
      <c r="H474" s="5">
        <f t="shared" si="15"/>
        <v>31.620232356533926</v>
      </c>
    </row>
    <row r="475" spans="2:8" x14ac:dyDescent="0.2">
      <c r="B475" s="1">
        <v>468</v>
      </c>
      <c r="C475" s="2">
        <v>3383.0961584665702</v>
      </c>
      <c r="D475" s="3"/>
      <c r="E475" s="5">
        <f t="shared" si="14"/>
        <v>61.766549405018026</v>
      </c>
      <c r="F475" s="2">
        <v>995.71389013933458</v>
      </c>
      <c r="G475" s="3"/>
      <c r="H475" s="5">
        <f t="shared" si="15"/>
        <v>38.810755070250352</v>
      </c>
    </row>
    <row r="476" spans="2:8" x14ac:dyDescent="0.2">
      <c r="B476" s="1">
        <v>469</v>
      </c>
      <c r="C476" s="2">
        <v>3381.0857195947256</v>
      </c>
      <c r="D476" s="3"/>
      <c r="E476" s="5">
        <f t="shared" si="14"/>
        <v>61.729844012653466</v>
      </c>
      <c r="F476" s="2">
        <v>1088.9495383571348</v>
      </c>
      <c r="G476" s="3"/>
      <c r="H476" s="5">
        <f t="shared" si="15"/>
        <v>42.444877223844799</v>
      </c>
    </row>
    <row r="477" spans="2:8" x14ac:dyDescent="0.2">
      <c r="B477" s="1">
        <v>470</v>
      </c>
      <c r="C477" s="2">
        <v>3379.0916614309522</v>
      </c>
      <c r="D477" s="3"/>
      <c r="E477" s="5">
        <f t="shared" si="14"/>
        <v>61.693437689474926</v>
      </c>
      <c r="F477" s="2">
        <v>1090.9435965209082</v>
      </c>
      <c r="G477" s="3"/>
      <c r="H477" s="5">
        <f t="shared" si="15"/>
        <v>42.522601260595167</v>
      </c>
    </row>
    <row r="478" spans="2:8" x14ac:dyDescent="0.2">
      <c r="B478" s="1">
        <v>471</v>
      </c>
      <c r="C478" s="2">
        <v>3377.1139214753111</v>
      </c>
      <c r="D478" s="3"/>
      <c r="E478" s="5">
        <f t="shared" si="14"/>
        <v>61.657329294395865</v>
      </c>
      <c r="F478" s="2">
        <v>1549.0473832063308</v>
      </c>
      <c r="G478" s="3"/>
      <c r="H478" s="5">
        <f t="shared" si="15"/>
        <v>60.37848741210221</v>
      </c>
    </row>
    <row r="479" spans="2:8" x14ac:dyDescent="0.2">
      <c r="B479" s="1">
        <v>472</v>
      </c>
      <c r="C479" s="2">
        <v>3377.4806348294178</v>
      </c>
      <c r="D479" s="3"/>
      <c r="E479" s="5">
        <f t="shared" si="14"/>
        <v>61.664024527827884</v>
      </c>
      <c r="F479" s="2">
        <v>1731.1310885441371</v>
      </c>
      <c r="G479" s="3"/>
      <c r="H479" s="5">
        <f t="shared" si="15"/>
        <v>67.475712990787628</v>
      </c>
    </row>
    <row r="480" spans="2:8" x14ac:dyDescent="0.2">
      <c r="B480" s="1">
        <v>473</v>
      </c>
      <c r="C480" s="2">
        <v>3381.9567491900862</v>
      </c>
      <c r="D480" s="3"/>
      <c r="E480" s="5">
        <f t="shared" si="14"/>
        <v>61.74574675085983</v>
      </c>
      <c r="F480" s="2">
        <v>1471.2243880147907</v>
      </c>
      <c r="G480" s="3"/>
      <c r="H480" s="5">
        <f t="shared" si="15"/>
        <v>57.34511684740167</v>
      </c>
    </row>
    <row r="481" spans="2:8" x14ac:dyDescent="0.2">
      <c r="B481" s="1">
        <v>474</v>
      </c>
      <c r="C481" s="2">
        <v>3386.4155864110485</v>
      </c>
      <c r="D481" s="3"/>
      <c r="E481" s="5">
        <f t="shared" si="14"/>
        <v>61.827153538192277</v>
      </c>
      <c r="F481" s="2">
        <v>1211.3349646251504</v>
      </c>
      <c r="G481" s="3"/>
      <c r="H481" s="5">
        <f t="shared" si="15"/>
        <v>47.215194129227598</v>
      </c>
    </row>
    <row r="482" spans="2:8" x14ac:dyDescent="0.2">
      <c r="B482" s="1">
        <v>475</v>
      </c>
      <c r="C482" s="2">
        <v>3390.8578739144259</v>
      </c>
      <c r="D482" s="3"/>
      <c r="E482" s="5">
        <f t="shared" si="14"/>
        <v>61.90825817066392</v>
      </c>
      <c r="F482" s="2">
        <v>1079.1773840374344</v>
      </c>
      <c r="G482" s="3"/>
      <c r="H482" s="5">
        <f t="shared" si="15"/>
        <v>42.06397996855241</v>
      </c>
    </row>
    <row r="483" spans="2:8" x14ac:dyDescent="0.2">
      <c r="B483" s="1">
        <v>476</v>
      </c>
      <c r="C483" s="2">
        <v>3395.2842063992507</v>
      </c>
      <c r="D483" s="3"/>
      <c r="E483" s="5">
        <f t="shared" si="14"/>
        <v>61.989071505934561</v>
      </c>
      <c r="F483" s="2">
        <v>691.60517229959214</v>
      </c>
      <c r="G483" s="3"/>
      <c r="H483" s="5">
        <f t="shared" si="15"/>
        <v>26.957260728462554</v>
      </c>
    </row>
    <row r="484" spans="2:8" x14ac:dyDescent="0.2">
      <c r="B484" s="1">
        <v>477</v>
      </c>
      <c r="C484" s="2">
        <v>3399.6955620611207</v>
      </c>
      <c r="D484" s="3"/>
      <c r="E484" s="5">
        <f t="shared" si="14"/>
        <v>62.069611403315278</v>
      </c>
      <c r="F484" s="2">
        <v>431.76323046904463</v>
      </c>
      <c r="G484" s="3"/>
      <c r="H484" s="5">
        <f t="shared" si="15"/>
        <v>16.829188737870531</v>
      </c>
    </row>
    <row r="485" spans="2:8" x14ac:dyDescent="0.2">
      <c r="B485" s="1">
        <v>478</v>
      </c>
      <c r="C485" s="2">
        <v>3404.0927843016898</v>
      </c>
      <c r="D485" s="3"/>
      <c r="E485" s="5">
        <f t="shared" si="14"/>
        <v>62.149893261129826</v>
      </c>
      <c r="F485" s="2">
        <v>171.93542205979793</v>
      </c>
      <c r="G485" s="3"/>
      <c r="H485" s="5">
        <f t="shared" si="15"/>
        <v>6.7016676372056656</v>
      </c>
    </row>
    <row r="486" spans="2:8" x14ac:dyDescent="0.2">
      <c r="B486" s="1">
        <v>479</v>
      </c>
      <c r="C486" s="2">
        <v>2873.5940943976243</v>
      </c>
      <c r="D486" s="3"/>
      <c r="E486" s="5">
        <f t="shared" si="14"/>
        <v>52.464364974488134</v>
      </c>
      <c r="F486" s="2">
        <v>0</v>
      </c>
      <c r="G486" s="3"/>
      <c r="H486" s="5">
        <f t="shared" si="15"/>
        <v>0</v>
      </c>
    </row>
    <row r="487" spans="2:8" x14ac:dyDescent="0.2">
      <c r="B487" s="1">
        <v>480</v>
      </c>
      <c r="C487" s="2">
        <v>2713.9499780422011</v>
      </c>
      <c r="D487" s="3"/>
      <c r="E487" s="5">
        <f t="shared" si="14"/>
        <v>49.549678031461028</v>
      </c>
      <c r="F487" s="2">
        <v>0</v>
      </c>
      <c r="G487" s="3"/>
      <c r="H487" s="5">
        <f t="shared" si="15"/>
        <v>0</v>
      </c>
    </row>
    <row r="488" spans="2:8" x14ac:dyDescent="0.2">
      <c r="B488" s="1">
        <v>481</v>
      </c>
      <c r="C488" s="2">
        <v>2554.3058616867775</v>
      </c>
      <c r="D488" s="3"/>
      <c r="E488" s="5">
        <f t="shared" si="14"/>
        <v>46.634991088433907</v>
      </c>
      <c r="F488" s="2">
        <v>0</v>
      </c>
      <c r="G488" s="3"/>
      <c r="H488" s="5">
        <f t="shared" si="15"/>
        <v>0</v>
      </c>
    </row>
    <row r="489" spans="2:8" x14ac:dyDescent="0.2">
      <c r="B489" s="1">
        <v>482</v>
      </c>
      <c r="C489" s="2">
        <v>2554.3058616867775</v>
      </c>
      <c r="D489" s="3"/>
      <c r="E489" s="5">
        <f t="shared" si="14"/>
        <v>46.634991088433907</v>
      </c>
      <c r="F489" s="2">
        <v>0</v>
      </c>
      <c r="G489" s="3"/>
      <c r="H489" s="5">
        <f t="shared" si="15"/>
        <v>0</v>
      </c>
    </row>
    <row r="490" spans="2:8" x14ac:dyDescent="0.2">
      <c r="B490" s="1">
        <v>483</v>
      </c>
      <c r="C490" s="2">
        <v>2713.9499780422016</v>
      </c>
      <c r="D490" s="3"/>
      <c r="E490" s="5">
        <f t="shared" si="14"/>
        <v>49.549678031461035</v>
      </c>
      <c r="F490" s="2">
        <v>0</v>
      </c>
      <c r="G490" s="3"/>
      <c r="H490" s="5">
        <f t="shared" si="15"/>
        <v>0</v>
      </c>
    </row>
    <row r="491" spans="2:8" x14ac:dyDescent="0.2">
      <c r="B491" s="1">
        <v>484</v>
      </c>
      <c r="C491" s="2">
        <v>2873.5940943976243</v>
      </c>
      <c r="D491" s="3"/>
      <c r="E491" s="5">
        <f t="shared" si="14"/>
        <v>52.464364974488134</v>
      </c>
      <c r="F491" s="2">
        <v>0</v>
      </c>
      <c r="G491" s="3"/>
      <c r="H491" s="5">
        <f t="shared" si="15"/>
        <v>0</v>
      </c>
    </row>
    <row r="492" spans="2:8" x14ac:dyDescent="0.2">
      <c r="B492" s="1">
        <v>485</v>
      </c>
      <c r="C492" s="2">
        <v>3033.238210753048</v>
      </c>
      <c r="D492" s="3"/>
      <c r="E492" s="5">
        <f t="shared" si="14"/>
        <v>55.379051917515255</v>
      </c>
      <c r="F492" s="2">
        <v>0</v>
      </c>
      <c r="G492" s="3"/>
      <c r="H492" s="5">
        <f t="shared" si="15"/>
        <v>0</v>
      </c>
    </row>
    <row r="493" spans="2:8" x14ac:dyDescent="0.2">
      <c r="B493" s="1">
        <v>486</v>
      </c>
      <c r="C493" s="2">
        <v>3192.8823271084716</v>
      </c>
      <c r="D493" s="3"/>
      <c r="E493" s="5">
        <f t="shared" si="14"/>
        <v>58.293738860542376</v>
      </c>
      <c r="F493" s="2">
        <v>0</v>
      </c>
      <c r="G493" s="3"/>
      <c r="H493" s="5">
        <f t="shared" si="15"/>
        <v>0</v>
      </c>
    </row>
    <row r="494" spans="2:8" x14ac:dyDescent="0.2">
      <c r="B494" s="1">
        <v>487</v>
      </c>
      <c r="C494" s="2">
        <v>3352.5264434638952</v>
      </c>
      <c r="D494" s="3"/>
      <c r="E494" s="5">
        <f t="shared" si="14"/>
        <v>61.208425803569497</v>
      </c>
      <c r="F494" s="2">
        <v>0</v>
      </c>
      <c r="G494" s="3"/>
      <c r="H494" s="5">
        <f t="shared" si="15"/>
        <v>0</v>
      </c>
    </row>
    <row r="495" spans="2:8" x14ac:dyDescent="0.2">
      <c r="B495" s="1">
        <v>488</v>
      </c>
      <c r="C495" s="2">
        <v>3405.6189401504457</v>
      </c>
      <c r="D495" s="3"/>
      <c r="E495" s="5">
        <f t="shared" si="14"/>
        <v>62.17775690325422</v>
      </c>
      <c r="F495" s="2">
        <v>106.55161966887317</v>
      </c>
      <c r="G495" s="3"/>
      <c r="H495" s="5">
        <f t="shared" si="15"/>
        <v>4.1531496690564689</v>
      </c>
    </row>
    <row r="496" spans="2:8" x14ac:dyDescent="0.2">
      <c r="B496" s="1">
        <v>489</v>
      </c>
      <c r="C496" s="2">
        <v>3405.9412668986752</v>
      </c>
      <c r="D496" s="3"/>
      <c r="E496" s="5">
        <f t="shared" si="14"/>
        <v>62.18364175254213</v>
      </c>
      <c r="F496" s="2">
        <v>265.87340927606783</v>
      </c>
      <c r="G496" s="3"/>
      <c r="H496" s="5">
        <f t="shared" si="15"/>
        <v>10.363165432654503</v>
      </c>
    </row>
    <row r="497" spans="2:8" x14ac:dyDescent="0.2">
      <c r="B497" s="1">
        <v>490</v>
      </c>
      <c r="C497" s="2">
        <v>3403.9745626930944</v>
      </c>
      <c r="D497" s="3"/>
      <c r="E497" s="5">
        <f t="shared" si="14"/>
        <v>62.147734841597533</v>
      </c>
      <c r="F497" s="2">
        <v>427.48422983707223</v>
      </c>
      <c r="G497" s="3"/>
      <c r="H497" s="5">
        <f t="shared" si="15"/>
        <v>16.662402628810941</v>
      </c>
    </row>
    <row r="498" spans="2:8" x14ac:dyDescent="0.2">
      <c r="B498" s="1">
        <v>491</v>
      </c>
      <c r="C498" s="2">
        <v>3402.0238940090135</v>
      </c>
      <c r="D498" s="3"/>
      <c r="E498" s="5">
        <f t="shared" si="14"/>
        <v>62.112120697628683</v>
      </c>
      <c r="F498" s="2">
        <v>589.07901487657637</v>
      </c>
      <c r="G498" s="3"/>
      <c r="H498" s="5">
        <f t="shared" si="15"/>
        <v>22.961014795324292</v>
      </c>
    </row>
    <row r="499" spans="2:8" x14ac:dyDescent="0.2">
      <c r="B499" s="1">
        <v>492</v>
      </c>
      <c r="C499" s="2">
        <v>3400.0891996548894</v>
      </c>
      <c r="D499" s="3"/>
      <c r="E499" s="5">
        <f t="shared" si="14"/>
        <v>62.076798203436915</v>
      </c>
      <c r="F499" s="2">
        <v>750.65782558612455</v>
      </c>
      <c r="G499" s="3"/>
      <c r="H499" s="5">
        <f t="shared" si="15"/>
        <v>29.259004317307451</v>
      </c>
    </row>
    <row r="500" spans="2:8" x14ac:dyDescent="0.2">
      <c r="B500" s="1">
        <v>493</v>
      </c>
      <c r="C500" s="2">
        <v>3398.170418618764</v>
      </c>
      <c r="D500" s="3"/>
      <c r="E500" s="5">
        <f t="shared" si="14"/>
        <v>62.041766245102345</v>
      </c>
      <c r="F500" s="2">
        <v>912.22072297767363</v>
      </c>
      <c r="G500" s="3"/>
      <c r="H500" s="5">
        <f t="shared" si="15"/>
        <v>35.556373572873383</v>
      </c>
    </row>
    <row r="501" spans="2:8" x14ac:dyDescent="0.2">
      <c r="B501" s="1">
        <v>494</v>
      </c>
      <c r="C501" s="2">
        <v>3396.2674900678289</v>
      </c>
      <c r="D501" s="3"/>
      <c r="E501" s="5">
        <f t="shared" si="14"/>
        <v>62.007023711975876</v>
      </c>
      <c r="F501" s="2">
        <v>1073.7677678840332</v>
      </c>
      <c r="G501" s="3"/>
      <c r="H501" s="5">
        <f t="shared" si="15"/>
        <v>41.853124933152287</v>
      </c>
    </row>
    <row r="502" spans="2:8" x14ac:dyDescent="0.2">
      <c r="B502" s="1">
        <v>495</v>
      </c>
      <c r="C502" s="2">
        <v>3394.3803533479945</v>
      </c>
      <c r="D502" s="3"/>
      <c r="E502" s="5">
        <f t="shared" si="14"/>
        <v>61.972569496671369</v>
      </c>
      <c r="F502" s="2">
        <v>916.01078824844308</v>
      </c>
      <c r="G502" s="3"/>
      <c r="H502" s="5">
        <f t="shared" si="15"/>
        <v>35.704102048272588</v>
      </c>
    </row>
    <row r="503" spans="2:8" x14ac:dyDescent="0.2">
      <c r="B503" s="1">
        <v>496</v>
      </c>
      <c r="C503" s="2">
        <v>3394.7812467775102</v>
      </c>
      <c r="D503" s="3"/>
      <c r="E503" s="5">
        <f t="shared" si="14"/>
        <v>61.979888769509166</v>
      </c>
      <c r="F503" s="2">
        <v>1075.2540111743501</v>
      </c>
      <c r="G503" s="3"/>
      <c r="H503" s="5">
        <f t="shared" si="15"/>
        <v>41.911055454044408</v>
      </c>
    </row>
    <row r="504" spans="2:8" x14ac:dyDescent="0.2">
      <c r="B504" s="1">
        <v>497</v>
      </c>
      <c r="C504" s="2">
        <v>3399.2686557124634</v>
      </c>
      <c r="D504" s="3"/>
      <c r="E504" s="5">
        <f t="shared" si="14"/>
        <v>62.061817202133717</v>
      </c>
      <c r="F504" s="2">
        <v>1709.3430676610915</v>
      </c>
      <c r="G504" s="3"/>
      <c r="H504" s="5">
        <f t="shared" si="15"/>
        <v>66.626463472094002</v>
      </c>
    </row>
    <row r="505" spans="2:8" x14ac:dyDescent="0.2">
      <c r="B505" s="1">
        <v>498</v>
      </c>
      <c r="C505" s="2">
        <v>3403.7379318243411</v>
      </c>
      <c r="D505" s="3"/>
      <c r="E505" s="5">
        <f t="shared" si="14"/>
        <v>62.143414576502785</v>
      </c>
      <c r="F505" s="2">
        <v>1545.2296751937893</v>
      </c>
      <c r="G505" s="3"/>
      <c r="H505" s="5">
        <f t="shared" si="15"/>
        <v>60.229681482937416</v>
      </c>
    </row>
    <row r="506" spans="2:8" x14ac:dyDescent="0.2">
      <c r="B506" s="1">
        <v>499</v>
      </c>
      <c r="C506" s="2">
        <v>3408.1890841075779</v>
      </c>
      <c r="D506" s="3"/>
      <c r="E506" s="5">
        <f t="shared" si="14"/>
        <v>62.224681056831393</v>
      </c>
      <c r="F506" s="2">
        <v>1860.0667556213989</v>
      </c>
      <c r="G506" s="3"/>
      <c r="H506" s="5">
        <f t="shared" si="15"/>
        <v>72.501343992133499</v>
      </c>
    </row>
    <row r="507" spans="2:8" x14ac:dyDescent="0.2">
      <c r="B507" s="1">
        <v>500</v>
      </c>
      <c r="C507" s="2">
        <v>3412.6218963721976</v>
      </c>
      <c r="D507" s="3"/>
      <c r="E507" s="5">
        <f t="shared" si="14"/>
        <v>62.305612696052052</v>
      </c>
      <c r="F507" s="2">
        <v>1504.4168873748486</v>
      </c>
      <c r="G507" s="3"/>
      <c r="H507" s="5">
        <f t="shared" si="15"/>
        <v>58.638888055767936</v>
      </c>
    </row>
    <row r="508" spans="2:8" x14ac:dyDescent="0.2">
      <c r="B508" s="1">
        <v>501</v>
      </c>
      <c r="C508" s="2">
        <v>3417.0372666122021</v>
      </c>
      <c r="D508" s="3"/>
      <c r="E508" s="5">
        <f t="shared" si="14"/>
        <v>62.38622588920299</v>
      </c>
      <c r="F508" s="2">
        <v>1148.7844611529126</v>
      </c>
      <c r="G508" s="3"/>
      <c r="H508" s="5">
        <f t="shared" si="15"/>
        <v>44.777111971468251</v>
      </c>
    </row>
    <row r="509" spans="2:8" x14ac:dyDescent="0.2">
      <c r="B509" s="1">
        <v>502</v>
      </c>
      <c r="C509" s="2">
        <v>3421.4364257577445</v>
      </c>
      <c r="D509" s="3"/>
      <c r="E509" s="5">
        <f t="shared" si="14"/>
        <v>62.466543109871893</v>
      </c>
      <c r="F509" s="2">
        <v>793.16824602543784</v>
      </c>
      <c r="G509" s="3"/>
      <c r="H509" s="5">
        <f t="shared" si="15"/>
        <v>30.915967760262614</v>
      </c>
    </row>
    <row r="510" spans="2:8" x14ac:dyDescent="0.2">
      <c r="B510" s="1">
        <v>503</v>
      </c>
      <c r="C510" s="2">
        <v>3421.7389064788208</v>
      </c>
      <c r="D510" s="3"/>
      <c r="E510" s="5">
        <f t="shared" si="14"/>
        <v>62.472065622247335</v>
      </c>
      <c r="F510" s="2">
        <v>441.64870932243002</v>
      </c>
      <c r="G510" s="3"/>
      <c r="H510" s="5">
        <f t="shared" si="15"/>
        <v>17.214503136243735</v>
      </c>
    </row>
    <row r="511" spans="2:8" x14ac:dyDescent="0.2">
      <c r="B511" s="1">
        <v>504</v>
      </c>
      <c r="C511" s="2">
        <v>3419.797916153776</v>
      </c>
      <c r="D511" s="3"/>
      <c r="E511" s="5">
        <f t="shared" si="14"/>
        <v>62.436628179978214</v>
      </c>
      <c r="F511" s="2">
        <v>92.37264366554291</v>
      </c>
      <c r="G511" s="3"/>
      <c r="H511" s="5">
        <f t="shared" si="15"/>
        <v>3.6004841189804297</v>
      </c>
    </row>
    <row r="512" spans="2:8" x14ac:dyDescent="0.2">
      <c r="B512" s="1">
        <v>505</v>
      </c>
      <c r="C512" s="2">
        <v>2713.9499780422011</v>
      </c>
      <c r="D512" s="3"/>
      <c r="E512" s="5">
        <f t="shared" si="14"/>
        <v>49.549678031461028</v>
      </c>
      <c r="F512" s="2">
        <v>0</v>
      </c>
      <c r="G512" s="3"/>
      <c r="H512" s="5">
        <f t="shared" si="15"/>
        <v>0</v>
      </c>
    </row>
    <row r="513" spans="2:8" x14ac:dyDescent="0.2">
      <c r="B513" s="1">
        <v>506</v>
      </c>
      <c r="C513" s="2">
        <v>2554.3058616867775</v>
      </c>
      <c r="D513" s="3"/>
      <c r="E513" s="5">
        <f t="shared" si="14"/>
        <v>46.634991088433907</v>
      </c>
      <c r="F513" s="2">
        <v>0</v>
      </c>
      <c r="G513" s="3"/>
      <c r="H513" s="5">
        <f t="shared" si="15"/>
        <v>0</v>
      </c>
    </row>
    <row r="514" spans="2:8" x14ac:dyDescent="0.2">
      <c r="B514" s="1">
        <v>507</v>
      </c>
      <c r="C514" s="2">
        <v>2713.9499780422011</v>
      </c>
      <c r="D514" s="3"/>
      <c r="E514" s="5">
        <f t="shared" si="14"/>
        <v>49.549678031461028</v>
      </c>
      <c r="F514" s="2">
        <v>0</v>
      </c>
      <c r="G514" s="3"/>
      <c r="H514" s="5">
        <f t="shared" si="15"/>
        <v>0</v>
      </c>
    </row>
    <row r="515" spans="2:8" x14ac:dyDescent="0.2">
      <c r="B515" s="1">
        <v>508</v>
      </c>
      <c r="C515" s="2">
        <v>2873.5940943976243</v>
      </c>
      <c r="D515" s="3"/>
      <c r="E515" s="5">
        <f t="shared" si="14"/>
        <v>52.464364974488134</v>
      </c>
      <c r="F515" s="2">
        <v>0</v>
      </c>
      <c r="G515" s="3"/>
      <c r="H515" s="5">
        <f t="shared" si="15"/>
        <v>0</v>
      </c>
    </row>
    <row r="516" spans="2:8" x14ac:dyDescent="0.2">
      <c r="B516" s="1">
        <v>509</v>
      </c>
      <c r="C516" s="2">
        <v>3272.704385286183</v>
      </c>
      <c r="D516" s="3"/>
      <c r="E516" s="5">
        <f t="shared" si="14"/>
        <v>59.75108233205593</v>
      </c>
      <c r="F516" s="2">
        <v>0</v>
      </c>
      <c r="G516" s="3"/>
      <c r="H516" s="5">
        <f t="shared" si="15"/>
        <v>0</v>
      </c>
    </row>
    <row r="517" spans="2:8" x14ac:dyDescent="0.2">
      <c r="B517" s="1">
        <v>510</v>
      </c>
      <c r="C517" s="2">
        <v>3414.8839992059793</v>
      </c>
      <c r="D517" s="3"/>
      <c r="E517" s="5">
        <f t="shared" si="14"/>
        <v>62.346912818749516</v>
      </c>
      <c r="F517" s="2">
        <v>97.286560613339134</v>
      </c>
      <c r="G517" s="3"/>
      <c r="H517" s="5">
        <f t="shared" si="15"/>
        <v>3.7920178808221814</v>
      </c>
    </row>
    <row r="518" spans="2:8" x14ac:dyDescent="0.2">
      <c r="B518" s="1">
        <v>511</v>
      </c>
      <c r="C518" s="2">
        <v>3415.2646670784611</v>
      </c>
      <c r="D518" s="3"/>
      <c r="E518" s="5">
        <f t="shared" si="14"/>
        <v>62.353862825444928</v>
      </c>
      <c r="F518" s="2">
        <v>336.37206727399234</v>
      </c>
      <c r="G518" s="3"/>
      <c r="H518" s="5">
        <f t="shared" si="15"/>
        <v>13.111049313189623</v>
      </c>
    </row>
    <row r="519" spans="2:8" x14ac:dyDescent="0.2">
      <c r="B519" s="1">
        <v>512</v>
      </c>
      <c r="C519" s="2">
        <v>3419.7217090025724</v>
      </c>
      <c r="D519" s="3"/>
      <c r="E519" s="5">
        <f t="shared" si="14"/>
        <v>62.43523683531955</v>
      </c>
      <c r="F519" s="2">
        <v>571.3811998830156</v>
      </c>
      <c r="G519" s="3"/>
      <c r="H519" s="5">
        <f t="shared" si="15"/>
        <v>22.271192578525071</v>
      </c>
    </row>
    <row r="520" spans="2:8" x14ac:dyDescent="0.2">
      <c r="B520" s="1">
        <v>513</v>
      </c>
      <c r="C520" s="2">
        <v>3420.0886241764583</v>
      </c>
      <c r="D520" s="3"/>
      <c r="E520" s="5">
        <f t="shared" si="14"/>
        <v>62.441935753456583</v>
      </c>
      <c r="F520" s="2">
        <v>810.48045924226517</v>
      </c>
      <c r="G520" s="3"/>
      <c r="H520" s="5">
        <f t="shared" si="15"/>
        <v>31.590760061079283</v>
      </c>
    </row>
    <row r="521" spans="2:8" x14ac:dyDescent="0.2">
      <c r="B521" s="1">
        <v>514</v>
      </c>
      <c r="C521" s="2">
        <v>3418.2245015426515</v>
      </c>
      <c r="D521" s="3"/>
      <c r="E521" s="5">
        <f t="shared" ref="E521:E584" si="16">$D$5*C521</f>
        <v>62.40790171559162</v>
      </c>
      <c r="F521" s="2">
        <v>1051.8107564092079</v>
      </c>
      <c r="G521" s="3"/>
      <c r="H521" s="5">
        <f t="shared" ref="H521:H584" si="17">$G$5*F521</f>
        <v>40.99728852988099</v>
      </c>
    </row>
    <row r="522" spans="2:8" x14ac:dyDescent="0.2">
      <c r="B522" s="1">
        <v>515</v>
      </c>
      <c r="C522" s="2">
        <v>3416.3758540406802</v>
      </c>
      <c r="D522" s="3"/>
      <c r="E522" s="5">
        <f t="shared" si="16"/>
        <v>62.374150213442562</v>
      </c>
      <c r="F522" s="2">
        <v>1293.1255784443142</v>
      </c>
      <c r="G522" s="3"/>
      <c r="H522" s="5">
        <f t="shared" si="17"/>
        <v>50.40321381180609</v>
      </c>
    </row>
    <row r="523" spans="2:8" x14ac:dyDescent="0.2">
      <c r="B523" s="1">
        <v>516</v>
      </c>
      <c r="C523" s="2">
        <v>3414.5426224034845</v>
      </c>
      <c r="D523" s="3"/>
      <c r="E523" s="5">
        <f t="shared" si="16"/>
        <v>62.340680164946804</v>
      </c>
      <c r="F523" s="2">
        <v>1534.4249846146449</v>
      </c>
      <c r="G523" s="3"/>
      <c r="H523" s="5">
        <f t="shared" si="17"/>
        <v>59.80853821695532</v>
      </c>
    </row>
    <row r="524" spans="2:8" x14ac:dyDescent="0.2">
      <c r="B524" s="1">
        <v>517</v>
      </c>
      <c r="C524" s="2">
        <v>3412.7247475383006</v>
      </c>
      <c r="D524" s="3"/>
      <c r="E524" s="5">
        <f t="shared" si="16"/>
        <v>62.307490491223952</v>
      </c>
      <c r="F524" s="2">
        <v>1775.7090340129657</v>
      </c>
      <c r="G524" s="3"/>
      <c r="H524" s="5">
        <f t="shared" si="17"/>
        <v>69.21326404863575</v>
      </c>
    </row>
    <row r="525" spans="2:8" x14ac:dyDescent="0.2">
      <c r="B525" s="1">
        <v>518</v>
      </c>
      <c r="C525" s="2">
        <v>3410.9221705262339</v>
      </c>
      <c r="D525" s="3"/>
      <c r="E525" s="5">
        <f t="shared" si="16"/>
        <v>62.274580116568025</v>
      </c>
      <c r="F525" s="2">
        <v>2016.9777855581683</v>
      </c>
      <c r="G525" s="3"/>
      <c r="H525" s="5">
        <f t="shared" si="17"/>
        <v>78.617393603377252</v>
      </c>
    </row>
    <row r="526" spans="2:8" x14ac:dyDescent="0.2">
      <c r="B526" s="1">
        <v>519</v>
      </c>
      <c r="C526" s="2">
        <v>3409.1348326218376</v>
      </c>
      <c r="D526" s="3"/>
      <c r="E526" s="5">
        <f t="shared" si="16"/>
        <v>62.241947968439732</v>
      </c>
      <c r="F526" s="2">
        <v>1859.1210071071391</v>
      </c>
      <c r="G526" s="3"/>
      <c r="H526" s="5">
        <f t="shared" si="17"/>
        <v>72.464480778404649</v>
      </c>
    </row>
    <row r="527" spans="2:8" x14ac:dyDescent="0.2">
      <c r="B527" s="1">
        <v>520</v>
      </c>
      <c r="C527" s="2">
        <v>3409.5766389956502</v>
      </c>
      <c r="D527" s="3"/>
      <c r="E527" s="5">
        <f t="shared" si="16"/>
        <v>62.250014205382847</v>
      </c>
      <c r="F527" s="2">
        <v>2071.5380225405593</v>
      </c>
      <c r="G527" s="3"/>
      <c r="H527" s="5">
        <f t="shared" si="17"/>
        <v>80.744032605874324</v>
      </c>
    </row>
    <row r="528" spans="2:8" x14ac:dyDescent="0.2">
      <c r="B528" s="1">
        <v>521</v>
      </c>
      <c r="C528" s="2">
        <v>3414.0794893242282</v>
      </c>
      <c r="D528" s="3"/>
      <c r="E528" s="5">
        <f t="shared" si="16"/>
        <v>62.332224557751189</v>
      </c>
      <c r="F528" s="2">
        <v>2812.0410485372913</v>
      </c>
      <c r="G528" s="3"/>
      <c r="H528" s="5">
        <f t="shared" si="17"/>
        <v>109.60722499010103</v>
      </c>
    </row>
    <row r="529" spans="2:8" x14ac:dyDescent="0.2">
      <c r="B529" s="1">
        <v>522</v>
      </c>
      <c r="C529" s="2">
        <v>3418.5632288740958</v>
      </c>
      <c r="D529" s="3"/>
      <c r="E529" s="5">
        <f t="shared" si="16"/>
        <v>62.414085996934062</v>
      </c>
      <c r="F529" s="2">
        <v>2647.9131926320001</v>
      </c>
      <c r="G529" s="3"/>
      <c r="H529" s="5">
        <f t="shared" si="17"/>
        <v>103.20987924768679</v>
      </c>
    </row>
    <row r="530" spans="2:8" x14ac:dyDescent="0.2">
      <c r="B530" s="1">
        <v>523</v>
      </c>
      <c r="C530" s="2">
        <v>3423.0278263934624</v>
      </c>
      <c r="D530" s="3"/>
      <c r="E530" s="5">
        <f t="shared" si="16"/>
        <v>62.495597952354942</v>
      </c>
      <c r="F530" s="2">
        <v>2962.7368278234808</v>
      </c>
      <c r="G530" s="3"/>
      <c r="H530" s="5">
        <f t="shared" si="17"/>
        <v>115.4810176909123</v>
      </c>
    </row>
    <row r="531" spans="2:8" x14ac:dyDescent="0.2">
      <c r="B531" s="1">
        <v>524</v>
      </c>
      <c r="C531" s="2">
        <v>3427.4730632742112</v>
      </c>
      <c r="D531" s="3"/>
      <c r="E531" s="5">
        <f t="shared" si="16"/>
        <v>62.576756432797374</v>
      </c>
      <c r="F531" s="2">
        <v>2639.0033582318847</v>
      </c>
      <c r="G531" s="3"/>
      <c r="H531" s="5">
        <f t="shared" si="17"/>
        <v>102.86259334152052</v>
      </c>
    </row>
    <row r="532" spans="2:8" x14ac:dyDescent="0.2">
      <c r="B532" s="1">
        <v>525</v>
      </c>
      <c r="C532" s="2">
        <v>3431.8993672569791</v>
      </c>
      <c r="D532" s="3"/>
      <c r="E532" s="5">
        <f t="shared" si="16"/>
        <v>62.657569247694482</v>
      </c>
      <c r="F532" s="2">
        <v>3113.5094033153869</v>
      </c>
      <c r="G532" s="3"/>
      <c r="H532" s="5">
        <f t="shared" si="17"/>
        <v>121.35780374027468</v>
      </c>
    </row>
    <row r="533" spans="2:8" x14ac:dyDescent="0.2">
      <c r="B533" s="1">
        <v>526</v>
      </c>
      <c r="C533" s="2">
        <v>3436.3065200413512</v>
      </c>
      <c r="D533" s="3"/>
      <c r="E533" s="5">
        <f t="shared" si="16"/>
        <v>62.738032411447641</v>
      </c>
      <c r="F533" s="2">
        <v>2310.8816687538974</v>
      </c>
      <c r="G533" s="3"/>
      <c r="H533" s="5">
        <f t="shared" si="17"/>
        <v>90.073125754817596</v>
      </c>
    </row>
    <row r="534" spans="2:8" x14ac:dyDescent="0.2">
      <c r="B534" s="1">
        <v>527</v>
      </c>
      <c r="C534" s="2">
        <v>3436.6418083804492</v>
      </c>
      <c r="D534" s="3"/>
      <c r="E534" s="5">
        <f t="shared" si="16"/>
        <v>62.744153905721454</v>
      </c>
      <c r="F534" s="2">
        <v>1512.3257986376802</v>
      </c>
      <c r="G534" s="3"/>
      <c r="H534" s="5">
        <f t="shared" si="17"/>
        <v>58.947160161775365</v>
      </c>
    </row>
    <row r="535" spans="2:8" x14ac:dyDescent="0.2">
      <c r="B535" s="1">
        <v>528</v>
      </c>
      <c r="C535" s="2">
        <v>3434.7986349525877</v>
      </c>
      <c r="D535" s="3"/>
      <c r="E535" s="5">
        <f t="shared" si="16"/>
        <v>62.710502345948584</v>
      </c>
      <c r="F535" s="2">
        <v>715.94839028842443</v>
      </c>
      <c r="G535" s="3"/>
      <c r="H535" s="5">
        <f t="shared" si="17"/>
        <v>27.906106255619029</v>
      </c>
    </row>
    <row r="536" spans="2:8" x14ac:dyDescent="0.2">
      <c r="B536" s="1">
        <v>529</v>
      </c>
      <c r="C536" s="2">
        <v>2713.9499780422011</v>
      </c>
      <c r="D536" s="3"/>
      <c r="E536" s="5">
        <f t="shared" si="16"/>
        <v>49.549678031461028</v>
      </c>
      <c r="F536" s="2">
        <v>0</v>
      </c>
      <c r="G536" s="3"/>
      <c r="H536" s="5">
        <f t="shared" si="17"/>
        <v>0</v>
      </c>
    </row>
    <row r="537" spans="2:8" x14ac:dyDescent="0.2">
      <c r="B537" s="1">
        <v>530</v>
      </c>
      <c r="C537" s="2">
        <v>2554.3058616867775</v>
      </c>
      <c r="D537" s="3"/>
      <c r="E537" s="5">
        <f t="shared" si="16"/>
        <v>46.634991088433907</v>
      </c>
      <c r="F537" s="2">
        <v>0</v>
      </c>
      <c r="G537" s="3"/>
      <c r="H537" s="5">
        <f t="shared" si="17"/>
        <v>0</v>
      </c>
    </row>
    <row r="538" spans="2:8" x14ac:dyDescent="0.2">
      <c r="B538" s="1">
        <v>531</v>
      </c>
      <c r="C538" s="2">
        <v>2745.8788013132853</v>
      </c>
      <c r="D538" s="3"/>
      <c r="E538" s="5">
        <f t="shared" si="16"/>
        <v>50.132615420066436</v>
      </c>
      <c r="F538" s="2">
        <v>0</v>
      </c>
      <c r="G538" s="3"/>
      <c r="H538" s="5">
        <f t="shared" si="17"/>
        <v>0</v>
      </c>
    </row>
    <row r="539" spans="2:8" x14ac:dyDescent="0.2">
      <c r="B539" s="1">
        <v>532</v>
      </c>
      <c r="C539" s="2">
        <v>2873.5940943976243</v>
      </c>
      <c r="D539" s="3"/>
      <c r="E539" s="5">
        <f t="shared" si="16"/>
        <v>52.464364974488134</v>
      </c>
      <c r="F539" s="2">
        <v>0</v>
      </c>
      <c r="G539" s="3"/>
      <c r="H539" s="5">
        <f t="shared" si="17"/>
        <v>0</v>
      </c>
    </row>
    <row r="540" spans="2:8" x14ac:dyDescent="0.2">
      <c r="B540" s="1">
        <v>533</v>
      </c>
      <c r="C540" s="2">
        <v>3170.0760247719822</v>
      </c>
      <c r="D540" s="3"/>
      <c r="E540" s="5">
        <f t="shared" si="16"/>
        <v>57.877355011538498</v>
      </c>
      <c r="F540" s="2">
        <v>0</v>
      </c>
      <c r="G540" s="3"/>
      <c r="H540" s="5">
        <f t="shared" si="17"/>
        <v>0</v>
      </c>
    </row>
    <row r="541" spans="2:8" x14ac:dyDescent="0.2">
      <c r="B541" s="1">
        <v>534</v>
      </c>
      <c r="C541" s="2">
        <v>3375.3327458003841</v>
      </c>
      <c r="D541" s="3"/>
      <c r="E541" s="5">
        <f t="shared" si="16"/>
        <v>61.624809652573369</v>
      </c>
      <c r="F541" s="2">
        <v>0</v>
      </c>
      <c r="G541" s="3"/>
      <c r="H541" s="5">
        <f t="shared" si="17"/>
        <v>0</v>
      </c>
    </row>
    <row r="542" spans="2:8" x14ac:dyDescent="0.2">
      <c r="B542" s="1">
        <v>535</v>
      </c>
      <c r="C542" s="2">
        <v>3431.0453266417794</v>
      </c>
      <c r="D542" s="3"/>
      <c r="E542" s="5">
        <f t="shared" si="16"/>
        <v>62.641976684142712</v>
      </c>
      <c r="F542" s="2">
        <v>149.54414018700663</v>
      </c>
      <c r="G542" s="3"/>
      <c r="H542" s="5">
        <f t="shared" si="17"/>
        <v>5.828904321277399</v>
      </c>
    </row>
    <row r="543" spans="2:8" x14ac:dyDescent="0.2">
      <c r="B543" s="1">
        <v>536</v>
      </c>
      <c r="C543" s="2">
        <v>3435.5211625165007</v>
      </c>
      <c r="D543" s="3"/>
      <c r="E543" s="5">
        <f t="shared" si="16"/>
        <v>62.723693822744544</v>
      </c>
      <c r="F543" s="2">
        <v>350.32502534068726</v>
      </c>
      <c r="G543" s="3"/>
      <c r="H543" s="5">
        <f t="shared" si="17"/>
        <v>13.654905177203123</v>
      </c>
    </row>
    <row r="544" spans="2:8" x14ac:dyDescent="0.2">
      <c r="B544" s="1">
        <v>537</v>
      </c>
      <c r="C544" s="2">
        <v>3435.930271479132</v>
      </c>
      <c r="D544" s="3"/>
      <c r="E544" s="5">
        <f t="shared" si="16"/>
        <v>62.731163089879963</v>
      </c>
      <c r="F544" s="2">
        <v>555.17263740645694</v>
      </c>
      <c r="G544" s="3"/>
      <c r="H544" s="5">
        <f t="shared" si="17"/>
        <v>21.639418175708876</v>
      </c>
    </row>
    <row r="545" spans="2:8" x14ac:dyDescent="0.2">
      <c r="B545" s="1">
        <v>538</v>
      </c>
      <c r="C545" s="2">
        <v>3434.1586920344862</v>
      </c>
      <c r="D545" s="3"/>
      <c r="E545" s="5">
        <f t="shared" si="16"/>
        <v>62.698818650299437</v>
      </c>
      <c r="F545" s="2">
        <v>762.20093787950464</v>
      </c>
      <c r="G545" s="3"/>
      <c r="H545" s="5">
        <f t="shared" si="17"/>
        <v>29.708929650682162</v>
      </c>
    </row>
    <row r="546" spans="2:8" x14ac:dyDescent="0.2">
      <c r="B546" s="1">
        <v>539</v>
      </c>
      <c r="C546" s="2">
        <v>3432.4020627113568</v>
      </c>
      <c r="D546" s="3"/>
      <c r="E546" s="5">
        <f t="shared" si="16"/>
        <v>62.666747161109917</v>
      </c>
      <c r="F546" s="2">
        <v>969.21428823103633</v>
      </c>
      <c r="G546" s="3"/>
      <c r="H546" s="5">
        <f t="shared" si="17"/>
        <v>37.777858402535706</v>
      </c>
    </row>
    <row r="547" spans="2:8" x14ac:dyDescent="0.2">
      <c r="B547" s="1">
        <v>540</v>
      </c>
      <c r="C547" s="2">
        <v>3430.6603260681832</v>
      </c>
      <c r="D547" s="3"/>
      <c r="E547" s="5">
        <f t="shared" si="16"/>
        <v>62.634947573577683</v>
      </c>
      <c r="F547" s="2">
        <v>1176.2127459026115</v>
      </c>
      <c r="G547" s="3"/>
      <c r="H547" s="5">
        <f t="shared" si="17"/>
        <v>45.846206670216183</v>
      </c>
    </row>
    <row r="548" spans="2:8" x14ac:dyDescent="0.2">
      <c r="B548" s="1">
        <v>541</v>
      </c>
      <c r="C548" s="2">
        <v>3428.9334248326413</v>
      </c>
      <c r="D548" s="3"/>
      <c r="E548" s="5">
        <f t="shared" si="16"/>
        <v>62.603418842058851</v>
      </c>
      <c r="F548" s="2">
        <v>1383.1963681665547</v>
      </c>
      <c r="G548" s="3"/>
      <c r="H548" s="5">
        <f t="shared" si="17"/>
        <v>53.913976686073852</v>
      </c>
    </row>
    <row r="549" spans="2:8" x14ac:dyDescent="0.2">
      <c r="B549" s="1">
        <v>542</v>
      </c>
      <c r="C549" s="2">
        <v>3427.221301901227</v>
      </c>
      <c r="D549" s="3"/>
      <c r="E549" s="5">
        <f t="shared" si="16"/>
        <v>62.572159923991741</v>
      </c>
      <c r="F549" s="2">
        <v>1590.1652121263705</v>
      </c>
      <c r="G549" s="3"/>
      <c r="H549" s="5">
        <f t="shared" si="17"/>
        <v>61.98117067587873</v>
      </c>
    </row>
    <row r="550" spans="2:8" x14ac:dyDescent="0.2">
      <c r="B550" s="1">
        <v>543</v>
      </c>
      <c r="C550" s="2">
        <v>3425.5239003388392</v>
      </c>
      <c r="D550" s="3"/>
      <c r="E550" s="5">
        <f t="shared" si="16"/>
        <v>62.541169779889273</v>
      </c>
      <c r="F550" s="2">
        <v>1797.1193347171607</v>
      </c>
      <c r="G550" s="3"/>
      <c r="H550" s="5">
        <f t="shared" si="17"/>
        <v>70.047790858836862</v>
      </c>
    </row>
    <row r="551" spans="2:8" x14ac:dyDescent="0.2">
      <c r="B551" s="1">
        <v>544</v>
      </c>
      <c r="C551" s="2">
        <v>3426.0218964917585</v>
      </c>
      <c r="D551" s="3"/>
      <c r="E551" s="5">
        <f t="shared" si="16"/>
        <v>62.550261896264928</v>
      </c>
      <c r="F551" s="2">
        <v>2001.8780595926437</v>
      </c>
      <c r="G551" s="3"/>
      <c r="H551" s="5">
        <f t="shared" si="17"/>
        <v>78.028839228592076</v>
      </c>
    </row>
    <row r="552" spans="2:8" x14ac:dyDescent="0.2">
      <c r="B552" s="1">
        <v>545</v>
      </c>
      <c r="C552" s="2">
        <v>3430.5699657007567</v>
      </c>
      <c r="D552" s="3"/>
      <c r="E552" s="5">
        <f t="shared" si="16"/>
        <v>62.633297827948986</v>
      </c>
      <c r="F552" s="2">
        <v>1837.68587402822</v>
      </c>
      <c r="G552" s="3"/>
      <c r="H552" s="5">
        <f t="shared" si="17"/>
        <v>71.62898605641405</v>
      </c>
    </row>
    <row r="553" spans="2:8" x14ac:dyDescent="0.2">
      <c r="B553" s="1">
        <v>546</v>
      </c>
      <c r="C553" s="2">
        <v>3435.1034425364173</v>
      </c>
      <c r="D553" s="3"/>
      <c r="E553" s="5">
        <f t="shared" si="16"/>
        <v>62.716067340794652</v>
      </c>
      <c r="F553" s="2">
        <v>2152.4406299034076</v>
      </c>
      <c r="G553" s="3"/>
      <c r="H553" s="5">
        <f t="shared" si="17"/>
        <v>83.897439734165729</v>
      </c>
    </row>
    <row r="554" spans="2:8" x14ac:dyDescent="0.2">
      <c r="B554" s="1">
        <v>547</v>
      </c>
      <c r="C554" s="2">
        <v>3439.621760169267</v>
      </c>
      <c r="D554" s="3"/>
      <c r="E554" s="5">
        <f t="shared" si="16"/>
        <v>62.7985600859679</v>
      </c>
      <c r="F554" s="2">
        <v>2467.2105449814053</v>
      </c>
      <c r="G554" s="3"/>
      <c r="H554" s="5">
        <f t="shared" si="17"/>
        <v>96.166484284569819</v>
      </c>
    </row>
    <row r="555" spans="2:8" x14ac:dyDescent="0.2">
      <c r="B555" s="1">
        <v>548</v>
      </c>
      <c r="C555" s="2">
        <v>3444.1241947855756</v>
      </c>
      <c r="D555" s="3"/>
      <c r="E555" s="5">
        <f t="shared" si="16"/>
        <v>62.880762848509875</v>
      </c>
      <c r="F555" s="2">
        <v>2622.3522267205203</v>
      </c>
      <c r="G555" s="3"/>
      <c r="H555" s="5">
        <f t="shared" si="17"/>
        <v>102.21356856328865</v>
      </c>
    </row>
    <row r="556" spans="2:8" x14ac:dyDescent="0.2">
      <c r="B556" s="1">
        <v>549</v>
      </c>
      <c r="C556" s="2">
        <v>3448.6101881738632</v>
      </c>
      <c r="D556" s="3"/>
      <c r="E556" s="5">
        <f t="shared" si="16"/>
        <v>62.962665436928717</v>
      </c>
      <c r="F556" s="2">
        <v>3096.7985823985027</v>
      </c>
      <c r="G556" s="3"/>
      <c r="H556" s="5">
        <f t="shared" si="17"/>
        <v>120.70645239924112</v>
      </c>
    </row>
    <row r="557" spans="2:8" x14ac:dyDescent="0.2">
      <c r="B557" s="1">
        <v>550</v>
      </c>
      <c r="C557" s="2">
        <v>3453.0792673168553</v>
      </c>
      <c r="D557" s="3"/>
      <c r="E557" s="5">
        <f t="shared" si="16"/>
        <v>63.044259215157496</v>
      </c>
      <c r="F557" s="2">
        <v>2294.1089214783933</v>
      </c>
      <c r="G557" s="3"/>
      <c r="H557" s="5">
        <f t="shared" si="17"/>
        <v>89.419360659430893</v>
      </c>
    </row>
    <row r="558" spans="2:8" x14ac:dyDescent="0.2">
      <c r="B558" s="1">
        <v>551</v>
      </c>
      <c r="C558" s="2">
        <v>3453.4854113568763</v>
      </c>
      <c r="D558" s="3"/>
      <c r="E558" s="5">
        <f t="shared" si="16"/>
        <v>63.051674350506431</v>
      </c>
      <c r="F558" s="2">
        <v>1495.4821956612532</v>
      </c>
      <c r="G558" s="3"/>
      <c r="H558" s="5">
        <f t="shared" si="17"/>
        <v>58.290633265753883</v>
      </c>
    </row>
    <row r="559" spans="2:8" x14ac:dyDescent="0.2">
      <c r="B559" s="1">
        <v>552</v>
      </c>
      <c r="C559" s="2">
        <v>3451.7287334203561</v>
      </c>
      <c r="D559" s="3"/>
      <c r="E559" s="5">
        <f t="shared" si="16"/>
        <v>63.019601973762654</v>
      </c>
      <c r="F559" s="2">
        <v>699.01829182065603</v>
      </c>
      <c r="G559" s="3"/>
      <c r="H559" s="5">
        <f t="shared" si="17"/>
        <v>27.246207954053876</v>
      </c>
    </row>
    <row r="560" spans="2:8" x14ac:dyDescent="0.2">
      <c r="B560" s="1">
        <v>553</v>
      </c>
      <c r="C560" s="2">
        <v>2713.9499780422011</v>
      </c>
      <c r="D560" s="3"/>
      <c r="E560" s="5">
        <f t="shared" si="16"/>
        <v>49.549678031461028</v>
      </c>
      <c r="F560" s="2">
        <v>0</v>
      </c>
      <c r="G560" s="3"/>
      <c r="H560" s="5">
        <f t="shared" si="17"/>
        <v>0</v>
      </c>
    </row>
    <row r="561" spans="2:8" x14ac:dyDescent="0.2">
      <c r="B561" s="1">
        <v>554</v>
      </c>
      <c r="C561" s="2">
        <v>2554.3058616867775</v>
      </c>
      <c r="D561" s="3"/>
      <c r="E561" s="5">
        <f t="shared" si="16"/>
        <v>46.634991088433907</v>
      </c>
      <c r="F561" s="2">
        <v>0</v>
      </c>
      <c r="G561" s="3"/>
      <c r="H561" s="5">
        <f t="shared" si="17"/>
        <v>0</v>
      </c>
    </row>
    <row r="562" spans="2:8" x14ac:dyDescent="0.2">
      <c r="B562" s="1">
        <v>555</v>
      </c>
      <c r="C562" s="2">
        <v>2713.9499780422011</v>
      </c>
      <c r="D562" s="3"/>
      <c r="E562" s="5">
        <f t="shared" si="16"/>
        <v>49.549678031461028</v>
      </c>
      <c r="F562" s="2">
        <v>0</v>
      </c>
      <c r="G562" s="3"/>
      <c r="H562" s="5">
        <f t="shared" si="17"/>
        <v>0</v>
      </c>
    </row>
    <row r="563" spans="2:8" x14ac:dyDescent="0.2">
      <c r="B563" s="1">
        <v>556</v>
      </c>
      <c r="C563" s="2">
        <v>2873.5940943976243</v>
      </c>
      <c r="D563" s="3"/>
      <c r="E563" s="5">
        <f t="shared" si="16"/>
        <v>52.464364974488134</v>
      </c>
      <c r="F563" s="2">
        <v>0</v>
      </c>
      <c r="G563" s="3"/>
      <c r="H563" s="5">
        <f t="shared" si="17"/>
        <v>0</v>
      </c>
    </row>
    <row r="564" spans="2:8" x14ac:dyDescent="0.2">
      <c r="B564" s="1">
        <v>557</v>
      </c>
      <c r="C564" s="2">
        <v>3217.4429603939211</v>
      </c>
      <c r="D564" s="3"/>
      <c r="E564" s="5">
        <f t="shared" si="16"/>
        <v>58.742152236392698</v>
      </c>
      <c r="F564" s="2">
        <v>0</v>
      </c>
      <c r="G564" s="3"/>
      <c r="H564" s="5">
        <f t="shared" si="17"/>
        <v>0</v>
      </c>
    </row>
    <row r="565" spans="2:8" x14ac:dyDescent="0.2">
      <c r="B565" s="1">
        <v>558</v>
      </c>
      <c r="C565" s="2">
        <v>3438.4886599629695</v>
      </c>
      <c r="D565" s="3"/>
      <c r="E565" s="5">
        <f t="shared" si="16"/>
        <v>62.777872619045638</v>
      </c>
      <c r="F565" s="2">
        <v>0</v>
      </c>
      <c r="G565" s="3"/>
      <c r="H565" s="5">
        <f t="shared" si="17"/>
        <v>0</v>
      </c>
    </row>
    <row r="566" spans="2:8" x14ac:dyDescent="0.2">
      <c r="B566" s="1">
        <v>559</v>
      </c>
      <c r="C566" s="2">
        <v>3448.6547494721913</v>
      </c>
      <c r="D566" s="3"/>
      <c r="E566" s="5">
        <f t="shared" si="16"/>
        <v>62.963479010503278</v>
      </c>
      <c r="F566" s="2">
        <v>210.87961005982606</v>
      </c>
      <c r="G566" s="3"/>
      <c r="H566" s="5">
        <f t="shared" si="17"/>
        <v>8.2196271201926621</v>
      </c>
    </row>
    <row r="567" spans="2:8" x14ac:dyDescent="0.2">
      <c r="B567" s="1">
        <v>560</v>
      </c>
      <c r="C567" s="2">
        <v>3453.212617548807</v>
      </c>
      <c r="D567" s="3"/>
      <c r="E567" s="5">
        <f t="shared" si="16"/>
        <v>63.046693844060783</v>
      </c>
      <c r="F567" s="2">
        <v>427.36744155225779</v>
      </c>
      <c r="G567" s="3"/>
      <c r="H567" s="5">
        <f t="shared" si="17"/>
        <v>16.657850476268031</v>
      </c>
    </row>
    <row r="568" spans="2:8" x14ac:dyDescent="0.2">
      <c r="B568" s="1">
        <v>561</v>
      </c>
      <c r="C568" s="2">
        <v>3453.7046900829005</v>
      </c>
      <c r="D568" s="3"/>
      <c r="E568" s="5">
        <f t="shared" si="16"/>
        <v>63.055677810541276</v>
      </c>
      <c r="F568" s="2">
        <v>647.92106858721263</v>
      </c>
      <c r="G568" s="3"/>
      <c r="H568" s="5">
        <f t="shared" si="17"/>
        <v>25.254549672169738</v>
      </c>
    </row>
    <row r="569" spans="2:8" x14ac:dyDescent="0.2">
      <c r="B569" s="1">
        <v>562</v>
      </c>
      <c r="C569" s="2">
        <v>3452.0142381430869</v>
      </c>
      <c r="D569" s="3"/>
      <c r="E569" s="5">
        <f t="shared" si="16"/>
        <v>63.024814548497716</v>
      </c>
      <c r="F569" s="2">
        <v>870.65722009607362</v>
      </c>
      <c r="G569" s="3"/>
      <c r="H569" s="5">
        <f t="shared" si="17"/>
        <v>33.936318910410357</v>
      </c>
    </row>
    <row r="570" spans="2:8" x14ac:dyDescent="0.2">
      <c r="B570" s="1">
        <v>563</v>
      </c>
      <c r="C570" s="2">
        <v>3450.3382515099443</v>
      </c>
      <c r="D570" s="3"/>
      <c r="E570" s="5">
        <f t="shared" si="16"/>
        <v>62.994215385385232</v>
      </c>
      <c r="F570" s="2">
        <v>1093.3789062982646</v>
      </c>
      <c r="G570" s="3"/>
      <c r="H570" s="5">
        <f t="shared" si="17"/>
        <v>42.617524322556214</v>
      </c>
    </row>
    <row r="571" spans="2:8" x14ac:dyDescent="0.2">
      <c r="B571" s="1">
        <v>564</v>
      </c>
      <c r="C571" s="2">
        <v>3448.6766744550237</v>
      </c>
      <c r="D571" s="3"/>
      <c r="E571" s="5">
        <f t="shared" si="16"/>
        <v>62.963879303747063</v>
      </c>
      <c r="F571" s="2">
        <v>1316.0861829222335</v>
      </c>
      <c r="G571" s="3"/>
      <c r="H571" s="5">
        <f t="shared" si="17"/>
        <v>51.298168080780613</v>
      </c>
    </row>
    <row r="572" spans="2:8" x14ac:dyDescent="0.2">
      <c r="B572" s="1">
        <v>565</v>
      </c>
      <c r="C572" s="2">
        <v>3447.0294514143125</v>
      </c>
      <c r="D572" s="3"/>
      <c r="E572" s="5">
        <f t="shared" si="16"/>
        <v>62.933805289128664</v>
      </c>
      <c r="F572" s="2">
        <v>1538.7791055319922</v>
      </c>
      <c r="G572" s="3"/>
      <c r="H572" s="5">
        <f t="shared" si="17"/>
        <v>59.978252350847512</v>
      </c>
    </row>
    <row r="573" spans="2:8" x14ac:dyDescent="0.2">
      <c r="B573" s="1">
        <v>566</v>
      </c>
      <c r="C573" s="2">
        <v>3445.3965269878213</v>
      </c>
      <c r="D573" s="3"/>
      <c r="E573" s="5">
        <f t="shared" si="16"/>
        <v>62.90399233007011</v>
      </c>
      <c r="F573" s="2">
        <v>1761.4577295275326</v>
      </c>
      <c r="G573" s="3"/>
      <c r="H573" s="5">
        <f t="shared" si="17"/>
        <v>68.657779292127728</v>
      </c>
    </row>
    <row r="574" spans="2:8" x14ac:dyDescent="0.2">
      <c r="B574" s="1">
        <v>567</v>
      </c>
      <c r="C574" s="2">
        <v>3443.7778459391952</v>
      </c>
      <c r="D574" s="3"/>
      <c r="E574" s="5">
        <f t="shared" si="16"/>
        <v>62.874439418099008</v>
      </c>
      <c r="F574" s="2">
        <v>1984.122110145207</v>
      </c>
      <c r="G574" s="3"/>
      <c r="H574" s="5">
        <f t="shared" si="17"/>
        <v>77.336751057613782</v>
      </c>
    </row>
    <row r="575" spans="2:8" x14ac:dyDescent="0.2">
      <c r="B575" s="1">
        <v>568</v>
      </c>
      <c r="C575" s="2">
        <v>3444.3665138540846</v>
      </c>
      <c r="D575" s="3"/>
      <c r="E575" s="5">
        <f t="shared" si="16"/>
        <v>62.885186965358983</v>
      </c>
      <c r="F575" s="2">
        <v>1823.8893258748922</v>
      </c>
      <c r="G575" s="3"/>
      <c r="H575" s="5">
        <f t="shared" si="17"/>
        <v>71.091226709581193</v>
      </c>
    </row>
    <row r="576" spans="2:8" x14ac:dyDescent="0.2">
      <c r="B576" s="1">
        <v>569</v>
      </c>
      <c r="C576" s="2">
        <v>3449.012112520621</v>
      </c>
      <c r="D576" s="3"/>
      <c r="E576" s="5">
        <f t="shared" si="16"/>
        <v>62.9700035316379</v>
      </c>
      <c r="F576" s="2">
        <v>2106.6031366481197</v>
      </c>
      <c r="G576" s="3"/>
      <c r="H576" s="5">
        <f t="shared" si="17"/>
        <v>82.110794251580074</v>
      </c>
    </row>
    <row r="577" spans="2:8" x14ac:dyDescent="0.2">
      <c r="B577" s="1">
        <v>570</v>
      </c>
      <c r="C577" s="2">
        <v>3453.6444793644882</v>
      </c>
      <c r="D577" s="3"/>
      <c r="E577" s="5">
        <f t="shared" si="16"/>
        <v>63.054578519200057</v>
      </c>
      <c r="F577" s="2">
        <v>2389.3301792440147</v>
      </c>
      <c r="G577" s="3"/>
      <c r="H577" s="5">
        <f t="shared" si="17"/>
        <v>93.130877541158398</v>
      </c>
    </row>
    <row r="578" spans="2:8" x14ac:dyDescent="0.2">
      <c r="B578" s="1">
        <v>571</v>
      </c>
      <c r="C578" s="2">
        <v>3458.2627623229714</v>
      </c>
      <c r="D578" s="3"/>
      <c r="E578" s="5">
        <f t="shared" si="16"/>
        <v>63.138896371593226</v>
      </c>
      <c r="F578" s="2">
        <v>2927.5018918939718</v>
      </c>
      <c r="G578" s="3"/>
      <c r="H578" s="5">
        <f t="shared" si="17"/>
        <v>114.10763676109039</v>
      </c>
    </row>
    <row r="579" spans="2:8" x14ac:dyDescent="0.2">
      <c r="B579" s="1">
        <v>572</v>
      </c>
      <c r="C579" s="2">
        <v>3462.8658732780523</v>
      </c>
      <c r="D579" s="3"/>
      <c r="E579" s="5">
        <f t="shared" si="16"/>
        <v>63.222937222608429</v>
      </c>
      <c r="F579" s="2">
        <v>2922.8987809388909</v>
      </c>
      <c r="G579" s="3"/>
      <c r="H579" s="5">
        <f t="shared" si="17"/>
        <v>113.92821753875351</v>
      </c>
    </row>
    <row r="580" spans="2:8" x14ac:dyDescent="0.2">
      <c r="B580" s="1">
        <v>573</v>
      </c>
      <c r="C580" s="2">
        <v>3467.4535365835391</v>
      </c>
      <c r="D580" s="3"/>
      <c r="E580" s="5">
        <f t="shared" si="16"/>
        <v>63.306696039662086</v>
      </c>
      <c r="F580" s="2">
        <v>3237.5993503442514</v>
      </c>
      <c r="G580" s="3"/>
      <c r="H580" s="5">
        <f t="shared" si="17"/>
        <v>126.19455914613096</v>
      </c>
    </row>
    <row r="581" spans="2:8" x14ac:dyDescent="0.2">
      <c r="B581" s="1">
        <v>574</v>
      </c>
      <c r="C581" s="2">
        <v>3472.0256884364258</v>
      </c>
      <c r="D581" s="3"/>
      <c r="E581" s="5">
        <f t="shared" si="16"/>
        <v>63.390171657877026</v>
      </c>
      <c r="F581" s="2">
        <v>2402.8777934431623</v>
      </c>
      <c r="G581" s="3"/>
      <c r="H581" s="5">
        <f t="shared" si="17"/>
        <v>93.658933985561106</v>
      </c>
    </row>
    <row r="582" spans="2:8" x14ac:dyDescent="0.2">
      <c r="B582" s="1">
        <v>575</v>
      </c>
      <c r="C582" s="2">
        <v>3472.5270401074545</v>
      </c>
      <c r="D582" s="3"/>
      <c r="E582" s="5">
        <f t="shared" si="16"/>
        <v>63.399325037298532</v>
      </c>
      <c r="F582" s="2">
        <v>1572.2270367239312</v>
      </c>
      <c r="G582" s="3"/>
      <c r="H582" s="5">
        <f t="shared" si="17"/>
        <v>61.281979734740162</v>
      </c>
    </row>
    <row r="583" spans="2:8" x14ac:dyDescent="0.2">
      <c r="B583" s="1">
        <v>576</v>
      </c>
      <c r="C583" s="2">
        <v>3470.8440497830957</v>
      </c>
      <c r="D583" s="3"/>
      <c r="E583" s="5">
        <f t="shared" si="16"/>
        <v>63.368598004974153</v>
      </c>
      <c r="F583" s="2">
        <v>743.76062200008664</v>
      </c>
      <c r="G583" s="3"/>
      <c r="H583" s="5">
        <f t="shared" si="17"/>
        <v>28.990166369280118</v>
      </c>
    </row>
    <row r="584" spans="2:8" x14ac:dyDescent="0.2">
      <c r="B584" s="1">
        <v>577</v>
      </c>
      <c r="C584" s="2">
        <v>2713.9499780422011</v>
      </c>
      <c r="D584" s="3"/>
      <c r="E584" s="5">
        <f t="shared" si="16"/>
        <v>49.549678031461028</v>
      </c>
      <c r="F584" s="2">
        <v>0</v>
      </c>
      <c r="G584" s="3"/>
      <c r="H584" s="5">
        <f t="shared" si="17"/>
        <v>0</v>
      </c>
    </row>
    <row r="585" spans="2:8" x14ac:dyDescent="0.2">
      <c r="B585" s="1">
        <v>578</v>
      </c>
      <c r="C585" s="2">
        <v>2554.3058616867775</v>
      </c>
      <c r="D585" s="3"/>
      <c r="E585" s="5">
        <f t="shared" ref="E585:E648" si="18">$D$5*C585</f>
        <v>46.634991088433907</v>
      </c>
      <c r="F585" s="2">
        <v>0</v>
      </c>
      <c r="G585" s="3"/>
      <c r="H585" s="5">
        <f t="shared" ref="H585:H648" si="19">$G$5*F585</f>
        <v>0</v>
      </c>
    </row>
    <row r="586" spans="2:8" x14ac:dyDescent="0.2">
      <c r="B586" s="1">
        <v>579</v>
      </c>
      <c r="C586" s="2">
        <v>2713.9499780422011</v>
      </c>
      <c r="D586" s="3"/>
      <c r="E586" s="5">
        <f t="shared" si="18"/>
        <v>49.549678031461028</v>
      </c>
      <c r="F586" s="2">
        <v>0</v>
      </c>
      <c r="G586" s="3"/>
      <c r="H586" s="5">
        <f t="shared" si="19"/>
        <v>0</v>
      </c>
    </row>
    <row r="587" spans="2:8" x14ac:dyDescent="0.2">
      <c r="B587" s="1">
        <v>580</v>
      </c>
      <c r="C587" s="2">
        <v>2873.5940943976243</v>
      </c>
      <c r="D587" s="3"/>
      <c r="E587" s="5">
        <f t="shared" si="18"/>
        <v>52.464364974488134</v>
      </c>
      <c r="F587" s="2">
        <v>0</v>
      </c>
      <c r="G587" s="3"/>
      <c r="H587" s="5">
        <f t="shared" si="19"/>
        <v>0</v>
      </c>
    </row>
    <row r="588" spans="2:8" x14ac:dyDescent="0.2">
      <c r="B588" s="1">
        <v>581</v>
      </c>
      <c r="C588" s="2">
        <v>3192.8823271084716</v>
      </c>
      <c r="D588" s="3"/>
      <c r="E588" s="5">
        <f t="shared" si="18"/>
        <v>58.293738860542376</v>
      </c>
      <c r="F588" s="2">
        <v>0</v>
      </c>
      <c r="G588" s="3"/>
      <c r="H588" s="5">
        <f t="shared" si="19"/>
        <v>0</v>
      </c>
    </row>
    <row r="589" spans="2:8" x14ac:dyDescent="0.2">
      <c r="B589" s="1">
        <v>582</v>
      </c>
      <c r="C589" s="2">
        <v>3405.741148915703</v>
      </c>
      <c r="D589" s="3"/>
      <c r="E589" s="5">
        <f t="shared" si="18"/>
        <v>62.179988117911869</v>
      </c>
      <c r="F589" s="2">
        <v>0</v>
      </c>
      <c r="G589" s="3"/>
      <c r="H589" s="5">
        <f t="shared" si="19"/>
        <v>0</v>
      </c>
    </row>
    <row r="590" spans="2:8" x14ac:dyDescent="0.2">
      <c r="B590" s="1">
        <v>583</v>
      </c>
      <c r="C590" s="2">
        <v>3468.6394093859135</v>
      </c>
      <c r="D590" s="3"/>
      <c r="E590" s="5">
        <f t="shared" si="18"/>
        <v>63.328346997129735</v>
      </c>
      <c r="F590" s="2">
        <v>149.96056133702041</v>
      </c>
      <c r="G590" s="3"/>
      <c r="H590" s="5">
        <f t="shared" si="19"/>
        <v>5.8451355091912234</v>
      </c>
    </row>
    <row r="591" spans="2:8" x14ac:dyDescent="0.2">
      <c r="B591" s="1">
        <v>584</v>
      </c>
      <c r="C591" s="2">
        <v>3473.3182724287135</v>
      </c>
      <c r="D591" s="3"/>
      <c r="E591" s="5">
        <f t="shared" si="18"/>
        <v>63.413770884526251</v>
      </c>
      <c r="F591" s="2">
        <v>358.14052010145224</v>
      </c>
      <c r="G591" s="3"/>
      <c r="H591" s="5">
        <f t="shared" si="19"/>
        <v>13.9595361117685</v>
      </c>
    </row>
    <row r="592" spans="2:8" x14ac:dyDescent="0.2">
      <c r="B592" s="1">
        <v>585</v>
      </c>
      <c r="C592" s="2">
        <v>3477.9903665064148</v>
      </c>
      <c r="D592" s="3"/>
      <c r="E592" s="5">
        <f t="shared" si="18"/>
        <v>63.499071188200155</v>
      </c>
      <c r="F592" s="2">
        <v>566.32724783098183</v>
      </c>
      <c r="G592" s="3"/>
      <c r="H592" s="5">
        <f t="shared" si="19"/>
        <v>22.074200553837311</v>
      </c>
    </row>
    <row r="593" spans="2:8" x14ac:dyDescent="0.2">
      <c r="B593" s="1">
        <v>586</v>
      </c>
      <c r="C593" s="2">
        <v>3482.6551495504355</v>
      </c>
      <c r="D593" s="3"/>
      <c r="E593" s="5">
        <f t="shared" si="18"/>
        <v>63.584238011386994</v>
      </c>
      <c r="F593" s="2">
        <v>774.52128659419304</v>
      </c>
      <c r="G593" s="3"/>
      <c r="H593" s="5">
        <f t="shared" si="19"/>
        <v>30.189149964048415</v>
      </c>
    </row>
    <row r="594" spans="2:8" x14ac:dyDescent="0.2">
      <c r="B594" s="1">
        <v>587</v>
      </c>
      <c r="C594" s="2">
        <v>3487.3120821287248</v>
      </c>
      <c r="D594" s="3"/>
      <c r="E594" s="5">
        <f t="shared" si="18"/>
        <v>63.669261505458508</v>
      </c>
      <c r="F594" s="2">
        <v>982.72317582313553</v>
      </c>
      <c r="G594" s="3"/>
      <c r="H594" s="5">
        <f t="shared" si="19"/>
        <v>38.304405368286218</v>
      </c>
    </row>
    <row r="595" spans="2:8" x14ac:dyDescent="0.2">
      <c r="B595" s="1">
        <v>588</v>
      </c>
      <c r="C595" s="2">
        <v>3491.9606274850721</v>
      </c>
      <c r="D595" s="3"/>
      <c r="E595" s="5">
        <f t="shared" si="18"/>
        <v>63.754131870640336</v>
      </c>
      <c r="F595" s="2">
        <v>1190.9334522740191</v>
      </c>
      <c r="G595" s="3"/>
      <c r="H595" s="5">
        <f t="shared" si="19"/>
        <v>46.419987688136729</v>
      </c>
    </row>
    <row r="596" spans="2:8" x14ac:dyDescent="0.2">
      <c r="B596" s="1">
        <v>589</v>
      </c>
      <c r="C596" s="2">
        <v>3496.6002515781265</v>
      </c>
      <c r="D596" s="3"/>
      <c r="E596" s="5">
        <f t="shared" si="18"/>
        <v>63.838839356724399</v>
      </c>
      <c r="F596" s="2">
        <v>1399.1526499881957</v>
      </c>
      <c r="G596" s="3"/>
      <c r="H596" s="5">
        <f t="shared" si="19"/>
        <v>54.535917739366717</v>
      </c>
    </row>
    <row r="597" spans="2:8" x14ac:dyDescent="0.2">
      <c r="B597" s="1">
        <v>590</v>
      </c>
      <c r="C597" s="2">
        <v>3501.2304231201651</v>
      </c>
      <c r="D597" s="3"/>
      <c r="E597" s="5">
        <f t="shared" si="18"/>
        <v>63.923374263776722</v>
      </c>
      <c r="F597" s="2">
        <v>1607.3813002533898</v>
      </c>
      <c r="G597" s="3"/>
      <c r="H597" s="5">
        <f t="shared" si="19"/>
        <v>62.652216230412563</v>
      </c>
    </row>
    <row r="598" spans="2:8" x14ac:dyDescent="0.2">
      <c r="B598" s="1">
        <v>591</v>
      </c>
      <c r="C598" s="2">
        <v>3505.8508019067667</v>
      </c>
      <c r="D598" s="3"/>
      <c r="E598" s="5">
        <f t="shared" si="18"/>
        <v>64.007730380548139</v>
      </c>
      <c r="F598" s="2">
        <v>1443.1168051113636</v>
      </c>
      <c r="G598" s="3"/>
      <c r="H598" s="5">
        <f t="shared" si="19"/>
        <v>56.249544588658729</v>
      </c>
    </row>
    <row r="599" spans="2:8" x14ac:dyDescent="0.2">
      <c r="B599" s="1">
        <v>592</v>
      </c>
      <c r="C599" s="2">
        <v>3510.4615324244114</v>
      </c>
      <c r="D599" s="3"/>
      <c r="E599" s="5">
        <f t="shared" si="18"/>
        <v>64.091910344986516</v>
      </c>
      <c r="F599" s="2">
        <v>1811.0090127563753</v>
      </c>
      <c r="G599" s="3"/>
      <c r="H599" s="5">
        <f t="shared" si="19"/>
        <v>70.589180205438396</v>
      </c>
    </row>
    <row r="600" spans="2:8" x14ac:dyDescent="0.2">
      <c r="B600" s="1">
        <v>593</v>
      </c>
      <c r="C600" s="2">
        <v>3515.0618712750056</v>
      </c>
      <c r="D600" s="3"/>
      <c r="E600" s="5">
        <f t="shared" si="18"/>
        <v>64.175900584573384</v>
      </c>
      <c r="F600" s="2">
        <v>2178.9116120684357</v>
      </c>
      <c r="G600" s="3"/>
      <c r="H600" s="5">
        <f t="shared" si="19"/>
        <v>84.929220866727917</v>
      </c>
    </row>
    <row r="601" spans="2:8" x14ac:dyDescent="0.2">
      <c r="B601" s="1">
        <v>594</v>
      </c>
      <c r="C601" s="2">
        <v>3519.6508110755949</v>
      </c>
      <c r="D601" s="3"/>
      <c r="E601" s="5">
        <f t="shared" si="18"/>
        <v>64.259682707112347</v>
      </c>
      <c r="F601" s="2">
        <v>2546.825610430501</v>
      </c>
      <c r="G601" s="3"/>
      <c r="H601" s="5">
        <f t="shared" si="19"/>
        <v>99.269705838117119</v>
      </c>
    </row>
    <row r="602" spans="2:8" x14ac:dyDescent="0.2">
      <c r="B602" s="1">
        <v>595</v>
      </c>
      <c r="C602" s="2">
        <v>3524.2277605428426</v>
      </c>
      <c r="D602" s="3"/>
      <c r="E602" s="5">
        <f t="shared" si="18"/>
        <v>64.343245917305339</v>
      </c>
      <c r="F602" s="2">
        <v>2103.227340985839</v>
      </c>
      <c r="G602" s="3"/>
      <c r="H602" s="5">
        <f t="shared" si="19"/>
        <v>81.979213101700097</v>
      </c>
    </row>
    <row r="603" spans="2:8" x14ac:dyDescent="0.2">
      <c r="B603" s="1">
        <v>596</v>
      </c>
      <c r="C603" s="2">
        <v>3528.7937701316223</v>
      </c>
      <c r="D603" s="3"/>
      <c r="E603" s="5">
        <f t="shared" si="18"/>
        <v>64.426609393730132</v>
      </c>
      <c r="F603" s="2">
        <v>1659.640011419644</v>
      </c>
      <c r="G603" s="3"/>
      <c r="H603" s="5">
        <f t="shared" si="19"/>
        <v>64.689146777877994</v>
      </c>
    </row>
    <row r="604" spans="2:8" x14ac:dyDescent="0.2">
      <c r="B604" s="1">
        <v>597</v>
      </c>
      <c r="C604" s="2">
        <v>3533.3502925812154</v>
      </c>
      <c r="D604" s="3"/>
      <c r="E604" s="5">
        <f t="shared" si="18"/>
        <v>64.509799659633018</v>
      </c>
      <c r="F604" s="2">
        <v>1216.0621689926356</v>
      </c>
      <c r="G604" s="3"/>
      <c r="H604" s="5">
        <f t="shared" si="19"/>
        <v>47.399450242043109</v>
      </c>
    </row>
    <row r="605" spans="2:8" x14ac:dyDescent="0.2">
      <c r="B605" s="1">
        <v>598</v>
      </c>
      <c r="C605" s="2">
        <v>3537.8987713655351</v>
      </c>
      <c r="D605" s="3"/>
      <c r="E605" s="5">
        <f t="shared" si="18"/>
        <v>64.59284306909872</v>
      </c>
      <c r="F605" s="2">
        <v>772.49237023090245</v>
      </c>
      <c r="G605" s="3"/>
      <c r="H605" s="5">
        <f t="shared" si="19"/>
        <v>30.110067230731644</v>
      </c>
    </row>
    <row r="606" spans="2:8" x14ac:dyDescent="0.2">
      <c r="B606" s="1">
        <v>599</v>
      </c>
      <c r="C606" s="2">
        <v>3538.3446842797111</v>
      </c>
      <c r="D606" s="3"/>
      <c r="E606" s="5">
        <f t="shared" si="18"/>
        <v>64.600984280803516</v>
      </c>
      <c r="F606" s="2">
        <v>333.02513733931164</v>
      </c>
      <c r="G606" s="3"/>
      <c r="H606" s="5">
        <f t="shared" si="19"/>
        <v>12.980593286394612</v>
      </c>
    </row>
    <row r="607" spans="2:8" x14ac:dyDescent="0.2">
      <c r="B607" s="1">
        <v>600</v>
      </c>
      <c r="C607" s="2">
        <v>3192.8823271084716</v>
      </c>
      <c r="D607" s="3"/>
      <c r="E607" s="5">
        <f t="shared" si="18"/>
        <v>58.293738860542376</v>
      </c>
      <c r="F607" s="2">
        <v>0</v>
      </c>
      <c r="G607" s="3"/>
      <c r="H607" s="5">
        <f t="shared" si="19"/>
        <v>0</v>
      </c>
    </row>
    <row r="608" spans="2:8" x14ac:dyDescent="0.2">
      <c r="B608" s="1">
        <v>601</v>
      </c>
      <c r="C608" s="2">
        <v>2713.9499780422011</v>
      </c>
      <c r="D608" s="3"/>
      <c r="E608" s="5">
        <f t="shared" si="18"/>
        <v>49.549678031461028</v>
      </c>
      <c r="F608" s="2">
        <v>0</v>
      </c>
      <c r="G608" s="3"/>
      <c r="H608" s="5">
        <f t="shared" si="19"/>
        <v>0</v>
      </c>
    </row>
    <row r="609" spans="2:8" x14ac:dyDescent="0.2">
      <c r="B609" s="1">
        <v>602</v>
      </c>
      <c r="C609" s="2">
        <v>2554.3058616867775</v>
      </c>
      <c r="D609" s="3"/>
      <c r="E609" s="5">
        <f t="shared" si="18"/>
        <v>46.634991088433907</v>
      </c>
      <c r="F609" s="2">
        <v>0</v>
      </c>
      <c r="G609" s="3"/>
      <c r="H609" s="5">
        <f t="shared" si="19"/>
        <v>0</v>
      </c>
    </row>
    <row r="610" spans="2:8" x14ac:dyDescent="0.2">
      <c r="B610" s="1">
        <v>603</v>
      </c>
      <c r="C610" s="2">
        <v>2713.9499780422011</v>
      </c>
      <c r="D610" s="3"/>
      <c r="E610" s="5">
        <f t="shared" si="18"/>
        <v>49.549678031461028</v>
      </c>
      <c r="F610" s="2">
        <v>0</v>
      </c>
      <c r="G610" s="3"/>
      <c r="H610" s="5">
        <f t="shared" si="19"/>
        <v>0</v>
      </c>
    </row>
    <row r="611" spans="2:8" x14ac:dyDescent="0.2">
      <c r="B611" s="1">
        <v>604</v>
      </c>
      <c r="C611" s="2">
        <v>2873.5940943976243</v>
      </c>
      <c r="D611" s="3"/>
      <c r="E611" s="5">
        <f t="shared" si="18"/>
        <v>52.464364974488134</v>
      </c>
      <c r="F611" s="2">
        <v>0</v>
      </c>
      <c r="G611" s="3"/>
      <c r="H611" s="5">
        <f t="shared" si="19"/>
        <v>0</v>
      </c>
    </row>
    <row r="612" spans="2:8" x14ac:dyDescent="0.2">
      <c r="B612" s="1">
        <v>605</v>
      </c>
      <c r="C612" s="2">
        <v>3163.8561241347584</v>
      </c>
      <c r="D612" s="3"/>
      <c r="E612" s="5">
        <f t="shared" si="18"/>
        <v>57.763795779991995</v>
      </c>
      <c r="F612" s="2">
        <v>0</v>
      </c>
      <c r="G612" s="3"/>
      <c r="H612" s="5">
        <f t="shared" si="19"/>
        <v>0</v>
      </c>
    </row>
    <row r="613" spans="2:8" x14ac:dyDescent="0.2">
      <c r="B613" s="1">
        <v>606</v>
      </c>
      <c r="C613" s="2">
        <v>3367.0395449507519</v>
      </c>
      <c r="D613" s="3"/>
      <c r="E613" s="5">
        <f t="shared" si="18"/>
        <v>61.473397343844688</v>
      </c>
      <c r="F613" s="2">
        <v>0</v>
      </c>
      <c r="G613" s="3"/>
      <c r="H613" s="5">
        <f t="shared" si="19"/>
        <v>0</v>
      </c>
    </row>
    <row r="614" spans="2:8" x14ac:dyDescent="0.2">
      <c r="B614" s="1">
        <v>607</v>
      </c>
      <c r="C614" s="2">
        <v>3535.4216089178767</v>
      </c>
      <c r="D614" s="3"/>
      <c r="E614" s="5">
        <f t="shared" si="18"/>
        <v>64.547616516396502</v>
      </c>
      <c r="F614" s="2">
        <v>34.801356848868636</v>
      </c>
      <c r="G614" s="3"/>
      <c r="H614" s="5">
        <f t="shared" si="19"/>
        <v>1.3564809632060224</v>
      </c>
    </row>
    <row r="615" spans="2:8" x14ac:dyDescent="0.2">
      <c r="B615" s="1">
        <v>608</v>
      </c>
      <c r="C615" s="2">
        <v>3540.1005222986496</v>
      </c>
      <c r="D615" s="3"/>
      <c r="E615" s="5">
        <f t="shared" si="18"/>
        <v>64.633041322833662</v>
      </c>
      <c r="F615" s="2">
        <v>233.30586428408969</v>
      </c>
      <c r="G615" s="3"/>
      <c r="H615" s="5">
        <f t="shared" si="19"/>
        <v>9.0937535820814954</v>
      </c>
    </row>
    <row r="616" spans="2:8" x14ac:dyDescent="0.2">
      <c r="B616" s="1">
        <v>609</v>
      </c>
      <c r="C616" s="2">
        <v>3544.7738477010466</v>
      </c>
      <c r="D616" s="3"/>
      <c r="E616" s="5">
        <f t="shared" si="18"/>
        <v>64.718364107298569</v>
      </c>
      <c r="F616" s="2">
        <v>431.81595969768659</v>
      </c>
      <c r="G616" s="3"/>
      <c r="H616" s="5">
        <f t="shared" si="19"/>
        <v>16.831244008162663</v>
      </c>
    </row>
    <row r="617" spans="2:8" x14ac:dyDescent="0.2">
      <c r="B617" s="1">
        <v>610</v>
      </c>
      <c r="C617" s="2">
        <v>3549.4409109515059</v>
      </c>
      <c r="D617" s="3"/>
      <c r="E617" s="5">
        <f t="shared" si="18"/>
        <v>64.80357256113291</v>
      </c>
      <c r="F617" s="2">
        <v>630.33231726322038</v>
      </c>
      <c r="G617" s="3"/>
      <c r="H617" s="5">
        <f t="shared" si="19"/>
        <v>24.568978519264078</v>
      </c>
    </row>
    <row r="618" spans="2:8" x14ac:dyDescent="0.2">
      <c r="B618" s="1">
        <v>611</v>
      </c>
      <c r="C618" s="2">
        <v>3554.1010411709717</v>
      </c>
      <c r="D618" s="3"/>
      <c r="E618" s="5">
        <f t="shared" si="18"/>
        <v>64.888654435827519</v>
      </c>
      <c r="F618" s="2">
        <v>828.85560785974803</v>
      </c>
      <c r="G618" s="3"/>
      <c r="H618" s="5">
        <f t="shared" si="19"/>
        <v>32.306983264787711</v>
      </c>
    </row>
    <row r="619" spans="2:8" x14ac:dyDescent="0.2">
      <c r="B619" s="1">
        <v>612</v>
      </c>
      <c r="C619" s="2">
        <v>3558.7535708231239</v>
      </c>
      <c r="D619" s="3"/>
      <c r="E619" s="5">
        <f t="shared" si="18"/>
        <v>64.973597543902869</v>
      </c>
      <c r="F619" s="2">
        <v>1027.3864990235902</v>
      </c>
      <c r="G619" s="3"/>
      <c r="H619" s="5">
        <f t="shared" si="19"/>
        <v>40.045284263842966</v>
      </c>
    </row>
    <row r="620" spans="2:8" x14ac:dyDescent="0.2">
      <c r="B620" s="1">
        <v>613</v>
      </c>
      <c r="C620" s="2">
        <v>3563.3978357622682</v>
      </c>
      <c r="D620" s="3"/>
      <c r="E620" s="5">
        <f t="shared" si="18"/>
        <v>65.058389759783509</v>
      </c>
      <c r="F620" s="2">
        <v>1225.9256549004403</v>
      </c>
      <c r="G620" s="3"/>
      <c r="H620" s="5">
        <f t="shared" si="19"/>
        <v>47.783907403379999</v>
      </c>
    </row>
    <row r="621" spans="2:8" x14ac:dyDescent="0.2">
      <c r="B621" s="1">
        <v>614</v>
      </c>
      <c r="C621" s="2">
        <v>3568.0333240973177</v>
      </c>
      <c r="D621" s="3"/>
      <c r="E621" s="5">
        <f t="shared" si="18"/>
        <v>65.143021737667638</v>
      </c>
      <c r="F621" s="2">
        <v>1130.0649572194334</v>
      </c>
      <c r="G621" s="3"/>
      <c r="H621" s="5">
        <f t="shared" si="19"/>
        <v>44.047466548828631</v>
      </c>
    </row>
    <row r="622" spans="2:8" x14ac:dyDescent="0.2">
      <c r="B622" s="1">
        <v>615</v>
      </c>
      <c r="C622" s="2">
        <v>3572.6601208572083</v>
      </c>
      <c r="D622" s="3"/>
      <c r="E622" s="5">
        <f t="shared" si="18"/>
        <v>65.227495029962796</v>
      </c>
      <c r="F622" s="2">
        <v>1034.2129511135872</v>
      </c>
      <c r="G622" s="3"/>
      <c r="H622" s="5">
        <f t="shared" si="19"/>
        <v>40.31136447291447</v>
      </c>
    </row>
    <row r="623" spans="2:8" x14ac:dyDescent="0.2">
      <c r="B623" s="1">
        <v>616</v>
      </c>
      <c r="C623" s="2">
        <v>3577.2784583582188</v>
      </c>
      <c r="D623" s="3"/>
      <c r="E623" s="5">
        <f t="shared" si="18"/>
        <v>65.311813878160862</v>
      </c>
      <c r="F623" s="2">
        <v>938.36940426662022</v>
      </c>
      <c r="G623" s="3"/>
      <c r="H623" s="5">
        <f t="shared" si="19"/>
        <v>36.575592120455696</v>
      </c>
    </row>
    <row r="624" spans="2:8" x14ac:dyDescent="0.2">
      <c r="B624" s="1">
        <v>617</v>
      </c>
      <c r="C624" s="2">
        <v>3581.8885669221036</v>
      </c>
      <c r="D624" s="3"/>
      <c r="E624" s="5">
        <f t="shared" si="18"/>
        <v>65.395982487338898</v>
      </c>
      <c r="F624" s="2">
        <v>842.53408635677897</v>
      </c>
      <c r="G624" s="3"/>
      <c r="H624" s="5">
        <f t="shared" si="19"/>
        <v>32.840140514012852</v>
      </c>
    </row>
    <row r="625" spans="2:8" x14ac:dyDescent="0.2">
      <c r="B625" s="1">
        <v>618</v>
      </c>
      <c r="C625" s="2">
        <v>3586.490674865754</v>
      </c>
      <c r="D625" s="3"/>
      <c r="E625" s="5">
        <f t="shared" si="18"/>
        <v>65.480005025970357</v>
      </c>
      <c r="F625" s="2">
        <v>746.70676906717199</v>
      </c>
      <c r="G625" s="3"/>
      <c r="H625" s="5">
        <f t="shared" si="19"/>
        <v>29.105000754291645</v>
      </c>
    </row>
    <row r="626" spans="2:8" x14ac:dyDescent="0.2">
      <c r="B626" s="1">
        <v>619</v>
      </c>
      <c r="C626" s="2">
        <v>3591.085008491033</v>
      </c>
      <c r="D626" s="3"/>
      <c r="E626" s="5">
        <f t="shared" si="18"/>
        <v>65.56388562573953</v>
      </c>
      <c r="F626" s="2">
        <v>650.88722609593651</v>
      </c>
      <c r="G626" s="3"/>
      <c r="H626" s="5">
        <f t="shared" si="19"/>
        <v>25.370164020539185</v>
      </c>
    </row>
    <row r="627" spans="2:8" x14ac:dyDescent="0.2">
      <c r="B627" s="1">
        <v>620</v>
      </c>
      <c r="C627" s="2">
        <v>3595.6717920747533</v>
      </c>
      <c r="D627" s="3"/>
      <c r="E627" s="5">
        <f t="shared" si="18"/>
        <v>65.647628381358501</v>
      </c>
      <c r="F627" s="2">
        <v>555.07523316625975</v>
      </c>
      <c r="G627" s="3"/>
      <c r="H627" s="5">
        <f t="shared" si="19"/>
        <v>21.635621570934617</v>
      </c>
    </row>
    <row r="628" spans="2:8" x14ac:dyDescent="0.2">
      <c r="B628" s="1">
        <v>621</v>
      </c>
      <c r="C628" s="2">
        <v>3600.2510403542469</v>
      </c>
      <c r="D628" s="3"/>
      <c r="E628" s="5">
        <f t="shared" si="18"/>
        <v>65.731233561892722</v>
      </c>
      <c r="F628" s="2">
        <v>869.78421759761341</v>
      </c>
      <c r="G628" s="3"/>
      <c r="H628" s="5">
        <f t="shared" si="19"/>
        <v>33.902291177666051</v>
      </c>
    </row>
    <row r="629" spans="2:8" x14ac:dyDescent="0.2">
      <c r="B629" s="1">
        <v>622</v>
      </c>
      <c r="C629" s="2">
        <v>3604.8223420382851</v>
      </c>
      <c r="D629" s="3"/>
      <c r="E629" s="5">
        <f t="shared" si="18"/>
        <v>65.8146936582325</v>
      </c>
      <c r="F629" s="2">
        <v>386.28056684730382</v>
      </c>
      <c r="G629" s="3"/>
      <c r="H629" s="5">
        <f t="shared" si="19"/>
        <v>15.056373740262178</v>
      </c>
    </row>
    <row r="630" spans="2:8" x14ac:dyDescent="0.2">
      <c r="B630" s="1">
        <v>623</v>
      </c>
      <c r="C630" s="2">
        <v>3512.1705598193189</v>
      </c>
      <c r="D630" s="3"/>
      <c r="E630" s="5">
        <f t="shared" si="18"/>
        <v>64.123112746596618</v>
      </c>
      <c r="F630" s="2">
        <v>0</v>
      </c>
      <c r="G630" s="3"/>
      <c r="H630" s="5">
        <f t="shared" si="19"/>
        <v>0</v>
      </c>
    </row>
    <row r="631" spans="2:8" x14ac:dyDescent="0.2">
      <c r="B631" s="1">
        <v>624</v>
      </c>
      <c r="C631" s="2">
        <v>3033.238210753048</v>
      </c>
      <c r="D631" s="3"/>
      <c r="E631" s="5">
        <f t="shared" si="18"/>
        <v>55.379051917515255</v>
      </c>
      <c r="F631" s="2">
        <v>0</v>
      </c>
      <c r="G631" s="3"/>
      <c r="H631" s="5">
        <f t="shared" si="19"/>
        <v>0</v>
      </c>
    </row>
    <row r="632" spans="2:8" x14ac:dyDescent="0.2">
      <c r="B632" s="1">
        <v>625</v>
      </c>
      <c r="C632" s="2">
        <v>2554.3058616867775</v>
      </c>
      <c r="D632" s="3"/>
      <c r="E632" s="5">
        <f t="shared" si="18"/>
        <v>46.634991088433907</v>
      </c>
      <c r="F632" s="2">
        <v>0</v>
      </c>
      <c r="G632" s="3"/>
      <c r="H632" s="5">
        <f t="shared" si="19"/>
        <v>0</v>
      </c>
    </row>
    <row r="633" spans="2:8" x14ac:dyDescent="0.2">
      <c r="B633" s="1">
        <v>626</v>
      </c>
      <c r="C633" s="2">
        <v>2554.3058616867775</v>
      </c>
      <c r="D633" s="3"/>
      <c r="E633" s="5">
        <f t="shared" si="18"/>
        <v>46.634991088433907</v>
      </c>
      <c r="F633" s="2">
        <v>0</v>
      </c>
      <c r="G633" s="3"/>
      <c r="H633" s="5">
        <f t="shared" si="19"/>
        <v>0</v>
      </c>
    </row>
    <row r="634" spans="2:8" x14ac:dyDescent="0.2">
      <c r="B634" s="1">
        <v>627</v>
      </c>
      <c r="C634" s="2">
        <v>2736.7562803786905</v>
      </c>
      <c r="D634" s="3"/>
      <c r="E634" s="5">
        <f t="shared" si="18"/>
        <v>49.966061880464906</v>
      </c>
      <c r="F634" s="2">
        <v>0</v>
      </c>
      <c r="G634" s="3"/>
      <c r="H634" s="5">
        <f t="shared" si="19"/>
        <v>0</v>
      </c>
    </row>
    <row r="635" spans="2:8" x14ac:dyDescent="0.2">
      <c r="B635" s="1">
        <v>628</v>
      </c>
      <c r="C635" s="2">
        <v>2919.2066990706026</v>
      </c>
      <c r="D635" s="3"/>
      <c r="E635" s="5">
        <f t="shared" si="18"/>
        <v>53.297132672495884</v>
      </c>
      <c r="F635" s="2">
        <v>0</v>
      </c>
      <c r="G635" s="3"/>
      <c r="H635" s="5">
        <f t="shared" si="19"/>
        <v>0</v>
      </c>
    </row>
    <row r="636" spans="2:8" x14ac:dyDescent="0.2">
      <c r="B636" s="1">
        <v>629</v>
      </c>
      <c r="C636" s="2">
        <v>3101.6571177625156</v>
      </c>
      <c r="D636" s="3"/>
      <c r="E636" s="5">
        <f t="shared" si="18"/>
        <v>56.628203464526884</v>
      </c>
      <c r="F636" s="2">
        <v>0</v>
      </c>
      <c r="G636" s="3"/>
      <c r="H636" s="5">
        <f t="shared" si="19"/>
        <v>0</v>
      </c>
    </row>
    <row r="637" spans="2:8" x14ac:dyDescent="0.2">
      <c r="B637" s="1">
        <v>630</v>
      </c>
      <c r="C637" s="2">
        <v>3284.1075364544286</v>
      </c>
      <c r="D637" s="3"/>
      <c r="E637" s="5">
        <f t="shared" si="18"/>
        <v>59.959274256557883</v>
      </c>
      <c r="F637" s="2">
        <v>0</v>
      </c>
      <c r="G637" s="3"/>
      <c r="H637" s="5">
        <f t="shared" si="19"/>
        <v>0</v>
      </c>
    </row>
    <row r="638" spans="2:8" x14ac:dyDescent="0.2">
      <c r="B638" s="1">
        <v>631</v>
      </c>
      <c r="C638" s="2">
        <v>3466.5579551463411</v>
      </c>
      <c r="D638" s="3"/>
      <c r="E638" s="5">
        <f t="shared" si="18"/>
        <v>63.290345048588875</v>
      </c>
      <c r="F638" s="2">
        <v>0</v>
      </c>
      <c r="G638" s="3"/>
      <c r="H638" s="5">
        <f t="shared" si="19"/>
        <v>0</v>
      </c>
    </row>
    <row r="639" spans="2:8" x14ac:dyDescent="0.2">
      <c r="B639" s="1">
        <v>632</v>
      </c>
      <c r="C639" s="2">
        <v>3608.3644152649172</v>
      </c>
      <c r="D639" s="3"/>
      <c r="E639" s="5">
        <f t="shared" si="18"/>
        <v>65.879362716013034</v>
      </c>
      <c r="F639" s="2">
        <v>40.643958573336477</v>
      </c>
      <c r="G639" s="3"/>
      <c r="H639" s="5">
        <f t="shared" si="19"/>
        <v>1.5842128315137074</v>
      </c>
    </row>
    <row r="640" spans="2:8" x14ac:dyDescent="0.2">
      <c r="B640" s="1">
        <v>633</v>
      </c>
      <c r="C640" s="2">
        <v>3608.8739256143131</v>
      </c>
      <c r="D640" s="3"/>
      <c r="E640" s="5">
        <f t="shared" si="18"/>
        <v>65.88866505171211</v>
      </c>
      <c r="F640" s="2">
        <v>222.58486691585358</v>
      </c>
      <c r="G640" s="3"/>
      <c r="H640" s="5">
        <f t="shared" si="19"/>
        <v>8.6758724948655832</v>
      </c>
    </row>
    <row r="641" spans="2:8" x14ac:dyDescent="0.2">
      <c r="B641" s="1">
        <v>634</v>
      </c>
      <c r="C641" s="2">
        <v>3606.9224319180494</v>
      </c>
      <c r="D641" s="3"/>
      <c r="E641" s="5">
        <f t="shared" si="18"/>
        <v>65.85303584516349</v>
      </c>
      <c r="F641" s="2">
        <v>406.98677930402982</v>
      </c>
      <c r="G641" s="3"/>
      <c r="H641" s="5">
        <f t="shared" si="19"/>
        <v>15.86345672669928</v>
      </c>
    </row>
    <row r="642" spans="2:8" x14ac:dyDescent="0.2">
      <c r="B642" s="1">
        <v>635</v>
      </c>
      <c r="C642" s="2">
        <v>3604.985621273333</v>
      </c>
      <c r="D642" s="3"/>
      <c r="E642" s="5">
        <f t="shared" si="18"/>
        <v>65.817674713001864</v>
      </c>
      <c r="F642" s="2">
        <v>591.37400864065876</v>
      </c>
      <c r="G642" s="3"/>
      <c r="H642" s="5">
        <f t="shared" si="19"/>
        <v>23.050468645217947</v>
      </c>
    </row>
    <row r="643" spans="2:8" x14ac:dyDescent="0.2">
      <c r="B643" s="1">
        <v>636</v>
      </c>
      <c r="C643" s="2">
        <v>3603.0634386019287</v>
      </c>
      <c r="D643" s="3"/>
      <c r="E643" s="5">
        <f t="shared" si="18"/>
        <v>65.782580649641702</v>
      </c>
      <c r="F643" s="2">
        <v>775.746610003976</v>
      </c>
      <c r="G643" s="3"/>
      <c r="H643" s="5">
        <f t="shared" si="19"/>
        <v>30.236910397251048</v>
      </c>
    </row>
    <row r="644" spans="2:8" x14ac:dyDescent="0.2">
      <c r="B644" s="1">
        <v>637</v>
      </c>
      <c r="C644" s="2">
        <v>3601.1558289856621</v>
      </c>
      <c r="D644" s="3"/>
      <c r="E644" s="5">
        <f t="shared" si="18"/>
        <v>65.747752652419763</v>
      </c>
      <c r="F644" s="2">
        <v>868.87942896619825</v>
      </c>
      <c r="G644" s="3"/>
      <c r="H644" s="5">
        <f t="shared" si="19"/>
        <v>33.867024490807552</v>
      </c>
    </row>
    <row r="645" spans="2:8" x14ac:dyDescent="0.2">
      <c r="B645" s="1">
        <v>638</v>
      </c>
      <c r="C645" s="2">
        <v>3599.262737666048</v>
      </c>
      <c r="D645" s="3"/>
      <c r="E645" s="5">
        <f t="shared" si="18"/>
        <v>65.713189721588336</v>
      </c>
      <c r="F645" s="2">
        <v>870.77252028581233</v>
      </c>
      <c r="G645" s="3"/>
      <c r="H645" s="5">
        <f t="shared" si="19"/>
        <v>33.940813060253824</v>
      </c>
    </row>
    <row r="646" spans="2:8" x14ac:dyDescent="0.2">
      <c r="B646" s="1">
        <v>639</v>
      </c>
      <c r="C646" s="2">
        <v>3597.3841100438958</v>
      </c>
      <c r="D646" s="3"/>
      <c r="E646" s="5">
        <f t="shared" si="18"/>
        <v>65.678890860307988</v>
      </c>
      <c r="F646" s="2">
        <v>1328.7771946377461</v>
      </c>
      <c r="G646" s="3"/>
      <c r="H646" s="5">
        <f t="shared" si="19"/>
        <v>51.792836029236682</v>
      </c>
    </row>
    <row r="647" spans="2:8" x14ac:dyDescent="0.2">
      <c r="B647" s="1">
        <v>640</v>
      </c>
      <c r="C647" s="2">
        <v>3598.0094211014639</v>
      </c>
      <c r="D647" s="3"/>
      <c r="E647" s="5">
        <f t="shared" si="18"/>
        <v>65.690307416185107</v>
      </c>
      <c r="F647" s="2">
        <v>1510.602302272091</v>
      </c>
      <c r="G647" s="3"/>
      <c r="H647" s="5">
        <f t="shared" si="19"/>
        <v>58.879982033628544</v>
      </c>
    </row>
    <row r="648" spans="2:8" x14ac:dyDescent="0.2">
      <c r="B648" s="1">
        <v>641</v>
      </c>
      <c r="C648" s="2">
        <v>3602.803454220752</v>
      </c>
      <c r="D648" s="3"/>
      <c r="E648" s="5">
        <f t="shared" si="18"/>
        <v>65.777834010062946</v>
      </c>
      <c r="F648" s="2">
        <v>1250.3776829841249</v>
      </c>
      <c r="G648" s="3"/>
      <c r="H648" s="5">
        <f t="shared" si="19"/>
        <v>48.736994110640822</v>
      </c>
    </row>
    <row r="649" spans="2:8" x14ac:dyDescent="0.2">
      <c r="B649" s="1">
        <v>642</v>
      </c>
      <c r="C649" s="2">
        <v>3607.5854434002808</v>
      </c>
      <c r="D649" s="3"/>
      <c r="E649" s="5">
        <f t="shared" ref="E649:E679" si="20">$D$5*C649</f>
        <v>65.865140712880859</v>
      </c>
      <c r="F649" s="2">
        <v>990.16510763591805</v>
      </c>
      <c r="G649" s="3"/>
      <c r="H649" s="5">
        <f t="shared" ref="H649:H679" si="21">$G$5*F649</f>
        <v>38.594475634148424</v>
      </c>
    </row>
    <row r="650" spans="2:8" x14ac:dyDescent="0.2">
      <c r="B650" s="1">
        <v>643</v>
      </c>
      <c r="C650" s="2">
        <v>3612.3560576265172</v>
      </c>
      <c r="D650" s="3"/>
      <c r="E650" s="5">
        <f t="shared" si="20"/>
        <v>65.95223973859423</v>
      </c>
      <c r="F650" s="2">
        <v>857.67920032534312</v>
      </c>
      <c r="G650" s="3"/>
      <c r="H650" s="5">
        <f t="shared" si="21"/>
        <v>33.430464014132667</v>
      </c>
    </row>
    <row r="651" spans="2:8" x14ac:dyDescent="0.2">
      <c r="B651" s="1">
        <v>644</v>
      </c>
      <c r="C651" s="2">
        <v>3617.1158327248804</v>
      </c>
      <c r="D651" s="3"/>
      <c r="E651" s="5">
        <f t="shared" si="20"/>
        <v>66.039140869983612</v>
      </c>
      <c r="F651" s="2">
        <v>469.77354597396243</v>
      </c>
      <c r="G651" s="3"/>
      <c r="H651" s="5">
        <f t="shared" si="21"/>
        <v>18.310747908444991</v>
      </c>
    </row>
    <row r="652" spans="2:8" x14ac:dyDescent="0.2">
      <c r="B652" s="1">
        <v>645</v>
      </c>
      <c r="C652" s="2">
        <v>3621.8656875856345</v>
      </c>
      <c r="D652" s="3"/>
      <c r="E652" s="5">
        <f t="shared" si="20"/>
        <v>66.125860883598719</v>
      </c>
      <c r="F652" s="2">
        <v>209.59310494453075</v>
      </c>
      <c r="G652" s="3"/>
      <c r="H652" s="5">
        <f t="shared" si="21"/>
        <v>8.169481957590417</v>
      </c>
    </row>
    <row r="653" spans="2:8" x14ac:dyDescent="0.2">
      <c r="B653" s="1">
        <v>646</v>
      </c>
      <c r="C653" s="2">
        <v>3576.0282063614877</v>
      </c>
      <c r="D653" s="3"/>
      <c r="E653" s="5">
        <f t="shared" si="20"/>
        <v>65.28898752380745</v>
      </c>
      <c r="F653" s="2">
        <v>0</v>
      </c>
      <c r="G653" s="3"/>
      <c r="H653" s="5">
        <f t="shared" si="21"/>
        <v>0</v>
      </c>
    </row>
    <row r="654" spans="2:8" x14ac:dyDescent="0.2">
      <c r="B654" s="1">
        <v>647</v>
      </c>
      <c r="C654" s="2">
        <v>2873.5940943976243</v>
      </c>
      <c r="D654" s="3"/>
      <c r="E654" s="5">
        <f t="shared" si="20"/>
        <v>52.464364974488134</v>
      </c>
      <c r="F654" s="2">
        <v>0</v>
      </c>
      <c r="G654" s="3"/>
      <c r="H654" s="5">
        <f t="shared" si="21"/>
        <v>0</v>
      </c>
    </row>
    <row r="655" spans="2:8" x14ac:dyDescent="0.2">
      <c r="B655" s="1">
        <v>648</v>
      </c>
      <c r="C655" s="2">
        <v>2713.9499780422011</v>
      </c>
      <c r="D655" s="3"/>
      <c r="E655" s="5">
        <f t="shared" si="20"/>
        <v>49.549678031461028</v>
      </c>
      <c r="F655" s="2">
        <v>0</v>
      </c>
      <c r="G655" s="3"/>
      <c r="H655" s="5">
        <f t="shared" si="21"/>
        <v>0</v>
      </c>
    </row>
    <row r="656" spans="2:8" x14ac:dyDescent="0.2">
      <c r="B656" s="1">
        <v>649</v>
      </c>
      <c r="C656" s="2">
        <v>2554.3058616867775</v>
      </c>
      <c r="D656" s="3"/>
      <c r="E656" s="5">
        <f t="shared" si="20"/>
        <v>46.634991088433907</v>
      </c>
      <c r="F656" s="2">
        <v>0</v>
      </c>
      <c r="G656" s="3"/>
      <c r="H656" s="5">
        <f t="shared" si="21"/>
        <v>0</v>
      </c>
    </row>
    <row r="657" spans="2:8" x14ac:dyDescent="0.2">
      <c r="B657" s="1">
        <v>650</v>
      </c>
      <c r="C657" s="2">
        <v>2554.3058616867775</v>
      </c>
      <c r="D657" s="3"/>
      <c r="E657" s="5">
        <f t="shared" si="20"/>
        <v>46.634991088433907</v>
      </c>
      <c r="F657" s="2">
        <v>0</v>
      </c>
      <c r="G657" s="3"/>
      <c r="H657" s="5">
        <f t="shared" si="21"/>
        <v>0</v>
      </c>
    </row>
    <row r="658" spans="2:8" x14ac:dyDescent="0.2">
      <c r="B658" s="1">
        <v>651</v>
      </c>
      <c r="C658" s="2">
        <v>2713.9499780422016</v>
      </c>
      <c r="D658" s="3"/>
      <c r="E658" s="5">
        <f t="shared" si="20"/>
        <v>49.549678031461035</v>
      </c>
      <c r="F658" s="2">
        <v>0</v>
      </c>
      <c r="G658" s="3"/>
      <c r="H658" s="5">
        <f t="shared" si="21"/>
        <v>0</v>
      </c>
    </row>
    <row r="659" spans="2:8" x14ac:dyDescent="0.2">
      <c r="B659" s="1">
        <v>652</v>
      </c>
      <c r="C659" s="2">
        <v>2873.5940943976243</v>
      </c>
      <c r="D659" s="3"/>
      <c r="E659" s="5">
        <f t="shared" si="20"/>
        <v>52.464364974488134</v>
      </c>
      <c r="F659" s="2">
        <v>0</v>
      </c>
      <c r="G659" s="3"/>
      <c r="H659" s="5">
        <f t="shared" si="21"/>
        <v>0</v>
      </c>
    </row>
    <row r="660" spans="2:8" x14ac:dyDescent="0.2">
      <c r="B660" s="1">
        <v>653</v>
      </c>
      <c r="C660" s="2">
        <v>3033.238210753048</v>
      </c>
      <c r="D660" s="3"/>
      <c r="E660" s="5">
        <f t="shared" si="20"/>
        <v>55.379051917515255</v>
      </c>
      <c r="F660" s="2">
        <v>0</v>
      </c>
      <c r="G660" s="3"/>
      <c r="H660" s="5">
        <f t="shared" si="21"/>
        <v>0</v>
      </c>
    </row>
    <row r="661" spans="2:8" x14ac:dyDescent="0.2">
      <c r="B661" s="1">
        <v>654</v>
      </c>
      <c r="C661" s="2">
        <v>3192.8823271084716</v>
      </c>
      <c r="D661" s="3"/>
      <c r="E661" s="5">
        <f t="shared" si="20"/>
        <v>58.293738860542376</v>
      </c>
      <c r="F661" s="2">
        <v>0</v>
      </c>
      <c r="G661" s="3"/>
      <c r="H661" s="5">
        <f t="shared" si="21"/>
        <v>0</v>
      </c>
    </row>
    <row r="662" spans="2:8" x14ac:dyDescent="0.2">
      <c r="B662" s="1">
        <v>655</v>
      </c>
      <c r="C662" s="2">
        <v>3352.5264434638952</v>
      </c>
      <c r="D662" s="3"/>
      <c r="E662" s="5">
        <f t="shared" si="20"/>
        <v>61.208425803569497</v>
      </c>
      <c r="F662" s="2">
        <v>0</v>
      </c>
      <c r="G662" s="3"/>
      <c r="H662" s="5">
        <f t="shared" si="21"/>
        <v>0</v>
      </c>
    </row>
    <row r="663" spans="2:8" x14ac:dyDescent="0.2">
      <c r="B663" s="1">
        <v>656</v>
      </c>
      <c r="C663" s="2">
        <v>3512.1705598193189</v>
      </c>
      <c r="D663" s="3"/>
      <c r="E663" s="5">
        <f t="shared" si="20"/>
        <v>64.123112746596618</v>
      </c>
      <c r="F663" s="2">
        <v>0</v>
      </c>
      <c r="G663" s="3"/>
      <c r="H663" s="5">
        <f t="shared" si="21"/>
        <v>0</v>
      </c>
    </row>
    <row r="664" spans="2:8" x14ac:dyDescent="0.2">
      <c r="B664" s="1">
        <v>657</v>
      </c>
      <c r="C664" s="2">
        <v>3635.1619928709729</v>
      </c>
      <c r="D664" s="3"/>
      <c r="E664" s="5">
        <f t="shared" si="20"/>
        <v>66.368616885450976</v>
      </c>
      <c r="F664" s="2">
        <v>36.652683303770118</v>
      </c>
      <c r="G664" s="3"/>
      <c r="H664" s="5">
        <f t="shared" si="21"/>
        <v>1.4286416293449691</v>
      </c>
    </row>
    <row r="665" spans="2:8" x14ac:dyDescent="0.2">
      <c r="B665" s="1">
        <v>658</v>
      </c>
      <c r="C665" s="2">
        <v>3633.2259912248974</v>
      </c>
      <c r="D665" s="3"/>
      <c r="E665" s="5">
        <f t="shared" si="20"/>
        <v>66.33327052350343</v>
      </c>
      <c r="F665" s="2">
        <v>198.23280130526928</v>
      </c>
      <c r="G665" s="3"/>
      <c r="H665" s="5">
        <f t="shared" si="21"/>
        <v>7.7266821067162335</v>
      </c>
    </row>
    <row r="666" spans="2:8" x14ac:dyDescent="0.2">
      <c r="B666" s="1">
        <v>659</v>
      </c>
      <c r="C666" s="2">
        <v>3631.3044353497507</v>
      </c>
      <c r="D666" s="3"/>
      <c r="E666" s="5">
        <f t="shared" si="20"/>
        <v>66.298187903815034</v>
      </c>
      <c r="F666" s="2">
        <v>359.79847353583909</v>
      </c>
      <c r="G666" s="3"/>
      <c r="H666" s="5">
        <f t="shared" si="21"/>
        <v>14.024159519453276</v>
      </c>
    </row>
    <row r="667" spans="2:8" x14ac:dyDescent="0.2">
      <c r="B667" s="1">
        <v>660</v>
      </c>
      <c r="C667" s="2">
        <v>3629.3972711587785</v>
      </c>
      <c r="D667" s="3"/>
      <c r="E667" s="5">
        <f t="shared" si="20"/>
        <v>66.263368038902129</v>
      </c>
      <c r="F667" s="2">
        <v>521.34975408223545</v>
      </c>
      <c r="G667" s="3"/>
      <c r="H667" s="5">
        <f t="shared" si="21"/>
        <v>20.321075975739841</v>
      </c>
    </row>
    <row r="668" spans="2:8" x14ac:dyDescent="0.2">
      <c r="B668" s="1">
        <v>661</v>
      </c>
      <c r="C668" s="2">
        <v>3627.5044447222404</v>
      </c>
      <c r="D668" s="3"/>
      <c r="E668" s="5">
        <f t="shared" si="20"/>
        <v>66.228809944147727</v>
      </c>
      <c r="F668" s="2">
        <v>682.88669687419724</v>
      </c>
      <c r="G668" s="3"/>
      <c r="H668" s="5">
        <f t="shared" si="21"/>
        <v>26.617433577639492</v>
      </c>
    </row>
    <row r="669" spans="2:8" x14ac:dyDescent="0.2">
      <c r="B669" s="1">
        <v>662</v>
      </c>
      <c r="C669" s="2">
        <v>3625.625902267032</v>
      </c>
      <c r="D669" s="3"/>
      <c r="E669" s="5">
        <f t="shared" si="20"/>
        <v>66.194512637794588</v>
      </c>
      <c r="F669" s="2">
        <v>844.40935568483019</v>
      </c>
      <c r="G669" s="3"/>
      <c r="H669" s="5">
        <f t="shared" si="21"/>
        <v>32.913234421110566</v>
      </c>
    </row>
    <row r="670" spans="2:8" x14ac:dyDescent="0.2">
      <c r="B670" s="1">
        <v>663</v>
      </c>
      <c r="C670" s="2">
        <v>3623.7615901763152</v>
      </c>
      <c r="D670" s="3"/>
      <c r="E670" s="5">
        <f t="shared" si="20"/>
        <v>66.160475140938502</v>
      </c>
      <c r="F670" s="2">
        <v>686.62955142012243</v>
      </c>
      <c r="G670" s="3"/>
      <c r="H670" s="5">
        <f t="shared" si="21"/>
        <v>26.763321881984776</v>
      </c>
    </row>
    <row r="671" spans="2:8" x14ac:dyDescent="0.2">
      <c r="B671" s="1">
        <v>664</v>
      </c>
      <c r="C671" s="2">
        <v>3624.4788127282836</v>
      </c>
      <c r="D671" s="3"/>
      <c r="E671" s="5">
        <f t="shared" si="20"/>
        <v>66.173569761994329</v>
      </c>
      <c r="F671" s="2">
        <v>845.5564452235767</v>
      </c>
      <c r="G671" s="3"/>
      <c r="H671" s="5">
        <f t="shared" si="21"/>
        <v>32.95794546870448</v>
      </c>
    </row>
    <row r="672" spans="2:8" x14ac:dyDescent="0.2">
      <c r="B672" s="1">
        <v>665</v>
      </c>
      <c r="C672" s="2">
        <v>3629.390138868449</v>
      </c>
      <c r="D672" s="3"/>
      <c r="E672" s="5">
        <f t="shared" si="20"/>
        <v>66.263237821804424</v>
      </c>
      <c r="F672" s="2">
        <v>1479.221584505106</v>
      </c>
      <c r="G672" s="3"/>
      <c r="H672" s="5">
        <f t="shared" si="21"/>
        <v>57.656830118962894</v>
      </c>
    </row>
    <row r="673" spans="2:8" x14ac:dyDescent="0.2">
      <c r="B673" s="1">
        <v>666</v>
      </c>
      <c r="C673" s="2">
        <v>3634.2863851849474</v>
      </c>
      <c r="D673" s="3"/>
      <c r="E673" s="5">
        <f t="shared" si="20"/>
        <v>66.352630563199099</v>
      </c>
      <c r="F673" s="2">
        <v>1314.6812218331829</v>
      </c>
      <c r="G673" s="3"/>
      <c r="H673" s="5">
        <f t="shared" si="21"/>
        <v>51.243405762758968</v>
      </c>
    </row>
    <row r="674" spans="2:8" x14ac:dyDescent="0.2">
      <c r="B674" s="1">
        <v>667</v>
      </c>
      <c r="C674" s="2">
        <v>3639.167358580487</v>
      </c>
      <c r="D674" s="3"/>
      <c r="E674" s="5">
        <f t="shared" si="20"/>
        <v>66.441744460723328</v>
      </c>
      <c r="F674" s="2">
        <v>1629.0884811484898</v>
      </c>
      <c r="G674" s="3"/>
      <c r="H674" s="5">
        <f t="shared" si="21"/>
        <v>63.498314782746156</v>
      </c>
    </row>
    <row r="675" spans="2:8" x14ac:dyDescent="0.2">
      <c r="B675" s="1">
        <v>668</v>
      </c>
      <c r="C675" s="2">
        <v>3644.0326413961752</v>
      </c>
      <c r="D675" s="3"/>
      <c r="E675" s="5">
        <f t="shared" si="20"/>
        <v>66.530571889010432</v>
      </c>
      <c r="F675" s="2">
        <v>1273.006142350871</v>
      </c>
      <c r="G675" s="3"/>
      <c r="H675" s="5">
        <f t="shared" si="21"/>
        <v>49.619002087828925</v>
      </c>
    </row>
    <row r="676" spans="2:8" x14ac:dyDescent="0.2">
      <c r="B676" s="1">
        <v>669</v>
      </c>
      <c r="C676" s="2">
        <v>3648.8829307951523</v>
      </c>
      <c r="D676" s="3"/>
      <c r="E676" s="5">
        <f t="shared" si="20"/>
        <v>66.619125576448738</v>
      </c>
      <c r="F676" s="2">
        <v>916.93879696996237</v>
      </c>
      <c r="G676" s="3"/>
      <c r="H676" s="5">
        <f t="shared" si="21"/>
        <v>35.740273803583648</v>
      </c>
    </row>
    <row r="677" spans="2:8" x14ac:dyDescent="0.2">
      <c r="B677" s="1">
        <v>670</v>
      </c>
      <c r="C677" s="2">
        <v>3653.7192575299296</v>
      </c>
      <c r="D677" s="3"/>
      <c r="E677" s="5">
        <f t="shared" si="20"/>
        <v>66.707424341902041</v>
      </c>
      <c r="F677" s="2">
        <v>560.88541425325275</v>
      </c>
      <c r="G677" s="3"/>
      <c r="H677" s="5">
        <f t="shared" si="21"/>
        <v>21.862089753526238</v>
      </c>
    </row>
    <row r="678" spans="2:8" x14ac:dyDescent="0.2">
      <c r="B678" s="1">
        <v>671</v>
      </c>
      <c r="C678" s="2">
        <v>3654.344148248289</v>
      </c>
      <c r="D678" s="3"/>
      <c r="E678" s="5">
        <f t="shared" si="20"/>
        <v>66.718833223476892</v>
      </c>
      <c r="F678" s="2">
        <v>209.04346755296183</v>
      </c>
      <c r="G678" s="3"/>
      <c r="H678" s="5">
        <f t="shared" si="21"/>
        <v>8.1480582912211066</v>
      </c>
    </row>
    <row r="679" spans="2:8" x14ac:dyDescent="0.2">
      <c r="B679" s="1">
        <v>672</v>
      </c>
      <c r="C679" s="2">
        <v>3512.1705598193189</v>
      </c>
      <c r="D679" s="3"/>
      <c r="E679" s="5">
        <f t="shared" si="20"/>
        <v>64.123112746596618</v>
      </c>
      <c r="F679" s="2">
        <v>0</v>
      </c>
      <c r="G679" s="3"/>
      <c r="H679" s="5">
        <f t="shared" si="21"/>
        <v>0</v>
      </c>
    </row>
    <row r="680" spans="2:8" x14ac:dyDescent="0.2">
      <c r="C680" s="2"/>
      <c r="F680" s="2"/>
    </row>
  </sheetData>
  <mergeCells count="3">
    <mergeCell ref="C2:H2"/>
    <mergeCell ref="C3:E3"/>
    <mergeCell ref="F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BC1B-C667-AC45-9076-7ABCCBAEE9F7}">
  <dimension ref="B2:I680"/>
  <sheetViews>
    <sheetView zoomScale="160" zoomScaleNormal="160" workbookViewId="0">
      <selection activeCell="I25" sqref="I25"/>
    </sheetView>
  </sheetViews>
  <sheetFormatPr baseColWidth="10" defaultRowHeight="16" x14ac:dyDescent="0.2"/>
  <cols>
    <col min="2" max="2" width="10.83203125" style="1"/>
    <col min="3" max="3" width="13.1640625" bestFit="1" customWidth="1"/>
    <col min="5" max="5" width="11.6640625" customWidth="1"/>
    <col min="6" max="6" width="11.6640625" style="12" bestFit="1" customWidth="1"/>
    <col min="8" max="8" width="11" bestFit="1" customWidth="1"/>
  </cols>
  <sheetData>
    <row r="2" spans="2:9" x14ac:dyDescent="0.2">
      <c r="C2" s="18" t="s">
        <v>7</v>
      </c>
      <c r="D2" s="19"/>
      <c r="E2" s="19"/>
      <c r="F2" s="19"/>
      <c r="G2" s="19"/>
      <c r="H2" s="19"/>
    </row>
    <row r="3" spans="2:9" x14ac:dyDescent="0.2">
      <c r="C3" s="20" t="s">
        <v>9</v>
      </c>
      <c r="D3" s="20"/>
      <c r="E3" s="20"/>
      <c r="F3" s="20" t="s">
        <v>10</v>
      </c>
      <c r="G3" s="20"/>
      <c r="H3" s="20"/>
    </row>
    <row r="4" spans="2:9" s="10" customFormat="1" ht="34" x14ac:dyDescent="0.2">
      <c r="C4" s="11" t="s">
        <v>12</v>
      </c>
      <c r="D4" s="11" t="s">
        <v>19</v>
      </c>
      <c r="E4" s="11" t="s">
        <v>25</v>
      </c>
      <c r="F4" s="11" t="s">
        <v>12</v>
      </c>
      <c r="G4" s="11" t="str">
        <f>D4</f>
        <v>Factor</v>
      </c>
      <c r="H4" s="11" t="str">
        <f>E4</f>
        <v>Exergy Destruction</v>
      </c>
      <c r="I4" s="11" t="s">
        <v>24</v>
      </c>
    </row>
    <row r="5" spans="2:9" s="10" customFormat="1" ht="19" x14ac:dyDescent="0.2">
      <c r="C5" s="11" t="s">
        <v>23</v>
      </c>
      <c r="D5" s="21">
        <f>Properties!D10</f>
        <v>1.8257402838060172E-2</v>
      </c>
      <c r="E5" s="11" t="s">
        <v>21</v>
      </c>
      <c r="F5" s="11" t="s">
        <v>22</v>
      </c>
      <c r="G5" s="21">
        <f>Properties!F10</f>
        <v>3.8977818281534057E-2</v>
      </c>
      <c r="H5" s="11" t="s">
        <v>20</v>
      </c>
      <c r="I5" s="11" t="s">
        <v>15</v>
      </c>
    </row>
    <row r="6" spans="2:9" x14ac:dyDescent="0.2">
      <c r="B6" s="1" t="s">
        <v>4</v>
      </c>
      <c r="C6" s="14">
        <f>SUM(C8:C679)</f>
        <v>1999013.7215437628</v>
      </c>
      <c r="D6" s="5"/>
      <c r="E6" s="14">
        <f>ROUND(SUM(E8:E679),0)</f>
        <v>36497</v>
      </c>
      <c r="F6" s="15">
        <f>SUM(F8:F679)</f>
        <v>1028260.9548372098</v>
      </c>
      <c r="G6" s="5"/>
      <c r="H6" s="14">
        <f>ROUND(SUM(H8:H679),0)</f>
        <v>40079</v>
      </c>
      <c r="I6" s="17">
        <f>H6+E6</f>
        <v>76576</v>
      </c>
    </row>
    <row r="7" spans="2:9" s="1" customFormat="1" x14ac:dyDescent="0.2">
      <c r="B7" s="1" t="s">
        <v>8</v>
      </c>
      <c r="C7" s="1" t="s">
        <v>18</v>
      </c>
      <c r="D7" s="22"/>
      <c r="E7" s="1" t="s">
        <v>18</v>
      </c>
      <c r="F7" s="23" t="s">
        <v>18</v>
      </c>
      <c r="G7" s="22"/>
      <c r="H7" s="1" t="s">
        <v>18</v>
      </c>
      <c r="I7" s="1" t="s">
        <v>18</v>
      </c>
    </row>
    <row r="8" spans="2:9" x14ac:dyDescent="0.2">
      <c r="B8" s="1">
        <v>1</v>
      </c>
      <c r="C8" s="2">
        <v>2910.7959583306606</v>
      </c>
      <c r="D8" s="3"/>
      <c r="E8" s="5">
        <f>$D$5*C8</f>
        <v>53.143574390640282</v>
      </c>
      <c r="F8" s="16">
        <v>0</v>
      </c>
      <c r="G8" s="3"/>
      <c r="H8" s="5">
        <f>$G$5*F8</f>
        <v>0</v>
      </c>
    </row>
    <row r="9" spans="2:9" x14ac:dyDescent="0.2">
      <c r="B9" s="1">
        <v>2</v>
      </c>
      <c r="C9" s="2">
        <v>2739.5726666641513</v>
      </c>
      <c r="D9" s="3"/>
      <c r="E9" s="5">
        <f t="shared" ref="E9:E72" si="0">$D$5*C9</f>
        <v>50.017481779426149</v>
      </c>
      <c r="F9" s="16">
        <v>0</v>
      </c>
      <c r="G9" s="3"/>
      <c r="H9" s="5">
        <f t="shared" ref="H9:H72" si="1">$G$5*F9</f>
        <v>0</v>
      </c>
    </row>
    <row r="10" spans="2:9" x14ac:dyDescent="0.2">
      <c r="B10" s="1">
        <v>3</v>
      </c>
      <c r="C10" s="2">
        <v>2910.7959583306606</v>
      </c>
      <c r="D10" s="3"/>
      <c r="E10" s="5">
        <f t="shared" si="0"/>
        <v>53.143574390640282</v>
      </c>
      <c r="F10" s="16">
        <v>0</v>
      </c>
      <c r="G10" s="3"/>
      <c r="H10" s="5">
        <f t="shared" si="1"/>
        <v>0</v>
      </c>
    </row>
    <row r="11" spans="2:9" x14ac:dyDescent="0.2">
      <c r="B11" s="1">
        <v>4</v>
      </c>
      <c r="C11" s="2">
        <v>3082.0192499971704</v>
      </c>
      <c r="D11" s="3"/>
      <c r="E11" s="5">
        <f t="shared" si="0"/>
        <v>56.269667001854422</v>
      </c>
      <c r="F11" s="16">
        <v>0</v>
      </c>
      <c r="G11" s="3"/>
      <c r="H11" s="5">
        <f t="shared" si="1"/>
        <v>0</v>
      </c>
    </row>
    <row r="12" spans="2:9" x14ac:dyDescent="0.2">
      <c r="B12" s="1">
        <v>5</v>
      </c>
      <c r="C12" s="2">
        <v>3510.0774791634435</v>
      </c>
      <c r="D12" s="3"/>
      <c r="E12" s="5">
        <f t="shared" si="0"/>
        <v>64.084898529889756</v>
      </c>
      <c r="F12" s="16">
        <v>0</v>
      </c>
      <c r="G12" s="3"/>
      <c r="H12" s="5">
        <f t="shared" si="1"/>
        <v>0</v>
      </c>
    </row>
    <row r="13" spans="2:9" x14ac:dyDescent="0.2">
      <c r="B13" s="1">
        <v>6</v>
      </c>
      <c r="C13" s="2">
        <v>3720.8568663743704</v>
      </c>
      <c r="D13" s="3"/>
      <c r="E13" s="5">
        <f t="shared" si="0"/>
        <v>67.933182712159109</v>
      </c>
      <c r="F13" s="16">
        <v>46.055550288836912</v>
      </c>
      <c r="G13" s="3"/>
      <c r="H13" s="5">
        <f t="shared" si="1"/>
        <v>1.7951448700143384</v>
      </c>
    </row>
    <row r="14" spans="2:9" x14ac:dyDescent="0.2">
      <c r="B14" s="1">
        <v>7</v>
      </c>
      <c r="C14" s="2">
        <v>3713.4860176655607</v>
      </c>
      <c r="D14" s="3"/>
      <c r="E14" s="5">
        <f t="shared" si="0"/>
        <v>67.798610158023976</v>
      </c>
      <c r="F14" s="16">
        <v>310.26133649741041</v>
      </c>
      <c r="G14" s="3"/>
      <c r="H14" s="5">
        <f t="shared" si="1"/>
        <v>12.093309993781954</v>
      </c>
    </row>
    <row r="15" spans="2:9" x14ac:dyDescent="0.2">
      <c r="B15" s="1">
        <v>8</v>
      </c>
      <c r="C15" s="2">
        <v>3706.1516477278951</v>
      </c>
      <c r="D15" s="3"/>
      <c r="E15" s="5">
        <f t="shared" si="0"/>
        <v>67.664703611508656</v>
      </c>
      <c r="F15" s="16">
        <v>574.43064393483974</v>
      </c>
      <c r="G15" s="3"/>
      <c r="H15" s="5">
        <f t="shared" si="1"/>
        <v>22.390053254636776</v>
      </c>
    </row>
    <row r="16" spans="2:9" x14ac:dyDescent="0.2">
      <c r="B16" s="1">
        <v>9</v>
      </c>
      <c r="C16" s="2">
        <v>3698.8536356679028</v>
      </c>
      <c r="D16" s="3"/>
      <c r="E16" s="5">
        <f t="shared" si="0"/>
        <v>67.531460865412356</v>
      </c>
      <c r="F16" s="16">
        <v>838.56359349459626</v>
      </c>
      <c r="G16" s="3"/>
      <c r="H16" s="5">
        <f t="shared" si="1"/>
        <v>32.685379364742566</v>
      </c>
    </row>
    <row r="17" spans="2:8" x14ac:dyDescent="0.2">
      <c r="B17" s="1">
        <v>10</v>
      </c>
      <c r="C17" s="2">
        <v>3691.5918609166015</v>
      </c>
      <c r="D17" s="3"/>
      <c r="E17" s="5">
        <f t="shared" si="0"/>
        <v>67.398879718458588</v>
      </c>
      <c r="F17" s="16">
        <v>1102.6603057456618</v>
      </c>
      <c r="G17" s="3"/>
      <c r="H17" s="5">
        <f t="shared" si="1"/>
        <v>42.979293023615192</v>
      </c>
    </row>
    <row r="18" spans="2:8" x14ac:dyDescent="0.2">
      <c r="B18" s="1">
        <v>11</v>
      </c>
      <c r="C18" s="2">
        <v>3684.3662032287643</v>
      </c>
      <c r="D18" s="3"/>
      <c r="E18" s="5">
        <f t="shared" si="0"/>
        <v>67.266957975281827</v>
      </c>
      <c r="F18" s="16">
        <v>1366.7209009332632</v>
      </c>
      <c r="G18" s="3"/>
      <c r="H18" s="5">
        <f t="shared" si="1"/>
        <v>53.271798918151248</v>
      </c>
    </row>
    <row r="19" spans="2:8" x14ac:dyDescent="0.2">
      <c r="B19" s="1">
        <v>12</v>
      </c>
      <c r="C19" s="2">
        <v>3677.176542682188</v>
      </c>
      <c r="D19" s="3"/>
      <c r="E19" s="5">
        <f t="shared" si="0"/>
        <v>67.135693446414066</v>
      </c>
      <c r="F19" s="16">
        <v>1630.7454989796029</v>
      </c>
      <c r="G19" s="3"/>
      <c r="H19" s="5">
        <f t="shared" si="1"/>
        <v>63.562901722656541</v>
      </c>
    </row>
    <row r="20" spans="2:8" x14ac:dyDescent="0.2">
      <c r="B20" s="1">
        <v>13</v>
      </c>
      <c r="C20" s="2">
        <v>3670.0227596769773</v>
      </c>
      <c r="D20" s="3"/>
      <c r="E20" s="5">
        <f t="shared" si="0"/>
        <v>67.005083948271874</v>
      </c>
      <c r="F20" s="16">
        <v>1894.7342194845796</v>
      </c>
      <c r="G20" s="3"/>
      <c r="H20" s="5">
        <f t="shared" si="1"/>
        <v>73.852606098874205</v>
      </c>
    </row>
    <row r="21" spans="2:8" x14ac:dyDescent="0.2">
      <c r="B21" s="1">
        <v>14</v>
      </c>
      <c r="C21" s="2">
        <v>3662.9047349348284</v>
      </c>
      <c r="D21" s="3"/>
      <c r="E21" s="5">
        <f t="shared" si="0"/>
        <v>66.875127303143174</v>
      </c>
      <c r="F21" s="16">
        <v>2158.6871817264928</v>
      </c>
      <c r="G21" s="3"/>
      <c r="H21" s="5">
        <f t="shared" si="1"/>
        <v>84.140916696012127</v>
      </c>
    </row>
    <row r="22" spans="2:8" x14ac:dyDescent="0.2">
      <c r="B22" s="1">
        <v>15</v>
      </c>
      <c r="C22" s="2">
        <v>3655.8223494982994</v>
      </c>
      <c r="D22" s="3"/>
      <c r="E22" s="5">
        <f t="shared" si="0"/>
        <v>66.745821339174057</v>
      </c>
      <c r="F22" s="16">
        <v>1994.546275496512</v>
      </c>
      <c r="G22" s="3"/>
      <c r="H22" s="5">
        <f t="shared" si="1"/>
        <v>77.743062280413611</v>
      </c>
    </row>
    <row r="23" spans="2:8" x14ac:dyDescent="0.2">
      <c r="B23" s="1">
        <v>16</v>
      </c>
      <c r="C23" s="2">
        <v>3648.7754847300939</v>
      </c>
      <c r="D23" s="3"/>
      <c r="E23" s="5">
        <f t="shared" si="0"/>
        <v>66.617163890355599</v>
      </c>
      <c r="F23" s="16">
        <v>2229.8908624867299</v>
      </c>
      <c r="G23" s="3"/>
      <c r="H23" s="5">
        <f t="shared" si="1"/>
        <v>86.916280825661005</v>
      </c>
    </row>
    <row r="24" spans="2:8" x14ac:dyDescent="0.2">
      <c r="B24" s="1">
        <v>17</v>
      </c>
      <c r="C24" s="2">
        <v>3642.5574547146748</v>
      </c>
      <c r="D24" s="3"/>
      <c r="E24" s="5">
        <f t="shared" si="0"/>
        <v>66.503638811504942</v>
      </c>
      <c r="F24" s="16">
        <v>3035.1509202791935</v>
      </c>
      <c r="G24" s="3"/>
      <c r="H24" s="5">
        <f t="shared" si="1"/>
        <v>118.30356102767327</v>
      </c>
    </row>
    <row r="25" spans="2:8" x14ac:dyDescent="0.2">
      <c r="B25" s="1">
        <v>18</v>
      </c>
      <c r="C25" s="2">
        <v>3636.4612821459596</v>
      </c>
      <c r="D25" s="3"/>
      <c r="E25" s="5">
        <f t="shared" si="0"/>
        <v>66.39233853314758</v>
      </c>
      <c r="F25" s="16">
        <v>2870.023801181399</v>
      </c>
      <c r="G25" s="3"/>
      <c r="H25" s="5">
        <f t="shared" si="1"/>
        <v>111.8672661861262</v>
      </c>
    </row>
    <row r="26" spans="2:8" x14ac:dyDescent="0.2">
      <c r="B26" s="1">
        <v>19</v>
      </c>
      <c r="C26" s="2">
        <v>3630.3986087332264</v>
      </c>
      <c r="D26" s="3"/>
      <c r="E26" s="5">
        <f t="shared" si="0"/>
        <v>66.281649862375716</v>
      </c>
      <c r="F26" s="16">
        <v>3218.5330579271517</v>
      </c>
      <c r="G26" s="3"/>
      <c r="H26" s="5">
        <f t="shared" si="1"/>
        <v>125.45139666499465</v>
      </c>
    </row>
    <row r="27" spans="2:8" x14ac:dyDescent="0.2">
      <c r="B27" s="1">
        <v>20</v>
      </c>
      <c r="C27" s="2">
        <v>3624.3693192063956</v>
      </c>
      <c r="D27" s="3"/>
      <c r="E27" s="5">
        <f t="shared" si="0"/>
        <v>66.171570694657063</v>
      </c>
      <c r="F27" s="16">
        <v>2882.1157641209629</v>
      </c>
      <c r="G27" s="3"/>
      <c r="H27" s="5">
        <f t="shared" si="1"/>
        <v>112.33858452025157</v>
      </c>
    </row>
    <row r="28" spans="2:8" x14ac:dyDescent="0.2">
      <c r="B28" s="1">
        <v>21</v>
      </c>
      <c r="C28" s="2">
        <v>3618.3732986128766</v>
      </c>
      <c r="D28" s="3"/>
      <c r="E28" s="5">
        <f t="shared" si="0"/>
        <v>66.062098931255875</v>
      </c>
      <c r="F28" s="16">
        <v>3401.7816597140104</v>
      </c>
      <c r="G28" s="3"/>
      <c r="H28" s="5">
        <f t="shared" si="1"/>
        <v>132.59402736578801</v>
      </c>
    </row>
    <row r="29" spans="2:8" x14ac:dyDescent="0.2">
      <c r="B29" s="1">
        <v>22</v>
      </c>
      <c r="C29" s="2">
        <v>3612.4104323168526</v>
      </c>
      <c r="D29" s="3"/>
      <c r="E29" s="5">
        <f t="shared" si="0"/>
        <v>65.953232479219878</v>
      </c>
      <c r="F29" s="16">
        <v>2551.6280676774873</v>
      </c>
      <c r="G29" s="3"/>
      <c r="H29" s="5">
        <f t="shared" si="1"/>
        <v>99.456895143994984</v>
      </c>
    </row>
    <row r="30" spans="2:8" x14ac:dyDescent="0.2">
      <c r="B30" s="1">
        <v>23</v>
      </c>
      <c r="C30" s="2">
        <v>3605.951500723701</v>
      </c>
      <c r="D30" s="3"/>
      <c r="E30" s="5">
        <f t="shared" si="0"/>
        <v>65.835309163220231</v>
      </c>
      <c r="F30" s="16">
        <v>1701.9705409380899</v>
      </c>
      <c r="G30" s="3"/>
      <c r="H30" s="5">
        <f t="shared" si="1"/>
        <v>66.339098465209091</v>
      </c>
    </row>
    <row r="31" spans="2:8" x14ac:dyDescent="0.2">
      <c r="B31" s="1">
        <v>24</v>
      </c>
      <c r="C31" s="2">
        <v>3599.1740942185033</v>
      </c>
      <c r="D31" s="3"/>
      <c r="E31" s="5">
        <f t="shared" si="0"/>
        <v>65.711571322457559</v>
      </c>
      <c r="F31" s="16">
        <v>852.63148911074131</v>
      </c>
      <c r="G31" s="3"/>
      <c r="H31" s="5">
        <f t="shared" si="1"/>
        <v>33.233715243672258</v>
      </c>
    </row>
    <row r="32" spans="2:8" x14ac:dyDescent="0.2">
      <c r="B32" s="1">
        <v>25</v>
      </c>
      <c r="C32" s="2">
        <v>2910.7959583306606</v>
      </c>
      <c r="D32" s="3"/>
      <c r="E32" s="5">
        <f t="shared" si="0"/>
        <v>53.143574390640282</v>
      </c>
      <c r="F32" s="16">
        <v>0</v>
      </c>
      <c r="G32" s="3"/>
      <c r="H32" s="5">
        <f t="shared" si="1"/>
        <v>0</v>
      </c>
    </row>
    <row r="33" spans="2:8" x14ac:dyDescent="0.2">
      <c r="B33" s="1">
        <v>26</v>
      </c>
      <c r="C33" s="2">
        <v>2739.5726666641513</v>
      </c>
      <c r="D33" s="3"/>
      <c r="E33" s="5">
        <f t="shared" si="0"/>
        <v>50.017481779426149</v>
      </c>
      <c r="F33" s="16">
        <v>0</v>
      </c>
      <c r="G33" s="3"/>
      <c r="H33" s="5">
        <f t="shared" si="1"/>
        <v>0</v>
      </c>
    </row>
    <row r="34" spans="2:8" x14ac:dyDescent="0.2">
      <c r="B34" s="1">
        <v>27</v>
      </c>
      <c r="C34" s="2">
        <v>2945.0406166639623</v>
      </c>
      <c r="D34" s="3"/>
      <c r="E34" s="5">
        <f t="shared" si="0"/>
        <v>53.768792912883107</v>
      </c>
      <c r="F34" s="16">
        <v>0</v>
      </c>
      <c r="G34" s="3"/>
      <c r="H34" s="5">
        <f t="shared" si="1"/>
        <v>0</v>
      </c>
    </row>
    <row r="35" spans="2:8" x14ac:dyDescent="0.2">
      <c r="B35" s="1">
        <v>28</v>
      </c>
      <c r="C35" s="2">
        <v>3082.0192499971704</v>
      </c>
      <c r="D35" s="3"/>
      <c r="E35" s="5">
        <f t="shared" si="0"/>
        <v>56.269667001854422</v>
      </c>
      <c r="F35" s="16">
        <v>0</v>
      </c>
      <c r="G35" s="3"/>
      <c r="H35" s="5">
        <f t="shared" si="1"/>
        <v>0</v>
      </c>
    </row>
    <row r="36" spans="2:8" x14ac:dyDescent="0.2">
      <c r="B36" s="1">
        <v>29</v>
      </c>
      <c r="C36" s="2">
        <v>3400.0053630921161</v>
      </c>
      <c r="D36" s="3"/>
      <c r="E36" s="5">
        <f t="shared" si="0"/>
        <v>62.075267565537807</v>
      </c>
      <c r="F36" s="16">
        <v>0</v>
      </c>
      <c r="G36" s="3"/>
      <c r="H36" s="5">
        <f t="shared" si="1"/>
        <v>0</v>
      </c>
    </row>
    <row r="37" spans="2:8" x14ac:dyDescent="0.2">
      <c r="B37" s="1">
        <v>30</v>
      </c>
      <c r="C37" s="2">
        <v>3565.0445076810061</v>
      </c>
      <c r="D37" s="3"/>
      <c r="E37" s="5">
        <f t="shared" si="0"/>
        <v>65.088453712346023</v>
      </c>
      <c r="F37" s="16">
        <v>55.105087553764861</v>
      </c>
      <c r="G37" s="3"/>
      <c r="H37" s="5">
        <f t="shared" si="1"/>
        <v>2.1478760890586708</v>
      </c>
    </row>
    <row r="38" spans="2:8" x14ac:dyDescent="0.2">
      <c r="B38" s="1">
        <v>31</v>
      </c>
      <c r="C38" s="2">
        <v>3558.4792472588965</v>
      </c>
      <c r="D38" s="3"/>
      <c r="E38" s="5">
        <f t="shared" si="0"/>
        <v>64.96858910808281</v>
      </c>
      <c r="F38" s="16">
        <v>281.81458011852919</v>
      </c>
      <c r="G38" s="3"/>
      <c r="H38" s="5">
        <f t="shared" si="1"/>
        <v>10.984517492946852</v>
      </c>
    </row>
    <row r="39" spans="2:8" x14ac:dyDescent="0.2">
      <c r="B39" s="1">
        <v>32</v>
      </c>
      <c r="C39" s="2">
        <v>3551.9477518122526</v>
      </c>
      <c r="D39" s="3"/>
      <c r="E39" s="5">
        <f t="shared" si="0"/>
        <v>64.849340964578474</v>
      </c>
      <c r="F39" s="16">
        <v>508.49030770782838</v>
      </c>
      <c r="G39" s="3"/>
      <c r="H39" s="5">
        <f t="shared" si="1"/>
        <v>19.81984281175707</v>
      </c>
    </row>
    <row r="40" spans="2:8" x14ac:dyDescent="0.2">
      <c r="B40" s="1">
        <v>33</v>
      </c>
      <c r="C40" s="2">
        <v>3545.4499078154331</v>
      </c>
      <c r="D40" s="3"/>
      <c r="E40" s="5">
        <f t="shared" si="0"/>
        <v>64.730707209149671</v>
      </c>
      <c r="F40" s="16">
        <v>735.13238384730266</v>
      </c>
      <c r="G40" s="3"/>
      <c r="H40" s="5">
        <f t="shared" si="1"/>
        <v>28.653856470471105</v>
      </c>
    </row>
    <row r="41" spans="2:8" x14ac:dyDescent="0.2">
      <c r="B41" s="1">
        <v>34</v>
      </c>
      <c r="C41" s="2">
        <v>3538.9856020506077</v>
      </c>
      <c r="D41" s="3"/>
      <c r="E41" s="5">
        <f t="shared" si="0"/>
        <v>64.612685774732853</v>
      </c>
      <c r="F41" s="16">
        <v>961.74092175478381</v>
      </c>
      <c r="G41" s="3"/>
      <c r="H41" s="5">
        <f t="shared" si="1"/>
        <v>37.486562882073031</v>
      </c>
    </row>
    <row r="42" spans="2:8" x14ac:dyDescent="0.2">
      <c r="B42" s="1">
        <v>35</v>
      </c>
      <c r="C42" s="2">
        <v>3532.5547216070513</v>
      </c>
      <c r="D42" s="3"/>
      <c r="E42" s="5">
        <f t="shared" si="0"/>
        <v>64.495274599871436</v>
      </c>
      <c r="F42" s="16">
        <v>1188.316034340995</v>
      </c>
      <c r="G42" s="3"/>
      <c r="H42" s="5">
        <f t="shared" si="1"/>
        <v>46.317966447576488</v>
      </c>
    </row>
    <row r="43" spans="2:8" x14ac:dyDescent="0.2">
      <c r="B43" s="1">
        <v>36</v>
      </c>
      <c r="C43" s="2">
        <v>3526.1571538804583</v>
      </c>
      <c r="D43" s="3"/>
      <c r="E43" s="5">
        <f t="shared" si="0"/>
        <v>64.378471628703252</v>
      </c>
      <c r="F43" s="16">
        <v>1414.8578342102428</v>
      </c>
      <c r="G43" s="3"/>
      <c r="H43" s="5">
        <f t="shared" si="1"/>
        <v>55.148071556051683</v>
      </c>
    </row>
    <row r="44" spans="2:8" x14ac:dyDescent="0.2">
      <c r="B44" s="1">
        <v>37</v>
      </c>
      <c r="C44" s="2">
        <v>3519.792786572244</v>
      </c>
      <c r="D44" s="3"/>
      <c r="E44" s="5">
        <f t="shared" si="0"/>
        <v>64.262274810947815</v>
      </c>
      <c r="F44" s="16">
        <v>1641.3664336611118</v>
      </c>
      <c r="G44" s="3"/>
      <c r="H44" s="5">
        <f t="shared" si="1"/>
        <v>63.976882584652444</v>
      </c>
    </row>
    <row r="45" spans="2:8" x14ac:dyDescent="0.2">
      <c r="B45" s="1">
        <v>38</v>
      </c>
      <c r="C45" s="2">
        <v>3513.461507688859</v>
      </c>
      <c r="D45" s="3"/>
      <c r="E45" s="5">
        <f t="shared" si="0"/>
        <v>64.146682101893745</v>
      </c>
      <c r="F45" s="16">
        <v>1867.8419446871517</v>
      </c>
      <c r="G45" s="3"/>
      <c r="H45" s="5">
        <f t="shared" si="1"/>
        <v>72.804403898642988</v>
      </c>
    </row>
    <row r="46" spans="2:8" x14ac:dyDescent="0.2">
      <c r="B46" s="1">
        <v>39</v>
      </c>
      <c r="C46" s="2">
        <v>3507.1632055410878</v>
      </c>
      <c r="D46" s="3"/>
      <c r="E46" s="5">
        <f t="shared" si="0"/>
        <v>64.031691462386064</v>
      </c>
      <c r="F46" s="16">
        <v>2094.2844789775786</v>
      </c>
      <c r="G46" s="3"/>
      <c r="H46" s="5">
        <f t="shared" si="1"/>
        <v>81.630639851425286</v>
      </c>
    </row>
    <row r="47" spans="2:8" x14ac:dyDescent="0.2">
      <c r="B47" s="1">
        <v>40</v>
      </c>
      <c r="C47" s="2">
        <v>3500.8977687433685</v>
      </c>
      <c r="D47" s="3"/>
      <c r="E47" s="5">
        <f t="shared" si="0"/>
        <v>63.917300858813704</v>
      </c>
      <c r="F47" s="16">
        <v>2320.6941479179527</v>
      </c>
      <c r="G47" s="3"/>
      <c r="H47" s="5">
        <f t="shared" si="1"/>
        <v>90.455594784565477</v>
      </c>
    </row>
    <row r="48" spans="2:8" x14ac:dyDescent="0.2">
      <c r="B48" s="1">
        <v>41</v>
      </c>
      <c r="C48" s="2">
        <v>3494.929714039326</v>
      </c>
      <c r="D48" s="3"/>
      <c r="E48" s="5">
        <f t="shared" si="0"/>
        <v>63.808339679922419</v>
      </c>
      <c r="F48" s="16">
        <v>2155.4389109554854</v>
      </c>
      <c r="G48" s="3"/>
      <c r="H48" s="5">
        <f t="shared" si="1"/>
        <v>84.014306188170579</v>
      </c>
    </row>
    <row r="49" spans="2:8" x14ac:dyDescent="0.2">
      <c r="B49" s="1">
        <v>42</v>
      </c>
      <c r="C49" s="2">
        <v>3489.6106820070509</v>
      </c>
      <c r="D49" s="3"/>
      <c r="E49" s="5">
        <f t="shared" si="0"/>
        <v>63.711227969400625</v>
      </c>
      <c r="F49" s="16">
        <v>2503.2045263207801</v>
      </c>
      <c r="G49" s="3"/>
      <c r="H49" s="5">
        <f t="shared" si="1"/>
        <v>97.569451148444898</v>
      </c>
    </row>
    <row r="50" spans="2:8" x14ac:dyDescent="0.2">
      <c r="B50" s="1">
        <v>43</v>
      </c>
      <c r="C50" s="2">
        <v>3484.3225142131869</v>
      </c>
      <c r="D50" s="3"/>
      <c r="E50" s="5">
        <f t="shared" si="0"/>
        <v>63.614679759712793</v>
      </c>
      <c r="F50" s="16">
        <v>2850.9392774476628</v>
      </c>
      <c r="G50" s="3"/>
      <c r="H50" s="5">
        <f t="shared" si="1"/>
        <v>111.123393088043</v>
      </c>
    </row>
    <row r="51" spans="2:8" x14ac:dyDescent="0.2">
      <c r="B51" s="1">
        <v>44</v>
      </c>
      <c r="C51" s="2">
        <v>3479.0651025731418</v>
      </c>
      <c r="D51" s="3"/>
      <c r="E51" s="5">
        <f t="shared" si="0"/>
        <v>63.518693077514982</v>
      </c>
      <c r="F51" s="16">
        <v>3027.4199807542168</v>
      </c>
      <c r="G51" s="3"/>
      <c r="H51" s="5">
        <f t="shared" si="1"/>
        <v>118.0022258717232</v>
      </c>
    </row>
    <row r="52" spans="2:8" x14ac:dyDescent="0.2">
      <c r="B52" s="1">
        <v>45</v>
      </c>
      <c r="C52" s="2">
        <v>3473.8383393034792</v>
      </c>
      <c r="D52" s="3"/>
      <c r="E52" s="5">
        <f t="shared" si="0"/>
        <v>63.423265954961579</v>
      </c>
      <c r="F52" s="16">
        <v>3546.3166190234078</v>
      </c>
      <c r="G52" s="3"/>
      <c r="H52" s="5">
        <f t="shared" si="1"/>
        <v>138.22768474507865</v>
      </c>
    </row>
    <row r="53" spans="2:8" x14ac:dyDescent="0.2">
      <c r="B53" s="1">
        <v>46</v>
      </c>
      <c r="C53" s="2">
        <v>3468.6421169212235</v>
      </c>
      <c r="D53" s="3"/>
      <c r="E53" s="5">
        <f t="shared" si="0"/>
        <v>63.328396429692589</v>
      </c>
      <c r="F53" s="16">
        <v>2695.3963830731163</v>
      </c>
      <c r="G53" s="3"/>
      <c r="H53" s="5">
        <f t="shared" si="1"/>
        <v>105.06067041612809</v>
      </c>
    </row>
    <row r="54" spans="2:8" x14ac:dyDescent="0.2">
      <c r="B54" s="1">
        <v>47</v>
      </c>
      <c r="C54" s="2">
        <v>3463.4763282431632</v>
      </c>
      <c r="D54" s="3"/>
      <c r="E54" s="5">
        <f t="shared" si="0"/>
        <v>63.23408254482095</v>
      </c>
      <c r="F54" s="16">
        <v>1844.4457134186277</v>
      </c>
      <c r="G54" s="3"/>
      <c r="H54" s="5">
        <f t="shared" si="1"/>
        <v>71.892469847785719</v>
      </c>
    </row>
    <row r="55" spans="2:8" x14ac:dyDescent="0.2">
      <c r="B55" s="1">
        <v>48</v>
      </c>
      <c r="C55" s="2">
        <v>3458.2526403976271</v>
      </c>
      <c r="D55" s="3"/>
      <c r="E55" s="5">
        <f t="shared" si="0"/>
        <v>63.138711571524723</v>
      </c>
      <c r="F55" s="16">
        <v>993.55294293161751</v>
      </c>
      <c r="G55" s="3"/>
      <c r="H55" s="5">
        <f t="shared" si="1"/>
        <v>38.726526062671965</v>
      </c>
    </row>
    <row r="56" spans="2:8" x14ac:dyDescent="0.2">
      <c r="B56" s="1">
        <v>49</v>
      </c>
      <c r="C56" s="2">
        <v>2910.7959583306606</v>
      </c>
      <c r="D56" s="3"/>
      <c r="E56" s="5">
        <f t="shared" si="0"/>
        <v>53.143574390640282</v>
      </c>
      <c r="F56" s="16">
        <v>0</v>
      </c>
      <c r="G56" s="3"/>
      <c r="H56" s="5">
        <f t="shared" si="1"/>
        <v>0</v>
      </c>
    </row>
    <row r="57" spans="2:8" x14ac:dyDescent="0.2">
      <c r="B57" s="1">
        <v>50</v>
      </c>
      <c r="C57" s="2">
        <v>2739.5726666641513</v>
      </c>
      <c r="D57" s="3"/>
      <c r="E57" s="5">
        <f t="shared" si="0"/>
        <v>50.017481779426149</v>
      </c>
      <c r="F57" s="16">
        <v>0</v>
      </c>
      <c r="G57" s="3"/>
      <c r="H57" s="5">
        <f t="shared" si="1"/>
        <v>0</v>
      </c>
    </row>
    <row r="58" spans="2:8" x14ac:dyDescent="0.2">
      <c r="B58" s="1">
        <v>51</v>
      </c>
      <c r="C58" s="2">
        <v>2910.7959583306606</v>
      </c>
      <c r="D58" s="3"/>
      <c r="E58" s="5">
        <f t="shared" si="0"/>
        <v>53.143574390640282</v>
      </c>
      <c r="F58" s="16">
        <v>0</v>
      </c>
      <c r="G58" s="3"/>
      <c r="H58" s="5">
        <f t="shared" si="1"/>
        <v>0</v>
      </c>
    </row>
    <row r="59" spans="2:8" x14ac:dyDescent="0.2">
      <c r="B59" s="1">
        <v>52</v>
      </c>
      <c r="C59" s="2">
        <v>3082.0192499971704</v>
      </c>
      <c r="D59" s="3"/>
      <c r="E59" s="5">
        <f t="shared" si="0"/>
        <v>56.269667001854422</v>
      </c>
      <c r="F59" s="16">
        <v>0</v>
      </c>
      <c r="G59" s="3"/>
      <c r="H59" s="5">
        <f t="shared" si="1"/>
        <v>0</v>
      </c>
    </row>
    <row r="60" spans="2:8" x14ac:dyDescent="0.2">
      <c r="B60" s="1">
        <v>53</v>
      </c>
      <c r="C60" s="2">
        <v>3432.9857656045433</v>
      </c>
      <c r="D60" s="3"/>
      <c r="E60" s="5">
        <f t="shared" si="0"/>
        <v>62.677404059968559</v>
      </c>
      <c r="F60" s="16">
        <v>17.822112597416435</v>
      </c>
      <c r="G60" s="3"/>
      <c r="H60" s="5">
        <f t="shared" si="1"/>
        <v>0.69466706621513674</v>
      </c>
    </row>
    <row r="61" spans="2:8" x14ac:dyDescent="0.2">
      <c r="B61" s="1">
        <v>54</v>
      </c>
      <c r="C61" s="2">
        <v>3427.136996456552</v>
      </c>
      <c r="D61" s="3"/>
      <c r="E61" s="5">
        <f t="shared" si="0"/>
        <v>62.570620725526865</v>
      </c>
      <c r="F61" s="16">
        <v>260.74928559134378</v>
      </c>
      <c r="G61" s="3"/>
      <c r="H61" s="5">
        <f t="shared" si="1"/>
        <v>10.163438270819224</v>
      </c>
    </row>
    <row r="62" spans="2:8" x14ac:dyDescent="0.2">
      <c r="B62" s="1">
        <v>55</v>
      </c>
      <c r="C62" s="2">
        <v>3421.3195374148004</v>
      </c>
      <c r="D62" s="3"/>
      <c r="E62" s="5">
        <f t="shared" si="0"/>
        <v>62.464409032307692</v>
      </c>
      <c r="F62" s="16">
        <v>503.64514847903092</v>
      </c>
      <c r="G62" s="3"/>
      <c r="H62" s="5">
        <f t="shared" si="1"/>
        <v>19.630989075791906</v>
      </c>
    </row>
    <row r="63" spans="2:8" x14ac:dyDescent="0.2">
      <c r="B63" s="1">
        <v>56</v>
      </c>
      <c r="C63" s="2">
        <v>3416.3267140981648</v>
      </c>
      <c r="D63" s="3"/>
      <c r="E63" s="5">
        <f t="shared" si="0"/>
        <v>62.373253045716616</v>
      </c>
      <c r="F63" s="16">
        <v>745.71637564160255</v>
      </c>
      <c r="G63" s="3"/>
      <c r="H63" s="5">
        <f t="shared" si="1"/>
        <v>29.066397379322574</v>
      </c>
    </row>
    <row r="64" spans="2:8" x14ac:dyDescent="0.2">
      <c r="B64" s="1">
        <v>57</v>
      </c>
      <c r="C64" s="2">
        <v>3411.4515607086328</v>
      </c>
      <c r="D64" s="3"/>
      <c r="E64" s="5">
        <f t="shared" si="0"/>
        <v>62.284245406386596</v>
      </c>
      <c r="F64" s="16">
        <v>987.66993287707055</v>
      </c>
      <c r="G64" s="3"/>
      <c r="H64" s="5">
        <f t="shared" si="1"/>
        <v>38.497219165817398</v>
      </c>
    </row>
    <row r="65" spans="2:8" x14ac:dyDescent="0.2">
      <c r="B65" s="1">
        <v>58</v>
      </c>
      <c r="C65" s="2">
        <v>3406.6057304372562</v>
      </c>
      <c r="D65" s="3"/>
      <c r="E65" s="5">
        <f t="shared" si="0"/>
        <v>62.195773131037207</v>
      </c>
      <c r="F65" s="16">
        <v>1229.5941669943832</v>
      </c>
      <c r="G65" s="3"/>
      <c r="H65" s="5">
        <f t="shared" si="1"/>
        <v>47.926898001141311</v>
      </c>
    </row>
    <row r="66" spans="2:8" x14ac:dyDescent="0.2">
      <c r="B66" s="1">
        <v>59</v>
      </c>
      <c r="C66" s="2">
        <v>3401.7891194694785</v>
      </c>
      <c r="D66" s="3"/>
      <c r="E66" s="5">
        <f t="shared" si="0"/>
        <v>62.107834324284269</v>
      </c>
      <c r="F66" s="16">
        <v>1471.4891818080978</v>
      </c>
      <c r="G66" s="3"/>
      <c r="H66" s="5">
        <f t="shared" si="1"/>
        <v>57.355437931759269</v>
      </c>
    </row>
    <row r="67" spans="2:8" x14ac:dyDescent="0.2">
      <c r="B67" s="1">
        <v>60</v>
      </c>
      <c r="C67" s="2">
        <v>3397.0016242820393</v>
      </c>
      <c r="D67" s="3"/>
      <c r="E67" s="5">
        <f t="shared" si="0"/>
        <v>62.020427096061923</v>
      </c>
      <c r="F67" s="16">
        <v>1713.355080841473</v>
      </c>
      <c r="G67" s="3"/>
      <c r="H67" s="5">
        <f t="shared" si="1"/>
        <v>66.782842992782022</v>
      </c>
    </row>
    <row r="68" spans="2:8" x14ac:dyDescent="0.2">
      <c r="B68" s="1">
        <v>61</v>
      </c>
      <c r="C68" s="2">
        <v>3392.2431416422942</v>
      </c>
      <c r="D68" s="3"/>
      <c r="E68" s="5">
        <f t="shared" si="0"/>
        <v>61.933549561610178</v>
      </c>
      <c r="F68" s="16">
        <v>1955.1919673271532</v>
      </c>
      <c r="G68" s="3"/>
      <c r="H68" s="5">
        <f t="shared" si="1"/>
        <v>76.209117207992847</v>
      </c>
    </row>
    <row r="69" spans="2:8" x14ac:dyDescent="0.2">
      <c r="B69" s="1">
        <v>62</v>
      </c>
      <c r="C69" s="2">
        <v>3387.51356860753</v>
      </c>
      <c r="D69" s="3"/>
      <c r="E69" s="5">
        <f t="shared" si="0"/>
        <v>61.847199841462462</v>
      </c>
      <c r="F69" s="16">
        <v>2196.9999442078542</v>
      </c>
      <c r="G69" s="3"/>
      <c r="H69" s="5">
        <f t="shared" si="1"/>
        <v>85.634264589874206</v>
      </c>
    </row>
    <row r="70" spans="2:8" x14ac:dyDescent="0.2">
      <c r="B70" s="1">
        <v>63</v>
      </c>
      <c r="C70" s="2">
        <v>3382.8128025242877</v>
      </c>
      <c r="D70" s="3"/>
      <c r="E70" s="5">
        <f t="shared" si="0"/>
        <v>61.761376061433218</v>
      </c>
      <c r="F70" s="16">
        <v>2438.7791141370335</v>
      </c>
      <c r="G70" s="3"/>
      <c r="H70" s="5">
        <f t="shared" si="1"/>
        <v>95.058289139633899</v>
      </c>
    </row>
    <row r="71" spans="2:8" x14ac:dyDescent="0.2">
      <c r="B71" s="1">
        <v>64</v>
      </c>
      <c r="C71" s="2">
        <v>3377.2592329777999</v>
      </c>
      <c r="D71" s="3"/>
      <c r="E71" s="5">
        <f t="shared" si="0"/>
        <v>61.659982305033807</v>
      </c>
      <c r="F71" s="16">
        <v>2273.1093920170115</v>
      </c>
      <c r="G71" s="3"/>
      <c r="H71" s="5">
        <f t="shared" si="1"/>
        <v>88.600844816087431</v>
      </c>
    </row>
    <row r="72" spans="2:8" x14ac:dyDescent="0.2">
      <c r="B72" s="1">
        <v>65</v>
      </c>
      <c r="C72" s="2">
        <v>3371.7359353387542</v>
      </c>
      <c r="D72" s="3"/>
      <c r="E72" s="5">
        <f t="shared" si="0"/>
        <v>61.559141235043242</v>
      </c>
      <c r="F72" s="16">
        <v>2586.8346146557747</v>
      </c>
      <c r="G72" s="3"/>
      <c r="H72" s="5">
        <f t="shared" si="1"/>
        <v>100.82916953443497</v>
      </c>
    </row>
    <row r="73" spans="2:8" x14ac:dyDescent="0.2">
      <c r="B73" s="1">
        <v>66</v>
      </c>
      <c r="C73" s="2">
        <v>3366.242805724452</v>
      </c>
      <c r="D73" s="3"/>
      <c r="E73" s="5">
        <f t="shared" ref="E73:E136" si="2">$D$5*C73</f>
        <v>61.458850954833245</v>
      </c>
      <c r="F73" s="16">
        <v>2900.5296692697943</v>
      </c>
      <c r="G73" s="3"/>
      <c r="H73" s="5">
        <f t="shared" ref="H73:H136" si="3">$G$5*F73</f>
        <v>113.05631836899612</v>
      </c>
    </row>
    <row r="74" spans="2:8" x14ac:dyDescent="0.2">
      <c r="B74" s="1">
        <v>67</v>
      </c>
      <c r="C74" s="2">
        <v>3360.7797405378101</v>
      </c>
      <c r="D74" s="3"/>
      <c r="E74" s="5">
        <f t="shared" si="2"/>
        <v>61.359109572990143</v>
      </c>
      <c r="F74" s="16">
        <v>3488.1519261225681</v>
      </c>
      <c r="G74" s="3"/>
      <c r="H74" s="5">
        <f t="shared" si="3"/>
        <v>135.96055191478848</v>
      </c>
    </row>
    <row r="75" spans="2:8" x14ac:dyDescent="0.2">
      <c r="B75" s="1">
        <v>68</v>
      </c>
      <c r="C75" s="2">
        <v>3355.3466364666951</v>
      </c>
      <c r="D75" s="3"/>
      <c r="E75" s="5">
        <f t="shared" si="2"/>
        <v>61.25991520330269</v>
      </c>
      <c r="F75" s="16">
        <v>3493.585030193683</v>
      </c>
      <c r="G75" s="3"/>
      <c r="H75" s="5">
        <f t="shared" si="3"/>
        <v>136.17232245797706</v>
      </c>
    </row>
    <row r="76" spans="2:8" x14ac:dyDescent="0.2">
      <c r="B76" s="1">
        <v>69</v>
      </c>
      <c r="C76" s="2">
        <v>3349.9433904832831</v>
      </c>
      <c r="D76" s="3"/>
      <c r="E76" s="5">
        <f t="shared" si="2"/>
        <v>61.161265964750406</v>
      </c>
      <c r="F76" s="16">
        <v>3841.4348595101137</v>
      </c>
      <c r="G76" s="3"/>
      <c r="H76" s="5">
        <f t="shared" si="3"/>
        <v>149.73074989433553</v>
      </c>
    </row>
    <row r="77" spans="2:8" x14ac:dyDescent="0.2">
      <c r="B77" s="1">
        <v>70</v>
      </c>
      <c r="C77" s="2">
        <v>3344.6581258309175</v>
      </c>
      <c r="D77" s="3"/>
      <c r="E77" s="5">
        <f t="shared" si="2"/>
        <v>61.064770758886411</v>
      </c>
      <c r="F77" s="16">
        <v>2956.359007496631</v>
      </c>
      <c r="G77" s="3"/>
      <c r="H77" s="5">
        <f t="shared" si="3"/>
        <v>115.23242416918006</v>
      </c>
    </row>
    <row r="78" spans="2:8" x14ac:dyDescent="0.2">
      <c r="B78" s="1">
        <v>71</v>
      </c>
      <c r="C78" s="2">
        <v>3340.1956290893513</v>
      </c>
      <c r="D78" s="3"/>
      <c r="E78" s="5">
        <f t="shared" si="2"/>
        <v>60.983297158212103</v>
      </c>
      <c r="F78" s="16">
        <v>2070.4603875723478</v>
      </c>
      <c r="G78" s="3"/>
      <c r="H78" s="5">
        <f t="shared" si="3"/>
        <v>80.702028745909544</v>
      </c>
    </row>
    <row r="79" spans="2:8" x14ac:dyDescent="0.2">
      <c r="B79" s="1">
        <v>72</v>
      </c>
      <c r="C79" s="2">
        <v>3335.7610138627938</v>
      </c>
      <c r="D79" s="3"/>
      <c r="E79" s="5">
        <f t="shared" si="2"/>
        <v>60.902332601589052</v>
      </c>
      <c r="F79" s="16">
        <v>1184.5338861330551</v>
      </c>
      <c r="G79" s="3"/>
      <c r="H79" s="5">
        <f t="shared" si="3"/>
        <v>46.170546562013577</v>
      </c>
    </row>
    <row r="80" spans="2:8" x14ac:dyDescent="0.2">
      <c r="B80" s="1">
        <v>73</v>
      </c>
      <c r="C80" s="2">
        <v>2910.7959583306606</v>
      </c>
      <c r="D80" s="3"/>
      <c r="E80" s="5">
        <f t="shared" si="2"/>
        <v>53.143574390640282</v>
      </c>
      <c r="F80" s="16">
        <v>0</v>
      </c>
      <c r="G80" s="3"/>
      <c r="H80" s="5">
        <f t="shared" si="3"/>
        <v>0</v>
      </c>
    </row>
    <row r="81" spans="2:8" x14ac:dyDescent="0.2">
      <c r="B81" s="1">
        <v>74</v>
      </c>
      <c r="C81" s="2">
        <v>2739.5726666641513</v>
      </c>
      <c r="D81" s="3"/>
      <c r="E81" s="5">
        <f t="shared" si="2"/>
        <v>50.017481779426149</v>
      </c>
      <c r="F81" s="16">
        <v>0</v>
      </c>
      <c r="G81" s="3"/>
      <c r="H81" s="5">
        <f t="shared" si="3"/>
        <v>0</v>
      </c>
    </row>
    <row r="82" spans="2:8" x14ac:dyDescent="0.2">
      <c r="B82" s="1">
        <v>75</v>
      </c>
      <c r="C82" s="2">
        <v>2910.7959583306606</v>
      </c>
      <c r="D82" s="3"/>
      <c r="E82" s="5">
        <f t="shared" si="2"/>
        <v>53.143574390640282</v>
      </c>
      <c r="F82" s="16">
        <v>0</v>
      </c>
      <c r="G82" s="3"/>
      <c r="H82" s="5">
        <f t="shared" si="3"/>
        <v>0</v>
      </c>
    </row>
    <row r="83" spans="2:8" x14ac:dyDescent="0.2">
      <c r="B83" s="1">
        <v>76</v>
      </c>
      <c r="C83" s="2">
        <v>3082.0192499971704</v>
      </c>
      <c r="D83" s="3"/>
      <c r="E83" s="5">
        <f t="shared" si="2"/>
        <v>56.269667001854422</v>
      </c>
      <c r="F83" s="16">
        <v>0</v>
      </c>
      <c r="G83" s="3"/>
      <c r="H83" s="5">
        <f t="shared" si="3"/>
        <v>0</v>
      </c>
    </row>
    <row r="84" spans="2:8" x14ac:dyDescent="0.2">
      <c r="B84" s="1">
        <v>77</v>
      </c>
      <c r="C84" s="2">
        <v>3317.2725863195528</v>
      </c>
      <c r="D84" s="3"/>
      <c r="E84" s="5">
        <f t="shared" si="2"/>
        <v>60.564781932089815</v>
      </c>
      <c r="F84" s="16">
        <v>107.19324701063624</v>
      </c>
      <c r="G84" s="3"/>
      <c r="H84" s="5">
        <f t="shared" si="3"/>
        <v>4.1781589029881729</v>
      </c>
    </row>
    <row r="85" spans="2:8" x14ac:dyDescent="0.2">
      <c r="B85" s="1">
        <v>78</v>
      </c>
      <c r="C85" s="2">
        <v>3312.9881178405958</v>
      </c>
      <c r="D85" s="3"/>
      <c r="E85" s="5">
        <f t="shared" si="2"/>
        <v>60.486558665122523</v>
      </c>
      <c r="F85" s="16">
        <v>339.77543771160526</v>
      </c>
      <c r="G85" s="3"/>
      <c r="H85" s="5">
        <f t="shared" si="3"/>
        <v>13.243705267651643</v>
      </c>
    </row>
    <row r="86" spans="2:8" x14ac:dyDescent="0.2">
      <c r="B86" s="1">
        <v>79</v>
      </c>
      <c r="C86" s="2">
        <v>3308.7308866056469</v>
      </c>
      <c r="D86" s="3"/>
      <c r="E86" s="5">
        <f t="shared" si="2"/>
        <v>60.40883267949129</v>
      </c>
      <c r="F86" s="16">
        <v>572.33039116856708</v>
      </c>
      <c r="G86" s="3"/>
      <c r="H86" s="5">
        <f t="shared" si="3"/>
        <v>22.308189983967711</v>
      </c>
    </row>
    <row r="87" spans="2:8" x14ac:dyDescent="0.2">
      <c r="B87" s="1">
        <v>80</v>
      </c>
      <c r="C87" s="2">
        <v>3304.500794643368</v>
      </c>
      <c r="D87" s="3"/>
      <c r="E87" s="5">
        <f t="shared" si="2"/>
        <v>60.331602186493917</v>
      </c>
      <c r="F87" s="16">
        <v>804.85820535285802</v>
      </c>
      <c r="G87" s="3"/>
      <c r="H87" s="5">
        <f t="shared" si="3"/>
        <v>31.371616870645322</v>
      </c>
    </row>
    <row r="88" spans="2:8" x14ac:dyDescent="0.2">
      <c r="B88" s="1">
        <v>81</v>
      </c>
      <c r="C88" s="2">
        <v>3300.2977442600709</v>
      </c>
      <c r="D88" s="3"/>
      <c r="E88" s="5">
        <f t="shared" si="2"/>
        <v>60.254865402497401</v>
      </c>
      <c r="F88" s="16">
        <v>1037.3589779581685</v>
      </c>
      <c r="G88" s="3"/>
      <c r="H88" s="5">
        <f t="shared" si="3"/>
        <v>40.43398973557138</v>
      </c>
    </row>
    <row r="89" spans="2:8" x14ac:dyDescent="0.2">
      <c r="B89" s="1">
        <v>82</v>
      </c>
      <c r="C89" s="2">
        <v>3296.121638039067</v>
      </c>
      <c r="D89" s="3"/>
      <c r="E89" s="5">
        <f t="shared" si="2"/>
        <v>60.178620548926006</v>
      </c>
      <c r="F89" s="16">
        <v>1269.8328064011848</v>
      </c>
      <c r="G89" s="3"/>
      <c r="H89" s="5">
        <f t="shared" si="3"/>
        <v>49.495312375835802</v>
      </c>
    </row>
    <row r="90" spans="2:8" x14ac:dyDescent="0.2">
      <c r="B90" s="1">
        <v>83</v>
      </c>
      <c r="C90" s="2">
        <v>3291.9723788400097</v>
      </c>
      <c r="D90" s="3"/>
      <c r="E90" s="5">
        <f t="shared" si="2"/>
        <v>60.102865852249288</v>
      </c>
      <c r="F90" s="16">
        <v>1502.2797878222545</v>
      </c>
      <c r="G90" s="3"/>
      <c r="H90" s="5">
        <f t="shared" si="3"/>
        <v>58.555588577757376</v>
      </c>
    </row>
    <row r="91" spans="2:8" x14ac:dyDescent="0.2">
      <c r="B91" s="1">
        <v>84</v>
      </c>
      <c r="C91" s="2">
        <v>3287.8498697982427</v>
      </c>
      <c r="D91" s="3"/>
      <c r="E91" s="5">
        <f t="shared" si="2"/>
        <v>60.027599543970204</v>
      </c>
      <c r="F91" s="16">
        <v>1734.700019086034</v>
      </c>
      <c r="G91" s="3"/>
      <c r="H91" s="5">
        <f t="shared" si="3"/>
        <v>67.614822116909096</v>
      </c>
    </row>
    <row r="92" spans="2:8" x14ac:dyDescent="0.2">
      <c r="B92" s="1">
        <v>85</v>
      </c>
      <c r="C92" s="2">
        <v>3283.7540143241426</v>
      </c>
      <c r="D92" s="3"/>
      <c r="E92" s="5">
        <f t="shared" si="2"/>
        <v>59.952819860613083</v>
      </c>
      <c r="F92" s="16">
        <v>1967.0935967821465</v>
      </c>
      <c r="G92" s="3"/>
      <c r="H92" s="5">
        <f t="shared" si="3"/>
        <v>76.673016758143731</v>
      </c>
    </row>
    <row r="93" spans="2:8" x14ac:dyDescent="0.2">
      <c r="B93" s="1">
        <v>86</v>
      </c>
      <c r="C93" s="2">
        <v>3279.6847161024739</v>
      </c>
      <c r="D93" s="3"/>
      <c r="E93" s="5">
        <f t="shared" si="2"/>
        <v>59.878525043711875</v>
      </c>
      <c r="F93" s="16">
        <v>2199.4606172258286</v>
      </c>
      <c r="G93" s="3"/>
      <c r="H93" s="5">
        <f t="shared" si="3"/>
        <v>85.730176255619085</v>
      </c>
    </row>
    <row r="94" spans="2:8" x14ac:dyDescent="0.2">
      <c r="B94" s="1">
        <v>87</v>
      </c>
      <c r="C94" s="2">
        <v>3275.6418790917414</v>
      </c>
      <c r="D94" s="3"/>
      <c r="E94" s="5">
        <f t="shared" si="2"/>
        <v>59.804713339798319</v>
      </c>
      <c r="F94" s="16">
        <v>2032.2801625700504</v>
      </c>
      <c r="G94" s="3"/>
      <c r="H94" s="5">
        <f t="shared" si="3"/>
        <v>79.213846873821922</v>
      </c>
    </row>
    <row r="95" spans="2:8" x14ac:dyDescent="0.2">
      <c r="B95" s="1">
        <v>88</v>
      </c>
      <c r="C95" s="2">
        <v>3271.6254075235379</v>
      </c>
      <c r="D95" s="3"/>
      <c r="E95" s="5">
        <f t="shared" si="2"/>
        <v>59.731383000390011</v>
      </c>
      <c r="F95" s="16">
        <v>2435.8176480267771</v>
      </c>
      <c r="G95" s="3"/>
      <c r="H95" s="5">
        <f t="shared" si="3"/>
        <v>94.942857651741406</v>
      </c>
    </row>
    <row r="96" spans="2:8" x14ac:dyDescent="0.2">
      <c r="B96" s="1">
        <v>89</v>
      </c>
      <c r="C96" s="2">
        <v>3267.6352059018991</v>
      </c>
      <c r="D96" s="3"/>
      <c r="E96" s="5">
        <f t="shared" si="2"/>
        <v>59.658532281978665</v>
      </c>
      <c r="F96" s="16">
        <v>2839.3288635369381</v>
      </c>
      <c r="G96" s="3"/>
      <c r="H96" s="5">
        <f t="shared" si="3"/>
        <v>110.67084448445739</v>
      </c>
    </row>
    <row r="97" spans="2:8" x14ac:dyDescent="0.2">
      <c r="B97" s="1">
        <v>90</v>
      </c>
      <c r="C97" s="2">
        <v>3263.6711790026552</v>
      </c>
      <c r="D97" s="3"/>
      <c r="E97" s="5">
        <f t="shared" si="2"/>
        <v>59.586159446018264</v>
      </c>
      <c r="F97" s="16">
        <v>3242.8139043247033</v>
      </c>
      <c r="G97" s="3"/>
      <c r="H97" s="5">
        <f t="shared" si="3"/>
        <v>126.39781108360026</v>
      </c>
    </row>
    <row r="98" spans="2:8" x14ac:dyDescent="0.2">
      <c r="B98" s="1">
        <v>91</v>
      </c>
      <c r="C98" s="2">
        <v>3259.7332318727968</v>
      </c>
      <c r="D98" s="3"/>
      <c r="E98" s="5">
        <f t="shared" si="2"/>
        <v>59.514262758913461</v>
      </c>
      <c r="F98" s="16">
        <v>2775.8877993716615</v>
      </c>
      <c r="G98" s="3"/>
      <c r="H98" s="5">
        <f t="shared" si="3"/>
        <v>108.19805021383608</v>
      </c>
    </row>
    <row r="99" spans="2:8" x14ac:dyDescent="0.2">
      <c r="B99" s="1">
        <v>92</v>
      </c>
      <c r="C99" s="2">
        <v>3255.8212698298148</v>
      </c>
      <c r="D99" s="3"/>
      <c r="E99" s="5">
        <f t="shared" si="2"/>
        <v>59.442840492007534</v>
      </c>
      <c r="F99" s="16">
        <v>2308.9357093317421</v>
      </c>
      <c r="G99" s="3"/>
      <c r="H99" s="5">
        <f t="shared" si="3"/>
        <v>89.997276502077582</v>
      </c>
    </row>
    <row r="100" spans="2:8" x14ac:dyDescent="0.2">
      <c r="B100" s="1">
        <v>93</v>
      </c>
      <c r="C100" s="2">
        <v>3251.9351984610739</v>
      </c>
      <c r="D100" s="3"/>
      <c r="E100" s="5">
        <f t="shared" si="2"/>
        <v>59.37189092157098</v>
      </c>
      <c r="F100" s="16">
        <v>1841.9577286175818</v>
      </c>
      <c r="G100" s="3"/>
      <c r="H100" s="5">
        <f t="shared" si="3"/>
        <v>71.795493628323328</v>
      </c>
    </row>
    <row r="101" spans="2:8" x14ac:dyDescent="0.2">
      <c r="B101" s="1">
        <v>94</v>
      </c>
      <c r="C101" s="2">
        <v>3248.0749236231673</v>
      </c>
      <c r="D101" s="3"/>
      <c r="E101" s="5">
        <f t="shared" si="2"/>
        <v>59.301412328789688</v>
      </c>
      <c r="F101" s="16">
        <v>1374.9539513725881</v>
      </c>
      <c r="G101" s="3"/>
      <c r="H101" s="5">
        <f t="shared" si="3"/>
        <v>53.592705262077956</v>
      </c>
    </row>
    <row r="102" spans="2:8" x14ac:dyDescent="0.2">
      <c r="B102" s="1">
        <v>95</v>
      </c>
      <c r="C102" s="2">
        <v>3244.2403514412699</v>
      </c>
      <c r="D102" s="3"/>
      <c r="E102" s="5">
        <f t="shared" si="2"/>
        <v>59.231402999753172</v>
      </c>
      <c r="F102" s="16">
        <v>907.92447147158418</v>
      </c>
      <c r="G102" s="3"/>
      <c r="H102" s="5">
        <f t="shared" si="3"/>
        <v>35.388915062377258</v>
      </c>
    </row>
    <row r="103" spans="2:8" x14ac:dyDescent="0.2">
      <c r="B103" s="1">
        <v>96</v>
      </c>
      <c r="C103" s="2">
        <v>3240.4313883085179</v>
      </c>
      <c r="D103" s="3"/>
      <c r="E103" s="5">
        <f t="shared" si="2"/>
        <v>59.161861225443197</v>
      </c>
      <c r="F103" s="16">
        <v>184.03444502167122</v>
      </c>
      <c r="G103" s="3"/>
      <c r="H103" s="5">
        <f t="shared" si="3"/>
        <v>7.1732611555976709</v>
      </c>
    </row>
    <row r="104" spans="2:8" x14ac:dyDescent="0.2">
      <c r="B104" s="1">
        <v>97</v>
      </c>
      <c r="C104" s="2">
        <v>2910.7959583306606</v>
      </c>
      <c r="D104" s="3"/>
      <c r="E104" s="5">
        <f t="shared" si="2"/>
        <v>53.143574390640282</v>
      </c>
      <c r="F104" s="16">
        <v>0</v>
      </c>
      <c r="G104" s="3"/>
      <c r="H104" s="5">
        <f t="shared" si="3"/>
        <v>0</v>
      </c>
    </row>
    <row r="105" spans="2:8" x14ac:dyDescent="0.2">
      <c r="B105" s="1">
        <v>98</v>
      </c>
      <c r="C105" s="2">
        <v>2739.5726666641513</v>
      </c>
      <c r="D105" s="3"/>
      <c r="E105" s="5">
        <f t="shared" si="2"/>
        <v>50.017481779426149</v>
      </c>
      <c r="F105" s="16">
        <v>0</v>
      </c>
      <c r="G105" s="3"/>
      <c r="H105" s="5">
        <f t="shared" si="3"/>
        <v>0</v>
      </c>
    </row>
    <row r="106" spans="2:8" x14ac:dyDescent="0.2">
      <c r="B106" s="1">
        <v>99</v>
      </c>
      <c r="C106" s="2">
        <v>2910.7959583306606</v>
      </c>
      <c r="D106" s="3"/>
      <c r="E106" s="5">
        <f t="shared" si="2"/>
        <v>53.143574390640282</v>
      </c>
      <c r="F106" s="16">
        <v>0</v>
      </c>
      <c r="G106" s="3"/>
      <c r="H106" s="5">
        <f t="shared" si="3"/>
        <v>0</v>
      </c>
    </row>
    <row r="107" spans="2:8" x14ac:dyDescent="0.2">
      <c r="B107" s="1">
        <v>100</v>
      </c>
      <c r="C107" s="2">
        <v>3082.0192499971704</v>
      </c>
      <c r="D107" s="3"/>
      <c r="E107" s="5">
        <f t="shared" si="2"/>
        <v>56.269667001854422</v>
      </c>
      <c r="F107" s="16">
        <v>0</v>
      </c>
      <c r="G107" s="3"/>
      <c r="H107" s="5">
        <f t="shared" si="3"/>
        <v>0</v>
      </c>
    </row>
    <row r="108" spans="2:8" x14ac:dyDescent="0.2">
      <c r="B108" s="1">
        <v>101</v>
      </c>
      <c r="C108" s="2">
        <v>3222.4692139397071</v>
      </c>
      <c r="D108" s="3"/>
      <c r="E108" s="5">
        <f t="shared" si="2"/>
        <v>58.833918572144341</v>
      </c>
      <c r="F108" s="16">
        <v>170.86511181475271</v>
      </c>
      <c r="G108" s="3"/>
      <c r="H108" s="5">
        <f t="shared" si="3"/>
        <v>6.659949278969429</v>
      </c>
    </row>
    <row r="109" spans="2:8" x14ac:dyDescent="0.2">
      <c r="B109" s="1">
        <v>102</v>
      </c>
      <c r="C109" s="2">
        <v>3217.9219625079559</v>
      </c>
      <c r="D109" s="3"/>
      <c r="E109" s="5">
        <f t="shared" si="2"/>
        <v>58.750897570948915</v>
      </c>
      <c r="F109" s="16">
        <v>393.33291627660674</v>
      </c>
      <c r="G109" s="3"/>
      <c r="H109" s="5">
        <f t="shared" si="3"/>
        <v>15.331258934775427</v>
      </c>
    </row>
    <row r="110" spans="2:8" x14ac:dyDescent="0.2">
      <c r="B110" s="1">
        <v>103</v>
      </c>
      <c r="C110" s="2">
        <v>3213.4013762391642</v>
      </c>
      <c r="D110" s="3"/>
      <c r="E110" s="5">
        <f t="shared" si="2"/>
        <v>58.668363406375377</v>
      </c>
      <c r="F110" s="16">
        <v>615.77405557550173</v>
      </c>
      <c r="G110" s="3"/>
      <c r="H110" s="5">
        <f t="shared" si="3"/>
        <v>24.00152924070516</v>
      </c>
    </row>
    <row r="111" spans="2:8" x14ac:dyDescent="0.2">
      <c r="B111" s="1">
        <v>104</v>
      </c>
      <c r="C111" s="2">
        <v>3208.9073614494455</v>
      </c>
      <c r="D111" s="3"/>
      <c r="E111" s="5">
        <f t="shared" si="2"/>
        <v>58.586314367999286</v>
      </c>
      <c r="F111" s="16">
        <v>838.1886233953237</v>
      </c>
      <c r="G111" s="3"/>
      <c r="H111" s="5">
        <f t="shared" si="3"/>
        <v>32.670763848352117</v>
      </c>
    </row>
    <row r="112" spans="2:8" x14ac:dyDescent="0.2">
      <c r="B112" s="1">
        <v>105</v>
      </c>
      <c r="C112" s="2">
        <v>3204.4398247164927</v>
      </c>
      <c r="D112" s="3"/>
      <c r="E112" s="5">
        <f t="shared" si="2"/>
        <v>58.504748750171935</v>
      </c>
      <c r="F112" s="16">
        <v>1060.5767131583789</v>
      </c>
      <c r="G112" s="3"/>
      <c r="H112" s="5">
        <f t="shared" si="3"/>
        <v>41.338966399113964</v>
      </c>
    </row>
    <row r="113" spans="2:8" x14ac:dyDescent="0.2">
      <c r="B113" s="1">
        <v>106</v>
      </c>
      <c r="C113" s="2">
        <v>3199.9986728789836</v>
      </c>
      <c r="D113" s="3"/>
      <c r="E113" s="5">
        <f t="shared" si="2"/>
        <v>58.423664852009537</v>
      </c>
      <c r="F113" s="16">
        <v>1282.9384180259913</v>
      </c>
      <c r="G113" s="3"/>
      <c r="H113" s="5">
        <f t="shared" si="3"/>
        <v>50.006140524215866</v>
      </c>
    </row>
    <row r="114" spans="2:8" x14ac:dyDescent="0.2">
      <c r="B114" s="1">
        <v>107</v>
      </c>
      <c r="C114" s="2">
        <v>3195.5838130359493</v>
      </c>
      <c r="D114" s="3"/>
      <c r="E114" s="5">
        <f t="shared" si="2"/>
        <v>58.34306097738169</v>
      </c>
      <c r="F114" s="16">
        <v>1505.2738308991288</v>
      </c>
      <c r="G114" s="3"/>
      <c r="H114" s="5">
        <f t="shared" si="3"/>
        <v>58.67228984473487</v>
      </c>
    </row>
    <row r="115" spans="2:8" x14ac:dyDescent="0.2">
      <c r="B115" s="1">
        <v>108</v>
      </c>
      <c r="C115" s="2">
        <v>3191.7242578210335</v>
      </c>
      <c r="D115" s="3"/>
      <c r="E115" s="5">
        <f t="shared" si="2"/>
        <v>58.272595523047237</v>
      </c>
      <c r="F115" s="16">
        <v>1727.053939144148</v>
      </c>
      <c r="G115" s="3"/>
      <c r="H115" s="5">
        <f t="shared" si="3"/>
        <v>67.316794602368176</v>
      </c>
    </row>
    <row r="116" spans="2:8" x14ac:dyDescent="0.2">
      <c r="B116" s="1">
        <v>109</v>
      </c>
      <c r="C116" s="2">
        <v>3188.2422104626344</v>
      </c>
      <c r="D116" s="3"/>
      <c r="E116" s="5">
        <f t="shared" si="2"/>
        <v>58.209022381723742</v>
      </c>
      <c r="F116" s="16">
        <v>1948.4565395326495</v>
      </c>
      <c r="G116" s="3"/>
      <c r="H116" s="5">
        <f t="shared" si="3"/>
        <v>75.946584927370296</v>
      </c>
    </row>
    <row r="117" spans="2:8" x14ac:dyDescent="0.2">
      <c r="B117" s="1">
        <v>110</v>
      </c>
      <c r="C117" s="2">
        <v>3184.7845098098537</v>
      </c>
      <c r="D117" s="3"/>
      <c r="E117" s="5">
        <f t="shared" si="2"/>
        <v>58.145893748012497</v>
      </c>
      <c r="F117" s="16">
        <v>1854.0723592331392</v>
      </c>
      <c r="G117" s="3"/>
      <c r="H117" s="5">
        <f t="shared" si="3"/>
        <v>72.267695499004432</v>
      </c>
    </row>
    <row r="118" spans="2:8" x14ac:dyDescent="0.2">
      <c r="B118" s="1">
        <v>111</v>
      </c>
      <c r="C118" s="2">
        <v>3181.3510660906541</v>
      </c>
      <c r="D118" s="3"/>
      <c r="E118" s="5">
        <f t="shared" si="2"/>
        <v>58.083207982909265</v>
      </c>
      <c r="F118" s="16">
        <v>1759.6639220000479</v>
      </c>
      <c r="G118" s="3"/>
      <c r="H118" s="5">
        <f t="shared" si="3"/>
        <v>68.587860588289388</v>
      </c>
    </row>
    <row r="119" spans="2:8" x14ac:dyDescent="0.2">
      <c r="B119" s="1">
        <v>112</v>
      </c>
      <c r="C119" s="2">
        <v>3177.9417897912808</v>
      </c>
      <c r="D119" s="3"/>
      <c r="E119" s="5">
        <f t="shared" si="2"/>
        <v>58.020963452125351</v>
      </c>
      <c r="F119" s="16">
        <v>1665.2313173471302</v>
      </c>
      <c r="G119" s="3"/>
      <c r="H119" s="5">
        <f t="shared" si="3"/>
        <v>64.907083684276017</v>
      </c>
    </row>
    <row r="120" spans="2:8" x14ac:dyDescent="0.2">
      <c r="B120" s="1">
        <v>113</v>
      </c>
      <c r="C120" s="2">
        <v>3174.5565916556343</v>
      </c>
      <c r="D120" s="3"/>
      <c r="E120" s="5">
        <f t="shared" si="2"/>
        <v>57.959158526076202</v>
      </c>
      <c r="F120" s="16">
        <v>1570.7746345304849</v>
      </c>
      <c r="G120" s="3"/>
      <c r="H120" s="5">
        <f t="shared" si="3"/>
        <v>61.225368265972314</v>
      </c>
    </row>
    <row r="121" spans="2:8" x14ac:dyDescent="0.2">
      <c r="B121" s="1">
        <v>114</v>
      </c>
      <c r="C121" s="2">
        <v>3171.1953826846598</v>
      </c>
      <c r="D121" s="3"/>
      <c r="E121" s="5">
        <f t="shared" si="2"/>
        <v>57.897791579870223</v>
      </c>
      <c r="F121" s="16">
        <v>1476.2939625491676</v>
      </c>
      <c r="G121" s="3"/>
      <c r="H121" s="5">
        <f t="shared" si="3"/>
        <v>57.542717802367299</v>
      </c>
    </row>
    <row r="122" spans="2:8" x14ac:dyDescent="0.2">
      <c r="B122" s="1">
        <v>115</v>
      </c>
      <c r="C122" s="2">
        <v>3167.8580741357277</v>
      </c>
      <c r="D122" s="3"/>
      <c r="E122" s="5">
        <f t="shared" si="2"/>
        <v>57.836860993297471</v>
      </c>
      <c r="F122" s="16">
        <v>1381.7893901458096</v>
      </c>
      <c r="G122" s="3"/>
      <c r="H122" s="5">
        <f t="shared" si="3"/>
        <v>53.859135752455138</v>
      </c>
    </row>
    <row r="123" spans="2:8" x14ac:dyDescent="0.2">
      <c r="B123" s="1">
        <v>116</v>
      </c>
      <c r="C123" s="2">
        <v>3164.544577522016</v>
      </c>
      <c r="D123" s="3"/>
      <c r="E123" s="5">
        <f t="shared" si="2"/>
        <v>57.776365150818386</v>
      </c>
      <c r="F123" s="16">
        <v>1287.2610058072296</v>
      </c>
      <c r="G123" s="3"/>
      <c r="H123" s="5">
        <f t="shared" si="3"/>
        <v>50.17462556525895</v>
      </c>
    </row>
    <row r="124" spans="2:8" x14ac:dyDescent="0.2">
      <c r="B124" s="1">
        <v>117</v>
      </c>
      <c r="C124" s="2">
        <v>3161.2548046118982</v>
      </c>
      <c r="D124" s="3"/>
      <c r="E124" s="5">
        <f t="shared" si="2"/>
        <v>57.716302441552628</v>
      </c>
      <c r="F124" s="16">
        <v>1632.9973620503661</v>
      </c>
      <c r="G124" s="3"/>
      <c r="H124" s="5">
        <f t="shared" si="3"/>
        <v>63.650674432223646</v>
      </c>
    </row>
    <row r="125" spans="2:8" x14ac:dyDescent="0.2">
      <c r="B125" s="1">
        <v>118</v>
      </c>
      <c r="C125" s="2">
        <v>3157.9886674283371</v>
      </c>
      <c r="D125" s="3"/>
      <c r="E125" s="5">
        <f t="shared" si="2"/>
        <v>57.656671259267981</v>
      </c>
      <c r="F125" s="16">
        <v>1122.5936242343987</v>
      </c>
      <c r="G125" s="3"/>
      <c r="H125" s="5">
        <f t="shared" si="3"/>
        <v>43.756250289417117</v>
      </c>
    </row>
    <row r="126" spans="2:8" x14ac:dyDescent="0.2">
      <c r="B126" s="1">
        <v>119</v>
      </c>
      <c r="C126" s="2">
        <v>3154.3932745666716</v>
      </c>
      <c r="D126" s="3"/>
      <c r="E126" s="5">
        <f t="shared" si="2"/>
        <v>57.591028723431471</v>
      </c>
      <c r="F126" s="16">
        <v>612.5191420965366</v>
      </c>
      <c r="G126" s="3"/>
      <c r="H126" s="5">
        <f t="shared" si="3"/>
        <v>23.874659814599941</v>
      </c>
    </row>
    <row r="127" spans="2:8" x14ac:dyDescent="0.2">
      <c r="B127" s="1">
        <v>120</v>
      </c>
      <c r="C127" s="2">
        <v>3150.2933058806998</v>
      </c>
      <c r="D127" s="3"/>
      <c r="E127" s="5">
        <f t="shared" si="2"/>
        <v>57.51617394350825</v>
      </c>
      <c r="F127" s="16">
        <v>102.94923578297994</v>
      </c>
      <c r="G127" s="3"/>
      <c r="H127" s="5">
        <f t="shared" si="3"/>
        <v>4.0127366045717956</v>
      </c>
    </row>
    <row r="128" spans="2:8" x14ac:dyDescent="0.2">
      <c r="B128" s="1">
        <v>121</v>
      </c>
      <c r="C128" s="2">
        <v>2739.5726666641513</v>
      </c>
      <c r="D128" s="3"/>
      <c r="E128" s="5">
        <f t="shared" si="2"/>
        <v>50.017481779426149</v>
      </c>
      <c r="F128" s="16">
        <v>0</v>
      </c>
      <c r="G128" s="3"/>
      <c r="H128" s="5">
        <f t="shared" si="3"/>
        <v>0</v>
      </c>
    </row>
    <row r="129" spans="2:8" x14ac:dyDescent="0.2">
      <c r="B129" s="1">
        <v>122</v>
      </c>
      <c r="C129" s="2">
        <v>2739.5726666641513</v>
      </c>
      <c r="D129" s="3"/>
      <c r="E129" s="5">
        <f t="shared" si="2"/>
        <v>50.017481779426149</v>
      </c>
      <c r="F129" s="16">
        <v>0</v>
      </c>
      <c r="G129" s="3"/>
      <c r="H129" s="5">
        <f t="shared" si="3"/>
        <v>0</v>
      </c>
    </row>
    <row r="130" spans="2:8" x14ac:dyDescent="0.2">
      <c r="B130" s="1">
        <v>123</v>
      </c>
      <c r="C130" s="2">
        <v>2935.2564285687336</v>
      </c>
      <c r="D130" s="3"/>
      <c r="E130" s="5">
        <f t="shared" si="2"/>
        <v>53.590159049385164</v>
      </c>
      <c r="F130" s="16">
        <v>0</v>
      </c>
      <c r="G130" s="3"/>
      <c r="H130" s="5">
        <f t="shared" si="3"/>
        <v>0</v>
      </c>
    </row>
    <row r="131" spans="2:8" x14ac:dyDescent="0.2">
      <c r="B131" s="1">
        <v>124</v>
      </c>
      <c r="C131" s="2">
        <v>3130.9401904733159</v>
      </c>
      <c r="D131" s="3"/>
      <c r="E131" s="5">
        <f t="shared" si="2"/>
        <v>57.162836319344173</v>
      </c>
      <c r="F131" s="16">
        <v>0</v>
      </c>
      <c r="G131" s="3"/>
      <c r="H131" s="5">
        <f t="shared" si="3"/>
        <v>0</v>
      </c>
    </row>
    <row r="132" spans="2:8" x14ac:dyDescent="0.2">
      <c r="B132" s="1">
        <v>125</v>
      </c>
      <c r="C132" s="2">
        <v>3132.3348904656541</v>
      </c>
      <c r="D132" s="3"/>
      <c r="E132" s="5">
        <f t="shared" si="2"/>
        <v>57.188299918942533</v>
      </c>
      <c r="F132" s="16">
        <v>194.28906191224451</v>
      </c>
      <c r="G132" s="3"/>
      <c r="H132" s="5">
        <f t="shared" si="3"/>
        <v>7.5729637493051865</v>
      </c>
    </row>
    <row r="133" spans="2:8" x14ac:dyDescent="0.2">
      <c r="B133" s="1">
        <v>126</v>
      </c>
      <c r="C133" s="2">
        <v>3128.3738540395766</v>
      </c>
      <c r="D133" s="3"/>
      <c r="E133" s="5">
        <f t="shared" si="2"/>
        <v>57.115981681255406</v>
      </c>
      <c r="F133" s="16">
        <v>393.93386024290385</v>
      </c>
      <c r="G133" s="3"/>
      <c r="H133" s="5">
        <f t="shared" si="3"/>
        <v>15.354682419491139</v>
      </c>
    </row>
    <row r="134" spans="2:8" x14ac:dyDescent="0.2">
      <c r="B134" s="1">
        <v>127</v>
      </c>
      <c r="C134" s="2">
        <v>3124.4373610468738</v>
      </c>
      <c r="D134" s="3"/>
      <c r="E134" s="5">
        <f t="shared" si="2"/>
        <v>57.044111542918429</v>
      </c>
      <c r="F134" s="16">
        <v>593.55411514018897</v>
      </c>
      <c r="G134" s="3"/>
      <c r="H134" s="5">
        <f t="shared" si="3"/>
        <v>23.13544444019103</v>
      </c>
    </row>
    <row r="135" spans="2:8" x14ac:dyDescent="0.2">
      <c r="B135" s="1">
        <v>128</v>
      </c>
      <c r="C135" s="2">
        <v>3120.5253238397472</v>
      </c>
      <c r="D135" s="3"/>
      <c r="E135" s="5">
        <f t="shared" si="2"/>
        <v>56.972687903710437</v>
      </c>
      <c r="F135" s="16">
        <v>793.14991425189783</v>
      </c>
      <c r="G135" s="3"/>
      <c r="H135" s="5">
        <f t="shared" si="3"/>
        <v>30.915253227724794</v>
      </c>
    </row>
    <row r="136" spans="2:8" x14ac:dyDescent="0.2">
      <c r="B136" s="1">
        <v>129</v>
      </c>
      <c r="C136" s="2">
        <v>3116.6376550176788</v>
      </c>
      <c r="D136" s="3"/>
      <c r="E136" s="5">
        <f t="shared" si="2"/>
        <v>56.90170916792497</v>
      </c>
      <c r="F136" s="16">
        <v>992.72134497854813</v>
      </c>
      <c r="G136" s="3"/>
      <c r="H136" s="5">
        <f t="shared" si="3"/>
        <v>38.694112188773929</v>
      </c>
    </row>
    <row r="137" spans="2:8" x14ac:dyDescent="0.2">
      <c r="B137" s="1">
        <v>130</v>
      </c>
      <c r="C137" s="2">
        <v>3112.7742674268525</v>
      </c>
      <c r="D137" s="3"/>
      <c r="E137" s="5">
        <f t="shared" ref="E137:E200" si="4">$D$5*C137</f>
        <v>56.831173744359688</v>
      </c>
      <c r="F137" s="16">
        <v>1192.2684944739572</v>
      </c>
      <c r="G137" s="3"/>
      <c r="H137" s="5">
        <f t="shared" ref="H137:H200" si="5">$G$5*F137</f>
        <v>46.472024720404093</v>
      </c>
    </row>
    <row r="138" spans="2:8" x14ac:dyDescent="0.2">
      <c r="B138" s="1">
        <v>131</v>
      </c>
      <c r="C138" s="2">
        <v>3108.935074159569</v>
      </c>
      <c r="D138" s="3"/>
      <c r="E138" s="5">
        <f t="shared" si="4"/>
        <v>56.761080046305729</v>
      </c>
      <c r="F138" s="16">
        <v>1391.7914496458234</v>
      </c>
      <c r="G138" s="3"/>
      <c r="H138" s="5">
        <f t="shared" si="5"/>
        <v>54.248994210087758</v>
      </c>
    </row>
    <row r="139" spans="2:8" x14ac:dyDescent="0.2">
      <c r="B139" s="1">
        <v>132</v>
      </c>
      <c r="C139" s="2">
        <v>3105.1199885536694</v>
      </c>
      <c r="D139" s="3"/>
      <c r="E139" s="5">
        <f t="shared" si="4"/>
        <v>56.691426491537136</v>
      </c>
      <c r="F139" s="16">
        <v>1591.2902971563049</v>
      </c>
      <c r="G139" s="3"/>
      <c r="H139" s="5">
        <f t="shared" si="5"/>
        <v>62.02502403572678</v>
      </c>
    </row>
    <row r="140" spans="2:8" x14ac:dyDescent="0.2">
      <c r="B140" s="1">
        <v>133</v>
      </c>
      <c r="C140" s="2">
        <v>3101.3289241919588</v>
      </c>
      <c r="D140" s="3"/>
      <c r="E140" s="5">
        <f t="shared" si="4"/>
        <v>56.622211502300367</v>
      </c>
      <c r="F140" s="16">
        <v>1692.9232424703055</v>
      </c>
      <c r="G140" s="3"/>
      <c r="H140" s="5">
        <f t="shared" si="5"/>
        <v>65.986454509592988</v>
      </c>
    </row>
    <row r="141" spans="2:8" x14ac:dyDescent="0.2">
      <c r="B141" s="1">
        <v>134</v>
      </c>
      <c r="C141" s="2">
        <v>3097.5617949016269</v>
      </c>
      <c r="D141" s="3"/>
      <c r="E141" s="5">
        <f t="shared" si="4"/>
        <v>56.553433505303722</v>
      </c>
      <c r="F141" s="16">
        <v>1696.6903717606374</v>
      </c>
      <c r="G141" s="3"/>
      <c r="H141" s="5">
        <f t="shared" si="5"/>
        <v>66.133288990514586</v>
      </c>
    </row>
    <row r="142" spans="2:8" x14ac:dyDescent="0.2">
      <c r="B142" s="1">
        <v>135</v>
      </c>
      <c r="C142" s="2">
        <v>3093.8185147536701</v>
      </c>
      <c r="D142" s="3"/>
      <c r="E142" s="5">
        <f t="shared" si="4"/>
        <v>56.485090931706765</v>
      </c>
      <c r="F142" s="16">
        <v>2189.6430566700515</v>
      </c>
      <c r="G142" s="3"/>
      <c r="H142" s="5">
        <f t="shared" si="5"/>
        <v>85.34750916430805</v>
      </c>
    </row>
    <row r="143" spans="2:8" x14ac:dyDescent="0.2">
      <c r="B143" s="1">
        <v>136</v>
      </c>
      <c r="C143" s="2">
        <v>3090.0989980623222</v>
      </c>
      <c r="D143" s="3"/>
      <c r="E143" s="5">
        <f t="shared" si="4"/>
        <v>56.417182217109932</v>
      </c>
      <c r="F143" s="16">
        <v>2389.0463352659804</v>
      </c>
      <c r="G143" s="3"/>
      <c r="H143" s="5">
        <f t="shared" si="5"/>
        <v>93.119813922162265</v>
      </c>
    </row>
    <row r="144" spans="2:8" x14ac:dyDescent="0.2">
      <c r="B144" s="1">
        <v>137</v>
      </c>
      <c r="C144" s="2">
        <v>3086.4031593844788</v>
      </c>
      <c r="D144" s="3"/>
      <c r="E144" s="5">
        <f t="shared" si="4"/>
        <v>56.349705801544069</v>
      </c>
      <c r="F144" s="16">
        <v>2118.7849072774084</v>
      </c>
      <c r="G144" s="3"/>
      <c r="H144" s="5">
        <f t="shared" si="5"/>
        <v>82.585613093515803</v>
      </c>
    </row>
    <row r="145" spans="2:8" x14ac:dyDescent="0.2">
      <c r="B145" s="1">
        <v>138</v>
      </c>
      <c r="C145" s="2">
        <v>3082.7309135191199</v>
      </c>
      <c r="D145" s="3"/>
      <c r="E145" s="5">
        <f t="shared" si="4"/>
        <v>56.282660129459806</v>
      </c>
      <c r="F145" s="16">
        <v>1848.4998864763529</v>
      </c>
      <c r="G145" s="3"/>
      <c r="H145" s="5">
        <f t="shared" si="5"/>
        <v>72.050492668511623</v>
      </c>
    </row>
    <row r="146" spans="2:8" x14ac:dyDescent="0.2">
      <c r="B146" s="1">
        <v>139</v>
      </c>
      <c r="C146" s="2">
        <v>3079.4349791883433</v>
      </c>
      <c r="D146" s="3"/>
      <c r="E146" s="5">
        <f t="shared" si="4"/>
        <v>56.222484928655028</v>
      </c>
      <c r="F146" s="16">
        <v>1714.817187473921</v>
      </c>
      <c r="G146" s="3"/>
      <c r="H146" s="5">
        <f t="shared" si="5"/>
        <v>66.839832719409813</v>
      </c>
    </row>
    <row r="147" spans="2:8" x14ac:dyDescent="0.2">
      <c r="B147" s="1">
        <v>140</v>
      </c>
      <c r="C147" s="2">
        <v>3076.6905043500938</v>
      </c>
      <c r="D147" s="3"/>
      <c r="E147" s="5">
        <f t="shared" si="4"/>
        <v>56.172377945954182</v>
      </c>
      <c r="F147" s="16">
        <v>1306.6257623125475</v>
      </c>
      <c r="G147" s="3"/>
      <c r="H147" s="5">
        <f t="shared" si="5"/>
        <v>50.929421525389387</v>
      </c>
    </row>
    <row r="148" spans="2:8" x14ac:dyDescent="0.2">
      <c r="B148" s="1">
        <v>141</v>
      </c>
      <c r="C148" s="2">
        <v>3073.9676996073958</v>
      </c>
      <c r="D148" s="3"/>
      <c r="E148" s="5">
        <f t="shared" si="4"/>
        <v>56.12266660291737</v>
      </c>
      <c r="F148" s="16">
        <v>1035.3913003888292</v>
      </c>
      <c r="G148" s="3"/>
      <c r="H148" s="5">
        <f t="shared" si="5"/>
        <v>40.357293956837026</v>
      </c>
    </row>
    <row r="149" spans="2:8" x14ac:dyDescent="0.2">
      <c r="B149" s="1">
        <v>142</v>
      </c>
      <c r="C149" s="2">
        <v>3071.2664828152078</v>
      </c>
      <c r="D149" s="3"/>
      <c r="E149" s="5">
        <f t="shared" si="4"/>
        <v>56.073349399789457</v>
      </c>
      <c r="F149" s="16">
        <v>764.13525051460374</v>
      </c>
      <c r="G149" s="3"/>
      <c r="H149" s="5">
        <f t="shared" si="5"/>
        <v>29.784324937072729</v>
      </c>
    </row>
    <row r="150" spans="2:8" x14ac:dyDescent="0.2">
      <c r="B150" s="1">
        <v>143</v>
      </c>
      <c r="C150" s="2">
        <v>3068.5867720686715</v>
      </c>
      <c r="D150" s="3"/>
      <c r="E150" s="5">
        <f t="shared" si="4"/>
        <v>56.024424841200464</v>
      </c>
      <c r="F150" s="16">
        <v>13.432477928498884</v>
      </c>
      <c r="G150" s="3"/>
      <c r="H150" s="5">
        <f t="shared" si="5"/>
        <v>0.52356868376774646</v>
      </c>
    </row>
    <row r="151" spans="2:8" x14ac:dyDescent="0.2">
      <c r="B151" s="1">
        <v>144</v>
      </c>
      <c r="C151" s="2">
        <v>2910.7959583306606</v>
      </c>
      <c r="D151" s="3"/>
      <c r="E151" s="5">
        <f t="shared" si="4"/>
        <v>53.143574390640282</v>
      </c>
      <c r="F151" s="16">
        <v>0</v>
      </c>
      <c r="G151" s="3"/>
      <c r="H151" s="5">
        <f t="shared" si="5"/>
        <v>0</v>
      </c>
    </row>
    <row r="152" spans="2:8" x14ac:dyDescent="0.2">
      <c r="B152" s="1">
        <v>145</v>
      </c>
      <c r="C152" s="2">
        <v>2739.5726666641513</v>
      </c>
      <c r="D152" s="3"/>
      <c r="E152" s="5">
        <f t="shared" si="4"/>
        <v>50.017481779426149</v>
      </c>
      <c r="F152" s="16">
        <v>0</v>
      </c>
      <c r="G152" s="3"/>
      <c r="H152" s="5">
        <f t="shared" si="5"/>
        <v>0</v>
      </c>
    </row>
    <row r="153" spans="2:8" x14ac:dyDescent="0.2">
      <c r="B153" s="1">
        <v>146</v>
      </c>
      <c r="C153" s="2">
        <v>2739.5726666641513</v>
      </c>
      <c r="D153" s="3"/>
      <c r="E153" s="5">
        <f t="shared" si="4"/>
        <v>50.017481779426149</v>
      </c>
      <c r="F153" s="16">
        <v>0</v>
      </c>
      <c r="G153" s="3"/>
      <c r="H153" s="5">
        <f t="shared" si="5"/>
        <v>0</v>
      </c>
    </row>
    <row r="154" spans="2:8" x14ac:dyDescent="0.2">
      <c r="B154" s="1">
        <v>147</v>
      </c>
      <c r="C154" s="2">
        <v>2910.7959583306615</v>
      </c>
      <c r="D154" s="3"/>
      <c r="E154" s="5">
        <f t="shared" si="4"/>
        <v>53.143574390640296</v>
      </c>
      <c r="F154" s="16">
        <v>0</v>
      </c>
      <c r="G154" s="3"/>
      <c r="H154" s="5">
        <f t="shared" si="5"/>
        <v>0</v>
      </c>
    </row>
    <row r="155" spans="2:8" x14ac:dyDescent="0.2">
      <c r="B155" s="1">
        <v>148</v>
      </c>
      <c r="C155" s="2">
        <v>3057.5869199544613</v>
      </c>
      <c r="D155" s="3"/>
      <c r="E155" s="5">
        <f t="shared" si="4"/>
        <v>55.823596109992245</v>
      </c>
      <c r="F155" s="16">
        <v>24.432330042709054</v>
      </c>
      <c r="G155" s="3"/>
      <c r="H155" s="5">
        <f t="shared" si="5"/>
        <v>0.95231892059917878</v>
      </c>
    </row>
    <row r="156" spans="2:8" x14ac:dyDescent="0.2">
      <c r="B156" s="1">
        <v>149</v>
      </c>
      <c r="C156" s="2">
        <v>3055.0249672542154</v>
      </c>
      <c r="D156" s="3"/>
      <c r="E156" s="5">
        <f t="shared" si="4"/>
        <v>55.776821507491796</v>
      </c>
      <c r="F156" s="16">
        <v>198.21757440946431</v>
      </c>
      <c r="G156" s="3"/>
      <c r="H156" s="5">
        <f t="shared" si="5"/>
        <v>7.7260885955385552</v>
      </c>
    </row>
    <row r="157" spans="2:8" x14ac:dyDescent="0.2">
      <c r="B157" s="1">
        <v>150</v>
      </c>
      <c r="C157" s="2">
        <v>3052.4839847466492</v>
      </c>
      <c r="D157" s="3"/>
      <c r="E157" s="5">
        <f t="shared" si="4"/>
        <v>55.730429766246694</v>
      </c>
      <c r="F157" s="16">
        <v>371.98184858353989</v>
      </c>
      <c r="G157" s="3"/>
      <c r="H157" s="5">
        <f t="shared" si="5"/>
        <v>14.499040898118334</v>
      </c>
    </row>
    <row r="158" spans="2:8" x14ac:dyDescent="0.2">
      <c r="B158" s="1">
        <v>151</v>
      </c>
      <c r="C158" s="2">
        <v>3049.96389234648</v>
      </c>
      <c r="D158" s="3"/>
      <c r="E158" s="5">
        <f t="shared" si="4"/>
        <v>55.684419424107674</v>
      </c>
      <c r="F158" s="16">
        <v>545.72523265021846</v>
      </c>
      <c r="G158" s="3"/>
      <c r="H158" s="5">
        <f t="shared" si="5"/>
        <v>21.27117894988811</v>
      </c>
    </row>
    <row r="159" spans="2:8" x14ac:dyDescent="0.2">
      <c r="B159" s="1">
        <v>152</v>
      </c>
      <c r="C159" s="2">
        <v>3047.4646102035686</v>
      </c>
      <c r="D159" s="3"/>
      <c r="E159" s="5">
        <f t="shared" si="4"/>
        <v>55.638789023218571</v>
      </c>
      <c r="F159" s="16">
        <v>719.44780645963965</v>
      </c>
      <c r="G159" s="3"/>
      <c r="H159" s="5">
        <f t="shared" si="5"/>
        <v>28.042505863232119</v>
      </c>
    </row>
    <row r="160" spans="2:8" x14ac:dyDescent="0.2">
      <c r="B160" s="1">
        <v>153</v>
      </c>
      <c r="C160" s="2">
        <v>3044.986058702345</v>
      </c>
      <c r="D160" s="3"/>
      <c r="E160" s="5">
        <f t="shared" si="4"/>
        <v>55.593537110005855</v>
      </c>
      <c r="F160" s="16">
        <v>893.14964962737258</v>
      </c>
      <c r="G160" s="3"/>
      <c r="H160" s="5">
        <f t="shared" si="5"/>
        <v>34.813024741391544</v>
      </c>
    </row>
    <row r="161" spans="2:8" x14ac:dyDescent="0.2">
      <c r="B161" s="1">
        <v>154</v>
      </c>
      <c r="C161" s="2">
        <v>3042.4399324737215</v>
      </c>
      <c r="D161" s="3"/>
      <c r="E161" s="5">
        <f t="shared" si="4"/>
        <v>55.547051457773321</v>
      </c>
      <c r="F161" s="16">
        <v>1066.9190675225054</v>
      </c>
      <c r="G161" s="3"/>
      <c r="H161" s="5">
        <f t="shared" si="5"/>
        <v>41.586177534995983</v>
      </c>
    </row>
    <row r="162" spans="2:8" x14ac:dyDescent="0.2">
      <c r="B162" s="1">
        <v>155</v>
      </c>
      <c r="C162" s="2">
        <v>3039.1212633286336</v>
      </c>
      <c r="D162" s="3"/>
      <c r="E162" s="5">
        <f t="shared" si="4"/>
        <v>55.486461178305213</v>
      </c>
      <c r="F162" s="16">
        <v>1241.461028334103</v>
      </c>
      <c r="G162" s="3"/>
      <c r="H162" s="5">
        <f t="shared" si="5"/>
        <v>48.389442366013071</v>
      </c>
    </row>
    <row r="163" spans="2:8" x14ac:dyDescent="0.2">
      <c r="B163" s="1">
        <v>156</v>
      </c>
      <c r="C163" s="2">
        <v>3035.8247565687543</v>
      </c>
      <c r="D163" s="3"/>
      <c r="E163" s="5">
        <f t="shared" si="4"/>
        <v>55.426275526431709</v>
      </c>
      <c r="F163" s="16">
        <v>1415.9808267604931</v>
      </c>
      <c r="G163" s="3"/>
      <c r="H163" s="5">
        <f t="shared" si="5"/>
        <v>55.191843355606856</v>
      </c>
    </row>
    <row r="164" spans="2:8" x14ac:dyDescent="0.2">
      <c r="B164" s="1">
        <v>157</v>
      </c>
      <c r="C164" s="2">
        <v>3032.5503314180473</v>
      </c>
      <c r="D164" s="3"/>
      <c r="E164" s="5">
        <f t="shared" si="4"/>
        <v>55.366493027392174</v>
      </c>
      <c r="F164" s="16">
        <v>1590.4785435777089</v>
      </c>
      <c r="G164" s="3"/>
      <c r="H164" s="5">
        <f t="shared" si="5"/>
        <v>61.993383652250884</v>
      </c>
    </row>
    <row r="165" spans="2:8" x14ac:dyDescent="0.2">
      <c r="B165" s="1">
        <v>158</v>
      </c>
      <c r="C165" s="2">
        <v>3029.2979073312526</v>
      </c>
      <c r="D165" s="3"/>
      <c r="E165" s="5">
        <f t="shared" si="4"/>
        <v>55.307112210639353</v>
      </c>
      <c r="F165" s="16">
        <v>1764.9542593310134</v>
      </c>
      <c r="G165" s="3"/>
      <c r="H165" s="5">
        <f t="shared" si="5"/>
        <v>68.794066395423783</v>
      </c>
    </row>
    <row r="166" spans="2:8" x14ac:dyDescent="0.2">
      <c r="B166" s="1">
        <v>159</v>
      </c>
      <c r="C166" s="2">
        <v>3026.0674039933447</v>
      </c>
      <c r="D166" s="3"/>
      <c r="E166" s="5">
        <f t="shared" si="4"/>
        <v>55.248131609829471</v>
      </c>
      <c r="F166" s="16">
        <v>1596.9614710024107</v>
      </c>
      <c r="G166" s="3"/>
      <c r="H166" s="5">
        <f t="shared" si="5"/>
        <v>62.246074019343283</v>
      </c>
    </row>
    <row r="167" spans="2:8" x14ac:dyDescent="0.2">
      <c r="B167" s="1">
        <v>160</v>
      </c>
      <c r="C167" s="2">
        <v>3022.8587413189803</v>
      </c>
      <c r="D167" s="3"/>
      <c r="E167" s="5">
        <f t="shared" si="4"/>
        <v>55.189549762812149</v>
      </c>
      <c r="F167" s="16">
        <v>1771.393425343284</v>
      </c>
      <c r="G167" s="3"/>
      <c r="H167" s="5">
        <f t="shared" si="5"/>
        <v>69.045051038134687</v>
      </c>
    </row>
    <row r="168" spans="2:8" x14ac:dyDescent="0.2">
      <c r="B168" s="1">
        <v>161</v>
      </c>
      <c r="C168" s="2">
        <v>3019.6718394519517</v>
      </c>
      <c r="D168" s="3"/>
      <c r="E168" s="5">
        <f t="shared" si="4"/>
        <v>55.131365211620441</v>
      </c>
      <c r="F168" s="16">
        <v>2459.4734938763509</v>
      </c>
      <c r="G168" s="3"/>
      <c r="H168" s="5">
        <f t="shared" si="5"/>
        <v>95.864910912562067</v>
      </c>
    </row>
    <row r="169" spans="2:8" x14ac:dyDescent="0.2">
      <c r="B169" s="1">
        <v>162</v>
      </c>
      <c r="C169" s="2">
        <v>3016.5066187646448</v>
      </c>
      <c r="D169" s="3"/>
      <c r="E169" s="5">
        <f t="shared" si="4"/>
        <v>55.073576502460924</v>
      </c>
      <c r="F169" s="16">
        <v>2291.415422897147</v>
      </c>
      <c r="G169" s="3"/>
      <c r="H169" s="5">
        <f t="shared" si="5"/>
        <v>89.314373961189503</v>
      </c>
    </row>
    <row r="170" spans="2:8" x14ac:dyDescent="0.2">
      <c r="B170" s="1">
        <v>163</v>
      </c>
      <c r="C170" s="2">
        <v>3013.3629998574893</v>
      </c>
      <c r="D170" s="3"/>
      <c r="E170" s="5">
        <f t="shared" si="4"/>
        <v>55.016182185703641</v>
      </c>
      <c r="F170" s="16">
        <v>2637.0056251373221</v>
      </c>
      <c r="G170" s="3"/>
      <c r="H170" s="5">
        <f t="shared" si="5"/>
        <v>102.78472606398566</v>
      </c>
    </row>
    <row r="171" spans="2:8" x14ac:dyDescent="0.2">
      <c r="B171" s="1">
        <v>164</v>
      </c>
      <c r="C171" s="2">
        <v>3010.2409035584233</v>
      </c>
      <c r="D171" s="3"/>
      <c r="E171" s="5">
        <f t="shared" si="4"/>
        <v>54.959180815872372</v>
      </c>
      <c r="F171" s="16">
        <v>2263.4364797700682</v>
      </c>
      <c r="G171" s="3"/>
      <c r="H171" s="5">
        <f t="shared" si="5"/>
        <v>88.22381580027286</v>
      </c>
    </row>
    <row r="172" spans="2:8" x14ac:dyDescent="0.2">
      <c r="B172" s="1">
        <v>165</v>
      </c>
      <c r="C172" s="2">
        <v>3007.1402509223335</v>
      </c>
      <c r="D172" s="3"/>
      <c r="E172" s="5">
        <f t="shared" si="4"/>
        <v>54.902570951634388</v>
      </c>
      <c r="F172" s="16">
        <v>1889.8458907398372</v>
      </c>
      <c r="G172" s="3"/>
      <c r="H172" s="5">
        <f t="shared" si="5"/>
        <v>73.662069709361234</v>
      </c>
    </row>
    <row r="173" spans="2:8" x14ac:dyDescent="0.2">
      <c r="B173" s="1">
        <v>166</v>
      </c>
      <c r="C173" s="2">
        <v>3004.3255910567641</v>
      </c>
      <c r="D173" s="3"/>
      <c r="E173" s="5">
        <f t="shared" si="4"/>
        <v>54.851182572616572</v>
      </c>
      <c r="F173" s="16">
        <v>1515.9693089390848</v>
      </c>
      <c r="G173" s="3"/>
      <c r="H173" s="5">
        <f t="shared" si="5"/>
        <v>59.089176244210414</v>
      </c>
    </row>
    <row r="174" spans="2:8" x14ac:dyDescent="0.2">
      <c r="B174" s="1">
        <v>167</v>
      </c>
      <c r="C174" s="2">
        <v>3002.1485968273087</v>
      </c>
      <c r="D174" s="3"/>
      <c r="E174" s="5">
        <f t="shared" si="4"/>
        <v>54.811436311993269</v>
      </c>
      <c r="F174" s="16">
        <v>1141.4550615022204</v>
      </c>
      <c r="G174" s="3"/>
      <c r="H174" s="5">
        <f t="shared" si="5"/>
        <v>44.491427963770825</v>
      </c>
    </row>
    <row r="175" spans="2:8" x14ac:dyDescent="0.2">
      <c r="B175" s="1">
        <v>168</v>
      </c>
      <c r="C175" s="2">
        <v>2999.9911420118774</v>
      </c>
      <c r="D175" s="3"/>
      <c r="E175" s="5">
        <f t="shared" si="4"/>
        <v>54.772046790323024</v>
      </c>
      <c r="F175" s="16">
        <v>766.9212746513308</v>
      </c>
      <c r="G175" s="3"/>
      <c r="H175" s="5">
        <f t="shared" si="5"/>
        <v>29.892918079602044</v>
      </c>
    </row>
    <row r="176" spans="2:8" x14ac:dyDescent="0.2">
      <c r="B176" s="1">
        <v>169</v>
      </c>
      <c r="C176" s="2">
        <v>2910.7959583306606</v>
      </c>
      <c r="D176" s="3"/>
      <c r="E176" s="5">
        <f t="shared" si="4"/>
        <v>53.143574390640282</v>
      </c>
      <c r="F176" s="16">
        <v>0</v>
      </c>
      <c r="G176" s="3"/>
      <c r="H176" s="5">
        <f t="shared" si="5"/>
        <v>0</v>
      </c>
    </row>
    <row r="177" spans="2:8" x14ac:dyDescent="0.2">
      <c r="B177" s="1">
        <v>170</v>
      </c>
      <c r="C177" s="2">
        <v>2739.5726666641513</v>
      </c>
      <c r="D177" s="3"/>
      <c r="E177" s="5">
        <f t="shared" si="4"/>
        <v>50.017481779426149</v>
      </c>
      <c r="F177" s="16">
        <v>0</v>
      </c>
      <c r="G177" s="3"/>
      <c r="H177" s="5">
        <f t="shared" si="5"/>
        <v>0</v>
      </c>
    </row>
    <row r="178" spans="2:8" x14ac:dyDescent="0.2">
      <c r="B178" s="1">
        <v>171</v>
      </c>
      <c r="C178" s="2">
        <v>2910.7959583306606</v>
      </c>
      <c r="D178" s="3"/>
      <c r="E178" s="5">
        <f t="shared" si="4"/>
        <v>53.143574390640282</v>
      </c>
      <c r="F178" s="16">
        <v>0</v>
      </c>
      <c r="G178" s="3"/>
      <c r="H178" s="5">
        <f t="shared" si="5"/>
        <v>0</v>
      </c>
    </row>
    <row r="179" spans="2:8" x14ac:dyDescent="0.2">
      <c r="B179" s="1">
        <v>172</v>
      </c>
      <c r="C179" s="2">
        <v>2992.3724946369371</v>
      </c>
      <c r="D179" s="3"/>
      <c r="E179" s="5">
        <f t="shared" si="4"/>
        <v>54.632950076117609</v>
      </c>
      <c r="F179" s="16">
        <v>89.646755360233328</v>
      </c>
      <c r="G179" s="3"/>
      <c r="H179" s="5">
        <f t="shared" si="5"/>
        <v>3.4942349399603141</v>
      </c>
    </row>
    <row r="180" spans="2:8" x14ac:dyDescent="0.2">
      <c r="B180" s="1">
        <v>173</v>
      </c>
      <c r="C180" s="2">
        <v>2990.3078422588865</v>
      </c>
      <c r="D180" s="3"/>
      <c r="E180" s="5">
        <f t="shared" si="4"/>
        <v>54.595254885930984</v>
      </c>
      <c r="F180" s="16">
        <v>519.76963690455705</v>
      </c>
      <c r="G180" s="3"/>
      <c r="H180" s="5">
        <f t="shared" si="5"/>
        <v>20.259486455524762</v>
      </c>
    </row>
    <row r="181" spans="2:8" x14ac:dyDescent="0.2">
      <c r="B181" s="1">
        <v>174</v>
      </c>
      <c r="C181" s="2">
        <v>2988.2622890617963</v>
      </c>
      <c r="D181" s="3"/>
      <c r="E181" s="5">
        <f t="shared" si="4"/>
        <v>54.557908397185024</v>
      </c>
      <c r="F181" s="16">
        <v>778.65012760141099</v>
      </c>
      <c r="G181" s="3"/>
      <c r="H181" s="5">
        <f t="shared" si="5"/>
        <v>30.350083178541105</v>
      </c>
    </row>
    <row r="182" spans="2:8" x14ac:dyDescent="0.2">
      <c r="B182" s="1">
        <v>175</v>
      </c>
      <c r="C182" s="2">
        <v>2986.235760407365</v>
      </c>
      <c r="D182" s="3"/>
      <c r="E182" s="5">
        <f t="shared" si="4"/>
        <v>54.520909247178203</v>
      </c>
      <c r="F182" s="16">
        <v>1037.5115937556061</v>
      </c>
      <c r="G182" s="3"/>
      <c r="H182" s="5">
        <f t="shared" si="5"/>
        <v>40.439938366390798</v>
      </c>
    </row>
    <row r="183" spans="2:8" x14ac:dyDescent="0.2">
      <c r="B183" s="1">
        <v>176</v>
      </c>
      <c r="C183" s="2">
        <v>2984.2281818792544</v>
      </c>
      <c r="D183" s="3"/>
      <c r="E183" s="5">
        <f t="shared" si="4"/>
        <v>54.484256077261449</v>
      </c>
      <c r="F183" s="16">
        <v>1296.3541097834805</v>
      </c>
      <c r="G183" s="3"/>
      <c r="H183" s="5">
        <f t="shared" si="5"/>
        <v>50.529054919660354</v>
      </c>
    </row>
    <row r="184" spans="2:8" x14ac:dyDescent="0.2">
      <c r="B184" s="1">
        <v>177</v>
      </c>
      <c r="C184" s="2">
        <v>2982.239479282533</v>
      </c>
      <c r="D184" s="3"/>
      <c r="E184" s="5">
        <f t="shared" si="4"/>
        <v>54.44794753282801</v>
      </c>
      <c r="F184" s="16">
        <v>1555.1777498799661</v>
      </c>
      <c r="G184" s="3"/>
      <c r="H184" s="5">
        <f t="shared" si="5"/>
        <v>60.61743573030634</v>
      </c>
    </row>
    <row r="185" spans="2:8" x14ac:dyDescent="0.2">
      <c r="B185" s="1">
        <v>178</v>
      </c>
      <c r="C185" s="2">
        <v>2980.269578643145</v>
      </c>
      <c r="D185" s="3"/>
      <c r="E185" s="5">
        <f t="shared" si="4"/>
        <v>54.411982263303749</v>
      </c>
      <c r="F185" s="16">
        <v>1813.9825880191183</v>
      </c>
      <c r="G185" s="3"/>
      <c r="H185" s="5">
        <f t="shared" si="5"/>
        <v>70.705083681676058</v>
      </c>
    </row>
    <row r="186" spans="2:8" x14ac:dyDescent="0.2">
      <c r="B186" s="1">
        <v>179</v>
      </c>
      <c r="C186" s="2">
        <v>2978.3184062073565</v>
      </c>
      <c r="D186" s="3"/>
      <c r="E186" s="5">
        <f t="shared" si="4"/>
        <v>54.376358922137037</v>
      </c>
      <c r="F186" s="16">
        <v>2072.7686979546711</v>
      </c>
      <c r="G186" s="3"/>
      <c r="H186" s="5">
        <f t="shared" si="5"/>
        <v>80.792001648529123</v>
      </c>
    </row>
    <row r="187" spans="2:8" x14ac:dyDescent="0.2">
      <c r="B187" s="1">
        <v>180</v>
      </c>
      <c r="C187" s="2">
        <v>2976.3858884412134</v>
      </c>
      <c r="D187" s="3"/>
      <c r="E187" s="5">
        <f t="shared" si="4"/>
        <v>54.341076166788859</v>
      </c>
      <c r="F187" s="16">
        <v>2331.5361532205775</v>
      </c>
      <c r="G187" s="3"/>
      <c r="H187" s="5">
        <f t="shared" si="5"/>
        <v>90.87819249705862</v>
      </c>
    </row>
    <row r="188" spans="2:8" x14ac:dyDescent="0.2">
      <c r="B188" s="1">
        <v>181</v>
      </c>
      <c r="C188" s="2">
        <v>2974.4719520300009</v>
      </c>
      <c r="D188" s="3"/>
      <c r="E188" s="5">
        <f t="shared" si="4"/>
        <v>54.306132658722916</v>
      </c>
      <c r="F188" s="16">
        <v>2590.285027131556</v>
      </c>
      <c r="G188" s="3"/>
      <c r="H188" s="5">
        <f t="shared" si="5"/>
        <v>100.96365908491231</v>
      </c>
    </row>
    <row r="189" spans="2:8" x14ac:dyDescent="0.2">
      <c r="B189" s="1">
        <v>182</v>
      </c>
      <c r="C189" s="2">
        <v>2972.576523877693</v>
      </c>
      <c r="D189" s="3"/>
      <c r="E189" s="5">
        <f t="shared" si="4"/>
        <v>54.271527063395631</v>
      </c>
      <c r="F189" s="16">
        <v>2849.0153927836282</v>
      </c>
      <c r="G189" s="3"/>
      <c r="H189" s="5">
        <f t="shared" si="5"/>
        <v>111.04840426121363</v>
      </c>
    </row>
    <row r="190" spans="2:8" x14ac:dyDescent="0.2">
      <c r="B190" s="1">
        <v>183</v>
      </c>
      <c r="C190" s="2">
        <v>2970.6995311064211</v>
      </c>
      <c r="D190" s="3"/>
      <c r="E190" s="5">
        <f t="shared" si="4"/>
        <v>54.237258050246396</v>
      </c>
      <c r="F190" s="16">
        <v>2679.6690938883903</v>
      </c>
      <c r="G190" s="3"/>
      <c r="H190" s="5">
        <f t="shared" si="5"/>
        <v>104.4476549962247</v>
      </c>
    </row>
    <row r="191" spans="2:8" x14ac:dyDescent="0.2">
      <c r="B191" s="1">
        <v>184</v>
      </c>
      <c r="C191" s="2">
        <v>2968.8409010559321</v>
      </c>
      <c r="D191" s="3"/>
      <c r="E191" s="5">
        <f t="shared" si="4"/>
        <v>54.203324292687697</v>
      </c>
      <c r="F191" s="16">
        <v>2909.8254461608917</v>
      </c>
      <c r="G191" s="3"/>
      <c r="H191" s="5">
        <f t="shared" si="5"/>
        <v>113.41864747144299</v>
      </c>
    </row>
    <row r="192" spans="2:8" x14ac:dyDescent="0.2">
      <c r="B192" s="1">
        <v>185</v>
      </c>
      <c r="C192" s="2">
        <v>2967.00056128305</v>
      </c>
      <c r="D192" s="3"/>
      <c r="E192" s="5">
        <f t="shared" si="4"/>
        <v>54.169724468095282</v>
      </c>
      <c r="F192" s="16">
        <v>3710.7078137108183</v>
      </c>
      <c r="G192" s="3"/>
      <c r="H192" s="5">
        <f t="shared" si="5"/>
        <v>144.63529485868881</v>
      </c>
    </row>
    <row r="193" spans="2:8" x14ac:dyDescent="0.2">
      <c r="B193" s="1">
        <v>186</v>
      </c>
      <c r="C193" s="2">
        <v>2965.1784395611285</v>
      </c>
      <c r="D193" s="3"/>
      <c r="E193" s="5">
        <f t="shared" si="4"/>
        <v>54.136457257798178</v>
      </c>
      <c r="F193" s="16">
        <v>3541.3066437662301</v>
      </c>
      <c r="G193" s="3"/>
      <c r="H193" s="5">
        <f t="shared" si="5"/>
        <v>138.03240683990938</v>
      </c>
    </row>
    <row r="194" spans="2:8" x14ac:dyDescent="0.2">
      <c r="B194" s="1">
        <v>187</v>
      </c>
      <c r="C194" s="2">
        <v>2963.3744638795361</v>
      </c>
      <c r="D194" s="3"/>
      <c r="E194" s="5">
        <f t="shared" si="4"/>
        <v>54.103521347069282</v>
      </c>
      <c r="F194" s="16">
        <v>3885.5572027808421</v>
      </c>
      <c r="G194" s="3"/>
      <c r="H194" s="5">
        <f t="shared" si="5"/>
        <v>151.45054257249745</v>
      </c>
    </row>
    <row r="195" spans="2:8" x14ac:dyDescent="0.2">
      <c r="B195" s="1">
        <v>188</v>
      </c>
      <c r="C195" s="2">
        <v>2961.5885624431007</v>
      </c>
      <c r="D195" s="3"/>
      <c r="E195" s="5">
        <f t="shared" si="4"/>
        <v>54.07091542511521</v>
      </c>
      <c r="F195" s="16">
        <v>3544.8965208842578</v>
      </c>
      <c r="G195" s="3"/>
      <c r="H195" s="5">
        <f t="shared" si="5"/>
        <v>138.17233241786889</v>
      </c>
    </row>
    <row r="196" spans="2:8" x14ac:dyDescent="0.2">
      <c r="B196" s="1">
        <v>189</v>
      </c>
      <c r="C196" s="2">
        <v>2959.8206636715863</v>
      </c>
      <c r="D196" s="3"/>
      <c r="E196" s="5">
        <f t="shared" si="4"/>
        <v>54.038638185066766</v>
      </c>
      <c r="F196" s="16">
        <v>4060.3342946553007</v>
      </c>
      <c r="G196" s="3"/>
      <c r="H196" s="5">
        <f t="shared" si="5"/>
        <v>158.26297229935508</v>
      </c>
    </row>
    <row r="197" spans="2:8" x14ac:dyDescent="0.2">
      <c r="B197" s="1">
        <v>190</v>
      </c>
      <c r="C197" s="2">
        <v>2958.0706961991568</v>
      </c>
      <c r="D197" s="3"/>
      <c r="E197" s="5">
        <f t="shared" si="4"/>
        <v>54.006688323969115</v>
      </c>
      <c r="F197" s="16">
        <v>3205.967803795183</v>
      </c>
      <c r="G197" s="3"/>
      <c r="H197" s="5">
        <f t="shared" si="5"/>
        <v>124.96163047277747</v>
      </c>
    </row>
    <row r="198" spans="2:8" x14ac:dyDescent="0.2">
      <c r="B198" s="1">
        <v>191</v>
      </c>
      <c r="C198" s="2">
        <v>2956.3385888738449</v>
      </c>
      <c r="D198" s="3"/>
      <c r="E198" s="5">
        <f t="shared" si="4"/>
        <v>53.975064542772138</v>
      </c>
      <c r="F198" s="16">
        <v>2351.583452787946</v>
      </c>
      <c r="G198" s="3"/>
      <c r="H198" s="5">
        <f t="shared" si="5"/>
        <v>91.659592496630978</v>
      </c>
    </row>
    <row r="199" spans="2:8" x14ac:dyDescent="0.2">
      <c r="B199" s="1">
        <v>192</v>
      </c>
      <c r="C199" s="2">
        <v>2954.6242707570163</v>
      </c>
      <c r="D199" s="3"/>
      <c r="E199" s="5">
        <f t="shared" si="4"/>
        <v>53.94376554632062</v>
      </c>
      <c r="F199" s="16">
        <v>1497.1813125722283</v>
      </c>
      <c r="G199" s="3"/>
      <c r="H199" s="5">
        <f t="shared" si="5"/>
        <v>58.356861135948954</v>
      </c>
    </row>
    <row r="200" spans="2:8" x14ac:dyDescent="0.2">
      <c r="B200" s="1">
        <v>193</v>
      </c>
      <c r="C200" s="2">
        <v>2910.7959583306606</v>
      </c>
      <c r="D200" s="3"/>
      <c r="E200" s="5">
        <f t="shared" si="4"/>
        <v>53.143574390640282</v>
      </c>
      <c r="F200" s="16">
        <v>0</v>
      </c>
      <c r="G200" s="3"/>
      <c r="H200" s="5">
        <f t="shared" si="5"/>
        <v>0</v>
      </c>
    </row>
    <row r="201" spans="2:8" x14ac:dyDescent="0.2">
      <c r="B201" s="1">
        <v>194</v>
      </c>
      <c r="C201" s="2">
        <v>2739.5726666641513</v>
      </c>
      <c r="D201" s="3"/>
      <c r="E201" s="5">
        <f t="shared" ref="E201:E264" si="6">$D$5*C201</f>
        <v>50.017481779426149</v>
      </c>
      <c r="F201" s="16">
        <v>0</v>
      </c>
      <c r="G201" s="3"/>
      <c r="H201" s="5">
        <f t="shared" ref="H201:H264" si="7">$G$5*F201</f>
        <v>0</v>
      </c>
    </row>
    <row r="202" spans="2:8" x14ac:dyDescent="0.2">
      <c r="B202" s="1">
        <v>195</v>
      </c>
      <c r="C202" s="2">
        <v>2945.0406166639623</v>
      </c>
      <c r="D202" s="3"/>
      <c r="E202" s="5">
        <f t="shared" si="6"/>
        <v>53.768792912883107</v>
      </c>
      <c r="F202" s="16">
        <v>0</v>
      </c>
      <c r="G202" s="3"/>
      <c r="H202" s="5">
        <f t="shared" si="7"/>
        <v>0</v>
      </c>
    </row>
    <row r="203" spans="2:8" x14ac:dyDescent="0.2">
      <c r="B203" s="1">
        <v>196</v>
      </c>
      <c r="C203" s="2">
        <v>2948.4698002385644</v>
      </c>
      <c r="D203" s="3"/>
      <c r="E203" s="5">
        <f t="shared" si="6"/>
        <v>53.831400898810273</v>
      </c>
      <c r="F203" s="16">
        <v>133.54944975860599</v>
      </c>
      <c r="G203" s="3"/>
      <c r="H203" s="5">
        <f t="shared" si="7"/>
        <v>5.2054661842898069</v>
      </c>
    </row>
    <row r="204" spans="2:8" x14ac:dyDescent="0.2">
      <c r="B204" s="1">
        <v>197</v>
      </c>
      <c r="C204" s="2">
        <v>2946.8409498760784</v>
      </c>
      <c r="D204" s="3"/>
      <c r="E204" s="5">
        <f t="shared" si="6"/>
        <v>53.80166232157945</v>
      </c>
      <c r="F204" s="16">
        <v>453.1644132160377</v>
      </c>
      <c r="G204" s="3"/>
      <c r="H204" s="5">
        <f t="shared" si="7"/>
        <v>17.663360149992727</v>
      </c>
    </row>
    <row r="205" spans="2:8" x14ac:dyDescent="0.2">
      <c r="B205" s="1">
        <v>198</v>
      </c>
      <c r="C205" s="2">
        <v>2945.2294753323695</v>
      </c>
      <c r="D205" s="3"/>
      <c r="E205" s="5">
        <f t="shared" si="6"/>
        <v>53.772240981671672</v>
      </c>
      <c r="F205" s="16">
        <v>674.92011990240144</v>
      </c>
      <c r="G205" s="3"/>
      <c r="H205" s="5">
        <f t="shared" si="7"/>
        <v>26.306913788106982</v>
      </c>
    </row>
    <row r="206" spans="2:8" x14ac:dyDescent="0.2">
      <c r="B206" s="1">
        <v>199</v>
      </c>
      <c r="C206" s="2">
        <v>2943.6353071269314</v>
      </c>
      <c r="D206" s="3"/>
      <c r="E206" s="5">
        <f t="shared" si="6"/>
        <v>53.743135610553367</v>
      </c>
      <c r="F206" s="16">
        <v>896.65852025049435</v>
      </c>
      <c r="G206" s="3"/>
      <c r="H206" s="5">
        <f t="shared" si="7"/>
        <v>34.949792862912993</v>
      </c>
    </row>
    <row r="207" spans="2:8" x14ac:dyDescent="0.2">
      <c r="B207" s="1">
        <v>200</v>
      </c>
      <c r="C207" s="2">
        <v>2942.0583759884244</v>
      </c>
      <c r="D207" s="3"/>
      <c r="E207" s="5">
        <f t="shared" si="6"/>
        <v>53.714344943509758</v>
      </c>
      <c r="F207" s="16">
        <v>1118.3796835316566</v>
      </c>
      <c r="G207" s="3"/>
      <c r="H207" s="5">
        <f t="shared" si="7"/>
        <v>43.592000074456479</v>
      </c>
    </row>
    <row r="208" spans="2:8" x14ac:dyDescent="0.2">
      <c r="B208" s="1">
        <v>201</v>
      </c>
      <c r="C208" s="2">
        <v>2940.4986128541714</v>
      </c>
      <c r="D208" s="3"/>
      <c r="E208" s="5">
        <f t="shared" si="6"/>
        <v>53.685867719635745</v>
      </c>
      <c r="F208" s="16">
        <v>1340.0836788085644</v>
      </c>
      <c r="G208" s="3"/>
      <c r="H208" s="5">
        <f t="shared" si="7"/>
        <v>52.233538114649875</v>
      </c>
    </row>
    <row r="209" spans="2:8" x14ac:dyDescent="0.2">
      <c r="B209" s="1">
        <v>202</v>
      </c>
      <c r="C209" s="2">
        <v>2938.9559488696223</v>
      </c>
      <c r="D209" s="3"/>
      <c r="E209" s="5">
        <f t="shared" si="6"/>
        <v>53.657702681826066</v>
      </c>
      <c r="F209" s="16">
        <v>1561.7705749357692</v>
      </c>
      <c r="G209" s="3"/>
      <c r="H209" s="5">
        <f t="shared" si="7"/>
        <v>60.874409667293378</v>
      </c>
    </row>
    <row r="210" spans="2:8" x14ac:dyDescent="0.2">
      <c r="B210" s="1">
        <v>203</v>
      </c>
      <c r="C210" s="2">
        <v>2937.4303153878436</v>
      </c>
      <c r="D210" s="3"/>
      <c r="E210" s="5">
        <f t="shared" si="6"/>
        <v>53.629848576766001</v>
      </c>
      <c r="F210" s="16">
        <v>1783.4404405602027</v>
      </c>
      <c r="G210" s="3"/>
      <c r="H210" s="5">
        <f t="shared" si="7"/>
        <v>69.514617408094622</v>
      </c>
    </row>
    <row r="211" spans="2:8" x14ac:dyDescent="0.2">
      <c r="B211" s="1">
        <v>204</v>
      </c>
      <c r="C211" s="2">
        <v>2935.9216439689931</v>
      </c>
      <c r="D211" s="3"/>
      <c r="E211" s="5">
        <f t="shared" si="6"/>
        <v>53.602304154921782</v>
      </c>
      <c r="F211" s="16">
        <v>2005.093344121708</v>
      </c>
      <c r="G211" s="3"/>
      <c r="H211" s="5">
        <f t="shared" si="7"/>
        <v>78.154164004689363</v>
      </c>
    </row>
    <row r="212" spans="2:8" x14ac:dyDescent="0.2">
      <c r="B212" s="1">
        <v>205</v>
      </c>
      <c r="C212" s="2">
        <v>2934.4298663798149</v>
      </c>
      <c r="D212" s="3"/>
      <c r="E212" s="5">
        <f t="shared" si="6"/>
        <v>53.575068170531367</v>
      </c>
      <c r="F212" s="16">
        <v>2226.7293538535409</v>
      </c>
      <c r="G212" s="3"/>
      <c r="H212" s="5">
        <f t="shared" si="7"/>
        <v>86.793052116661073</v>
      </c>
    </row>
    <row r="213" spans="2:8" x14ac:dyDescent="0.2">
      <c r="B213" s="1">
        <v>206</v>
      </c>
      <c r="C213" s="2">
        <v>2932.9549145931087</v>
      </c>
      <c r="D213" s="3"/>
      <c r="E213" s="5">
        <f t="shared" si="6"/>
        <v>53.548139381594751</v>
      </c>
      <c r="F213" s="16">
        <v>2448.348537782902</v>
      </c>
      <c r="G213" s="3"/>
      <c r="H213" s="5">
        <f t="shared" si="7"/>
        <v>95.431284395561576</v>
      </c>
    </row>
    <row r="214" spans="2:8" x14ac:dyDescent="0.2">
      <c r="B214" s="1">
        <v>207</v>
      </c>
      <c r="C214" s="2">
        <v>2931.4967207872269</v>
      </c>
      <c r="D214" s="3"/>
      <c r="E214" s="5">
        <f t="shared" si="6"/>
        <v>53.521516549864806</v>
      </c>
      <c r="F214" s="16">
        <v>2669.9509637314395</v>
      </c>
      <c r="G214" s="3"/>
      <c r="H214" s="5">
        <f t="shared" si="7"/>
        <v>104.06886348493077</v>
      </c>
    </row>
    <row r="215" spans="2:8" x14ac:dyDescent="0.2">
      <c r="B215" s="1">
        <v>208</v>
      </c>
      <c r="C215" s="2">
        <v>2930.0552173455535</v>
      </c>
      <c r="D215" s="3"/>
      <c r="E215" s="5">
        <f t="shared" si="6"/>
        <v>53.495198440837726</v>
      </c>
      <c r="F215" s="16">
        <v>2891.5366993157677</v>
      </c>
      <c r="G215" s="3"/>
      <c r="H215" s="5">
        <f t="shared" si="7"/>
        <v>112.70579202031678</v>
      </c>
    </row>
    <row r="216" spans="2:8" x14ac:dyDescent="0.2">
      <c r="B216" s="1">
        <v>209</v>
      </c>
      <c r="C216" s="2">
        <v>2928.6303368559975</v>
      </c>
      <c r="D216" s="3"/>
      <c r="E216" s="5">
        <f t="shared" si="6"/>
        <v>53.469183823743805</v>
      </c>
      <c r="F216" s="16">
        <v>2721.7382881388139</v>
      </c>
      <c r="G216" s="3"/>
      <c r="H216" s="5">
        <f t="shared" si="7"/>
        <v>106.08742040496827</v>
      </c>
    </row>
    <row r="217" spans="2:8" x14ac:dyDescent="0.2">
      <c r="B217" s="1">
        <v>210</v>
      </c>
      <c r="C217" s="2">
        <v>2927.2220121104765</v>
      </c>
      <c r="D217" s="3"/>
      <c r="E217" s="5">
        <f t="shared" si="6"/>
        <v>53.443471471538025</v>
      </c>
      <c r="F217" s="16">
        <v>3065.5931962173545</v>
      </c>
      <c r="G217" s="3"/>
      <c r="H217" s="5">
        <f t="shared" si="7"/>
        <v>119.49013452726722</v>
      </c>
    </row>
    <row r="218" spans="2:8" x14ac:dyDescent="0.2">
      <c r="B218" s="1">
        <v>211</v>
      </c>
      <c r="C218" s="2">
        <v>2925.8301761044045</v>
      </c>
      <c r="D218" s="3"/>
      <c r="E218" s="5">
        <f t="shared" si="6"/>
        <v>53.418060160890647</v>
      </c>
      <c r="F218" s="16">
        <v>3409.4316155564452</v>
      </c>
      <c r="G218" s="3"/>
      <c r="H218" s="5">
        <f t="shared" si="7"/>
        <v>132.8922059544762</v>
      </c>
    </row>
    <row r="219" spans="2:8" x14ac:dyDescent="0.2">
      <c r="B219" s="1">
        <v>212</v>
      </c>
      <c r="C219" s="2">
        <v>2924.4547620361936</v>
      </c>
      <c r="D219" s="3"/>
      <c r="E219" s="5">
        <f t="shared" si="6"/>
        <v>53.392948672178186</v>
      </c>
      <c r="F219" s="16">
        <v>3582.0303212911649</v>
      </c>
      <c r="G219" s="3"/>
      <c r="H219" s="5">
        <f t="shared" si="7"/>
        <v>139.61972694223209</v>
      </c>
    </row>
    <row r="220" spans="2:8" x14ac:dyDescent="0.2">
      <c r="B220" s="1">
        <v>213</v>
      </c>
      <c r="C220" s="2">
        <v>2923.0957033067311</v>
      </c>
      <c r="D220" s="3"/>
      <c r="E220" s="5">
        <f t="shared" si="6"/>
        <v>53.368135789473811</v>
      </c>
      <c r="F220" s="16">
        <v>4097.0592550201563</v>
      </c>
      <c r="G220" s="3"/>
      <c r="H220" s="5">
        <f t="shared" si="7"/>
        <v>159.69443113085296</v>
      </c>
    </row>
    <row r="221" spans="2:8" x14ac:dyDescent="0.2">
      <c r="B221" s="1">
        <v>214</v>
      </c>
      <c r="C221" s="2">
        <v>2921.7529335188792</v>
      </c>
      <c r="D221" s="3"/>
      <c r="E221" s="5">
        <f t="shared" si="6"/>
        <v>53.34362030053822</v>
      </c>
      <c r="F221" s="16">
        <v>3242.2855664754607</v>
      </c>
      <c r="G221" s="3"/>
      <c r="H221" s="5">
        <f t="shared" si="7"/>
        <v>126.37721762692122</v>
      </c>
    </row>
    <row r="222" spans="2:8" x14ac:dyDescent="0.2">
      <c r="B222" s="1">
        <v>215</v>
      </c>
      <c r="C222" s="2">
        <v>2920.4263864769691</v>
      </c>
      <c r="D222" s="3"/>
      <c r="E222" s="5">
        <f t="shared" si="6"/>
        <v>53.31940099681043</v>
      </c>
      <c r="F222" s="16">
        <v>2387.4956551848218</v>
      </c>
      <c r="G222" s="3"/>
      <c r="H222" s="5">
        <f t="shared" si="7"/>
        <v>93.059371795746074</v>
      </c>
    </row>
    <row r="223" spans="2:8" x14ac:dyDescent="0.2">
      <c r="B223" s="1">
        <v>216</v>
      </c>
      <c r="C223" s="2">
        <v>2919.1159961862927</v>
      </c>
      <c r="D223" s="3"/>
      <c r="E223" s="5">
        <f t="shared" si="6"/>
        <v>53.295476673398468</v>
      </c>
      <c r="F223" s="16">
        <v>1532.689587142952</v>
      </c>
      <c r="G223" s="3"/>
      <c r="H223" s="5">
        <f t="shared" si="7"/>
        <v>59.740896209657443</v>
      </c>
    </row>
    <row r="224" spans="2:8" x14ac:dyDescent="0.2">
      <c r="B224" s="1">
        <v>217</v>
      </c>
      <c r="C224" s="2">
        <v>2910.7959583306606</v>
      </c>
      <c r="D224" s="3"/>
      <c r="E224" s="5">
        <f t="shared" si="6"/>
        <v>53.143574390640282</v>
      </c>
      <c r="F224" s="16">
        <v>0</v>
      </c>
      <c r="G224" s="3"/>
      <c r="H224" s="5">
        <f t="shared" si="7"/>
        <v>0</v>
      </c>
    </row>
    <row r="225" spans="2:8" x14ac:dyDescent="0.2">
      <c r="B225" s="1">
        <v>218</v>
      </c>
      <c r="C225" s="2">
        <v>2739.5726666641513</v>
      </c>
      <c r="D225" s="3"/>
      <c r="E225" s="5">
        <f t="shared" si="6"/>
        <v>50.017481779426149</v>
      </c>
      <c r="F225" s="16">
        <v>0</v>
      </c>
      <c r="G225" s="3"/>
      <c r="H225" s="5">
        <f t="shared" si="7"/>
        <v>0</v>
      </c>
    </row>
    <row r="226" spans="2:8" x14ac:dyDescent="0.2">
      <c r="B226" s="1">
        <v>219</v>
      </c>
      <c r="C226" s="2">
        <v>2910.7959583306606</v>
      </c>
      <c r="D226" s="3"/>
      <c r="E226" s="5">
        <f t="shared" si="6"/>
        <v>53.143574390640282</v>
      </c>
      <c r="F226" s="16">
        <v>0</v>
      </c>
      <c r="G226" s="3"/>
      <c r="H226" s="5">
        <f t="shared" si="7"/>
        <v>0</v>
      </c>
    </row>
    <row r="227" spans="2:8" x14ac:dyDescent="0.2">
      <c r="B227" s="1">
        <v>220</v>
      </c>
      <c r="C227" s="2">
        <v>2914.4432692771284</v>
      </c>
      <c r="D227" s="3"/>
      <c r="E227" s="5">
        <f t="shared" si="6"/>
        <v>53.21016481586561</v>
      </c>
      <c r="F227" s="16">
        <v>167.57598072004203</v>
      </c>
      <c r="G227" s="3"/>
      <c r="H227" s="5">
        <f t="shared" si="7"/>
        <v>6.531746124855653</v>
      </c>
    </row>
    <row r="228" spans="2:8" x14ac:dyDescent="0.2">
      <c r="B228" s="1">
        <v>221</v>
      </c>
      <c r="C228" s="2">
        <v>2913.2108000487219</v>
      </c>
      <c r="D228" s="3"/>
      <c r="E228" s="5">
        <f t="shared" si="6"/>
        <v>53.18766312867708</v>
      </c>
      <c r="F228" s="16">
        <v>537.59707815323782</v>
      </c>
      <c r="G228" s="3"/>
      <c r="H228" s="5">
        <f t="shared" si="7"/>
        <v>20.954361220940566</v>
      </c>
    </row>
    <row r="229" spans="2:8" x14ac:dyDescent="0.2">
      <c r="B229" s="1">
        <v>222</v>
      </c>
      <c r="C229" s="2">
        <v>2911.9941018433169</v>
      </c>
      <c r="D229" s="3"/>
      <c r="E229" s="5">
        <f t="shared" si="6"/>
        <v>53.165449379408656</v>
      </c>
      <c r="F229" s="16">
        <v>775.89218020457884</v>
      </c>
      <c r="G229" s="3"/>
      <c r="H229" s="5">
        <f t="shared" si="7"/>
        <v>30.242584406077349</v>
      </c>
    </row>
    <row r="230" spans="2:8" x14ac:dyDescent="0.2">
      <c r="B230" s="1">
        <v>223</v>
      </c>
      <c r="C230" s="2">
        <v>2910.7931100430005</v>
      </c>
      <c r="D230" s="3"/>
      <c r="E230" s="5">
        <f t="shared" si="6"/>
        <v>53.143522388305072</v>
      </c>
      <c r="F230" s="16">
        <v>1014.1715758508308</v>
      </c>
      <c r="G230" s="3"/>
      <c r="H230" s="5">
        <f t="shared" si="7"/>
        <v>39.530195389810714</v>
      </c>
    </row>
    <row r="231" spans="2:8" x14ac:dyDescent="0.2">
      <c r="B231" s="1">
        <v>224</v>
      </c>
      <c r="C231" s="2">
        <v>2909.6077602268469</v>
      </c>
      <c r="D231" s="3"/>
      <c r="E231" s="5">
        <f t="shared" si="6"/>
        <v>53.121880979207539</v>
      </c>
      <c r="F231" s="16">
        <v>1252.4353295129204</v>
      </c>
      <c r="G231" s="3"/>
      <c r="H231" s="5">
        <f t="shared" si="7"/>
        <v>48.81719668312784</v>
      </c>
    </row>
    <row r="232" spans="2:8" x14ac:dyDescent="0.2">
      <c r="B232" s="1">
        <v>225</v>
      </c>
      <c r="C232" s="2">
        <v>2908.4379881704313</v>
      </c>
      <c r="D232" s="3"/>
      <c r="E232" s="5">
        <f t="shared" si="6"/>
        <v>53.100523979544846</v>
      </c>
      <c r="F232" s="16">
        <v>1490.6835054152721</v>
      </c>
      <c r="G232" s="3"/>
      <c r="H232" s="5">
        <f t="shared" si="7"/>
        <v>58.103590789356666</v>
      </c>
    </row>
    <row r="233" spans="2:8" x14ac:dyDescent="0.2">
      <c r="B233" s="1">
        <v>226</v>
      </c>
      <c r="C233" s="2">
        <v>2907.2837298453283</v>
      </c>
      <c r="D233" s="3"/>
      <c r="E233" s="5">
        <f t="shared" si="6"/>
        <v>53.079450220324262</v>
      </c>
      <c r="F233" s="16">
        <v>1728.9161675863111</v>
      </c>
      <c r="G233" s="3"/>
      <c r="H233" s="5">
        <f t="shared" si="7"/>
        <v>67.389380204185514</v>
      </c>
    </row>
    <row r="234" spans="2:8" x14ac:dyDescent="0.2">
      <c r="B234" s="1">
        <v>227</v>
      </c>
      <c r="C234" s="2">
        <v>2906.1449214186191</v>
      </c>
      <c r="D234" s="3"/>
      <c r="E234" s="5">
        <f t="shared" si="6"/>
        <v>53.058658536122451</v>
      </c>
      <c r="F234" s="16">
        <v>1967.1333798589571</v>
      </c>
      <c r="G234" s="3"/>
      <c r="H234" s="5">
        <f t="shared" si="7"/>
        <v>76.674567415682333</v>
      </c>
    </row>
    <row r="235" spans="2:8" x14ac:dyDescent="0.2">
      <c r="B235" s="1">
        <v>228</v>
      </c>
      <c r="C235" s="2">
        <v>2905.0214992523966</v>
      </c>
      <c r="D235" s="3"/>
      <c r="E235" s="5">
        <f t="shared" si="6"/>
        <v>53.038147765076523</v>
      </c>
      <c r="F235" s="16">
        <v>2205.3352058711157</v>
      </c>
      <c r="G235" s="3"/>
      <c r="H235" s="5">
        <f t="shared" si="7"/>
        <v>85.959154904313849</v>
      </c>
    </row>
    <row r="236" spans="2:8" x14ac:dyDescent="0.2">
      <c r="B236" s="1">
        <v>229</v>
      </c>
      <c r="C236" s="2">
        <v>2903.9133999032797</v>
      </c>
      <c r="D236" s="3"/>
      <c r="E236" s="5">
        <f t="shared" si="6"/>
        <v>53.017916748875102</v>
      </c>
      <c r="F236" s="16">
        <v>2443.5217090661677</v>
      </c>
      <c r="G236" s="3"/>
      <c r="H236" s="5">
        <f t="shared" si="7"/>
        <v>95.243145142964607</v>
      </c>
    </row>
    <row r="237" spans="2:8" x14ac:dyDescent="0.2">
      <c r="B237" s="1">
        <v>230</v>
      </c>
      <c r="C237" s="2">
        <v>2902.8205601219206</v>
      </c>
      <c r="D237" s="3"/>
      <c r="E237" s="5">
        <f t="shared" si="6"/>
        <v>52.997964332749369</v>
      </c>
      <c r="F237" s="16">
        <v>2681.6929526934637</v>
      </c>
      <c r="G237" s="3"/>
      <c r="H237" s="5">
        <f t="shared" si="7"/>
        <v>104.52654059695634</v>
      </c>
    </row>
    <row r="238" spans="2:8" x14ac:dyDescent="0.2">
      <c r="B238" s="1">
        <v>231</v>
      </c>
      <c r="C238" s="2">
        <v>2901.7429168525114</v>
      </c>
      <c r="D238" s="3"/>
      <c r="E238" s="5">
        <f t="shared" si="6"/>
        <v>52.978289365464043</v>
      </c>
      <c r="F238" s="16">
        <v>2919.8489998088098</v>
      </c>
      <c r="G238" s="3"/>
      <c r="H238" s="5">
        <f t="shared" si="7"/>
        <v>113.80934372406676</v>
      </c>
    </row>
    <row r="239" spans="2:8" x14ac:dyDescent="0.2">
      <c r="B239" s="1">
        <v>232</v>
      </c>
      <c r="C239" s="2">
        <v>2900.6804072322921</v>
      </c>
      <c r="D239" s="3"/>
      <c r="E239" s="5">
        <f t="shared" si="6"/>
        <v>52.958890699308384</v>
      </c>
      <c r="F239" s="16">
        <v>2749.6882177625193</v>
      </c>
      <c r="G239" s="3"/>
      <c r="H239" s="5">
        <f t="shared" si="7"/>
        <v>107.17684768282273</v>
      </c>
    </row>
    <row r="240" spans="2:8" x14ac:dyDescent="0.2">
      <c r="B240" s="1">
        <v>233</v>
      </c>
      <c r="C240" s="2">
        <v>2899.632968591075</v>
      </c>
      <c r="D240" s="3"/>
      <c r="E240" s="5">
        <f t="shared" si="6"/>
        <v>52.939767190087537</v>
      </c>
      <c r="F240" s="16">
        <v>3058.9375814034538</v>
      </c>
      <c r="G240" s="3"/>
      <c r="H240" s="5">
        <f t="shared" si="7"/>
        <v>119.23071318249912</v>
      </c>
    </row>
    <row r="241" spans="2:8" x14ac:dyDescent="0.2">
      <c r="B241" s="1">
        <v>234</v>
      </c>
      <c r="C241" s="2">
        <v>2898.6005384507489</v>
      </c>
      <c r="D241" s="3"/>
      <c r="E241" s="5">
        <f t="shared" si="6"/>
        <v>52.920917697113445</v>
      </c>
      <c r="F241" s="16">
        <v>3368.1719365434974</v>
      </c>
      <c r="G241" s="3"/>
      <c r="H241" s="5">
        <f t="shared" si="7"/>
        <v>131.28399368355511</v>
      </c>
    </row>
    <row r="242" spans="2:8" x14ac:dyDescent="0.2">
      <c r="B242" s="1">
        <v>235</v>
      </c>
      <c r="C242" s="2">
        <v>2897.5830545247954</v>
      </c>
      <c r="D242" s="3"/>
      <c r="E242" s="5">
        <f t="shared" si="6"/>
        <v>52.902341083196063</v>
      </c>
      <c r="F242" s="16">
        <v>3951.3486121355827</v>
      </c>
      <c r="G242" s="3"/>
      <c r="H242" s="5">
        <f t="shared" si="7"/>
        <v>154.01494817081254</v>
      </c>
    </row>
    <row r="243" spans="2:8" x14ac:dyDescent="0.2">
      <c r="B243" s="1">
        <v>236</v>
      </c>
      <c r="C243" s="2">
        <v>2896.5804547178018</v>
      </c>
      <c r="D243" s="3"/>
      <c r="E243" s="5">
        <f t="shared" si="6"/>
        <v>52.884036214634421</v>
      </c>
      <c r="F243" s="16">
        <v>3952.3512119425764</v>
      </c>
      <c r="G243" s="3"/>
      <c r="H243" s="5">
        <f t="shared" si="7"/>
        <v>154.05402732389865</v>
      </c>
    </row>
    <row r="244" spans="2:8" x14ac:dyDescent="0.2">
      <c r="B244" s="1">
        <v>237</v>
      </c>
      <c r="C244" s="2">
        <v>2895.5926771249847</v>
      </c>
      <c r="D244" s="3"/>
      <c r="E244" s="5">
        <f t="shared" si="6"/>
        <v>52.866001961207949</v>
      </c>
      <c r="F244" s="16">
        <v>4295.7855728684117</v>
      </c>
      <c r="G244" s="3"/>
      <c r="H244" s="5">
        <f t="shared" si="7"/>
        <v>167.44034943570063</v>
      </c>
    </row>
    <row r="245" spans="2:8" x14ac:dyDescent="0.2">
      <c r="B245" s="1">
        <v>238</v>
      </c>
      <c r="C245" s="2">
        <v>2894.6196600316948</v>
      </c>
      <c r="D245" s="3"/>
      <c r="E245" s="5">
        <f t="shared" si="6"/>
        <v>52.848237196167439</v>
      </c>
      <c r="F245" s="16">
        <v>3406.3974732958536</v>
      </c>
      <c r="G245" s="3"/>
      <c r="H245" s="5">
        <f t="shared" si="7"/>
        <v>132.77394170880254</v>
      </c>
    </row>
    <row r="246" spans="2:8" x14ac:dyDescent="0.2">
      <c r="B246" s="1">
        <v>239</v>
      </c>
      <c r="C246" s="2">
        <v>2893.6613419129517</v>
      </c>
      <c r="D246" s="3"/>
      <c r="E246" s="5">
        <f t="shared" si="6"/>
        <v>52.830740796226529</v>
      </c>
      <c r="F246" s="16">
        <v>2516.9946747487475</v>
      </c>
      <c r="G246" s="3"/>
      <c r="H246" s="5">
        <f t="shared" si="7"/>
        <v>98.106961047945603</v>
      </c>
    </row>
    <row r="247" spans="2:8" x14ac:dyDescent="0.2">
      <c r="B247" s="1">
        <v>240</v>
      </c>
      <c r="C247" s="2">
        <v>2892.7176614329437</v>
      </c>
      <c r="D247" s="3"/>
      <c r="E247" s="5">
        <f t="shared" si="6"/>
        <v>52.813511641552608</v>
      </c>
      <c r="F247" s="16">
        <v>1627.5772385629052</v>
      </c>
      <c r="G247" s="3"/>
      <c r="H247" s="5">
        <f t="shared" si="7"/>
        <v>63.439409843865924</v>
      </c>
    </row>
    <row r="248" spans="2:8" x14ac:dyDescent="0.2">
      <c r="B248" s="1">
        <v>241</v>
      </c>
      <c r="C248" s="2">
        <v>2891.7885574445654</v>
      </c>
      <c r="D248" s="3"/>
      <c r="E248" s="5">
        <f t="shared" si="6"/>
        <v>52.79654861575834</v>
      </c>
      <c r="F248" s="16">
        <v>19.007400886095184</v>
      </c>
      <c r="G248" s="3"/>
      <c r="H248" s="5">
        <f t="shared" si="7"/>
        <v>0.74086701774248753</v>
      </c>
    </row>
    <row r="249" spans="2:8" x14ac:dyDescent="0.2">
      <c r="B249" s="1">
        <v>242</v>
      </c>
      <c r="C249" s="2">
        <v>2739.5726666641513</v>
      </c>
      <c r="D249" s="3"/>
      <c r="E249" s="5">
        <f t="shared" si="6"/>
        <v>50.017481779426149</v>
      </c>
      <c r="F249" s="16">
        <v>0</v>
      </c>
      <c r="G249" s="3"/>
      <c r="H249" s="5">
        <f t="shared" si="7"/>
        <v>0</v>
      </c>
    </row>
    <row r="250" spans="2:8" x14ac:dyDescent="0.2">
      <c r="B250" s="1">
        <v>243</v>
      </c>
      <c r="C250" s="2">
        <v>2888.509065176042</v>
      </c>
      <c r="D250" s="3"/>
      <c r="E250" s="5">
        <f t="shared" si="6"/>
        <v>52.736673604307605</v>
      </c>
      <c r="F250" s="16">
        <v>22.28689315461861</v>
      </c>
      <c r="G250" s="3"/>
      <c r="H250" s="5">
        <f t="shared" si="7"/>
        <v>0.86869447144068956</v>
      </c>
    </row>
    <row r="251" spans="2:8" x14ac:dyDescent="0.2">
      <c r="B251" s="1">
        <v>244</v>
      </c>
      <c r="C251" s="2">
        <v>2886.7437917228635</v>
      </c>
      <c r="D251" s="3"/>
      <c r="E251" s="5">
        <f t="shared" si="6"/>
        <v>52.704444295753589</v>
      </c>
      <c r="F251" s="16">
        <v>195.27545827430686</v>
      </c>
      <c r="G251" s="3"/>
      <c r="H251" s="5">
        <f t="shared" si="7"/>
        <v>7.6114113274592192</v>
      </c>
    </row>
    <row r="252" spans="2:8" x14ac:dyDescent="0.2">
      <c r="B252" s="1">
        <v>245</v>
      </c>
      <c r="C252" s="2">
        <v>2884.9945216426436</v>
      </c>
      <c r="D252" s="3"/>
      <c r="E252" s="5">
        <f t="shared" si="6"/>
        <v>52.672507167226449</v>
      </c>
      <c r="F252" s="16">
        <v>539.47131168754549</v>
      </c>
      <c r="G252" s="3"/>
      <c r="H252" s="5">
        <f t="shared" si="7"/>
        <v>21.027414755057968</v>
      </c>
    </row>
    <row r="253" spans="2:8" x14ac:dyDescent="0.2">
      <c r="B253" s="1">
        <v>246</v>
      </c>
      <c r="C253" s="2">
        <v>2883.2611926182935</v>
      </c>
      <c r="D253" s="3"/>
      <c r="E253" s="5">
        <f t="shared" si="6"/>
        <v>52.640861080977992</v>
      </c>
      <c r="F253" s="16">
        <v>769.50236293390753</v>
      </c>
      <c r="G253" s="3"/>
      <c r="H253" s="5">
        <f t="shared" si="7"/>
        <v>29.993523269648918</v>
      </c>
    </row>
    <row r="254" spans="2:8" x14ac:dyDescent="0.2">
      <c r="B254" s="1">
        <v>247</v>
      </c>
      <c r="C254" s="2">
        <v>2881.5437425176865</v>
      </c>
      <c r="D254" s="3"/>
      <c r="E254" s="5">
        <f t="shared" si="6"/>
        <v>52.609504902636942</v>
      </c>
      <c r="F254" s="16">
        <v>999.51753525652748</v>
      </c>
      <c r="G254" s="3"/>
      <c r="H254" s="5">
        <f t="shared" si="7"/>
        <v>38.959012858435742</v>
      </c>
    </row>
    <row r="255" spans="2:8" x14ac:dyDescent="0.2">
      <c r="B255" s="1">
        <v>248</v>
      </c>
      <c r="C255" s="2">
        <v>2879.8421093931925</v>
      </c>
      <c r="D255" s="3"/>
      <c r="E255" s="5">
        <f t="shared" si="6"/>
        <v>52.578437501200462</v>
      </c>
      <c r="F255" s="16">
        <v>1229.5168906030335</v>
      </c>
      <c r="G255" s="3"/>
      <c r="H255" s="5">
        <f t="shared" si="7"/>
        <v>47.923885936001831</v>
      </c>
    </row>
    <row r="256" spans="2:8" x14ac:dyDescent="0.2">
      <c r="B256" s="1">
        <v>249</v>
      </c>
      <c r="C256" s="2">
        <v>2878.1562314812404</v>
      </c>
      <c r="D256" s="3"/>
      <c r="E256" s="5">
        <f t="shared" si="6"/>
        <v>52.547657749026172</v>
      </c>
      <c r="F256" s="16">
        <v>1459.5004907369989</v>
      </c>
      <c r="G256" s="3"/>
      <c r="H256" s="5">
        <f t="shared" si="7"/>
        <v>56.888144909756527</v>
      </c>
    </row>
    <row r="257" spans="2:8" x14ac:dyDescent="0.2">
      <c r="B257" s="1">
        <v>250</v>
      </c>
      <c r="C257" s="2">
        <v>2876.4860472018499</v>
      </c>
      <c r="D257" s="3"/>
      <c r="E257" s="5">
        <f t="shared" si="6"/>
        <v>52.517164521823545</v>
      </c>
      <c r="F257" s="16">
        <v>1689.4683972384018</v>
      </c>
      <c r="G257" s="3"/>
      <c r="H257" s="5">
        <f t="shared" si="7"/>
        <v>65.851792179953023</v>
      </c>
    </row>
    <row r="258" spans="2:8" x14ac:dyDescent="0.2">
      <c r="B258" s="1">
        <v>251</v>
      </c>
      <c r="C258" s="2">
        <v>2874.8314951581933</v>
      </c>
      <c r="D258" s="3"/>
      <c r="E258" s="5">
        <f t="shared" si="6"/>
        <v>52.486956698645969</v>
      </c>
      <c r="F258" s="16">
        <v>1919.4206715040709</v>
      </c>
      <c r="G258" s="3"/>
      <c r="H258" s="5">
        <f t="shared" si="7"/>
        <v>74.814830139705748</v>
      </c>
    </row>
    <row r="259" spans="2:8" x14ac:dyDescent="0.2">
      <c r="B259" s="1">
        <v>252</v>
      </c>
      <c r="C259" s="2">
        <v>2873.1925141361289</v>
      </c>
      <c r="D259" s="3"/>
      <c r="E259" s="5">
        <f t="shared" si="6"/>
        <v>52.457033161882201</v>
      </c>
      <c r="F259" s="16">
        <v>2149.3573747481478</v>
      </c>
      <c r="G259" s="3"/>
      <c r="H259" s="5">
        <f t="shared" si="7"/>
        <v>83.777261175008405</v>
      </c>
    </row>
    <row r="260" spans="2:8" x14ac:dyDescent="0.2">
      <c r="B260" s="1">
        <v>253</v>
      </c>
      <c r="C260" s="2">
        <v>2871.5690431037551</v>
      </c>
      <c r="D260" s="3"/>
      <c r="E260" s="5">
        <f t="shared" si="6"/>
        <v>52.427392797248231</v>
      </c>
      <c r="F260" s="16">
        <v>2379.278568002534</v>
      </c>
      <c r="G260" s="3"/>
      <c r="H260" s="5">
        <f t="shared" si="7"/>
        <v>92.739087664751338</v>
      </c>
    </row>
    <row r="261" spans="2:8" x14ac:dyDescent="0.2">
      <c r="B261" s="1">
        <v>254</v>
      </c>
      <c r="C261" s="2">
        <v>2869.9610212109724</v>
      </c>
      <c r="D261" s="3"/>
      <c r="E261" s="5">
        <f t="shared" si="6"/>
        <v>52.398034493779278</v>
      </c>
      <c r="F261" s="16">
        <v>2609.1843121173301</v>
      </c>
      <c r="G261" s="3"/>
      <c r="H261" s="5">
        <f t="shared" si="7"/>
        <v>101.70031198073873</v>
      </c>
    </row>
    <row r="262" spans="2:8" x14ac:dyDescent="0.2">
      <c r="B262" s="1">
        <v>255</v>
      </c>
      <c r="C262" s="2">
        <v>2868.3683877890171</v>
      </c>
      <c r="D262" s="3"/>
      <c r="E262" s="5">
        <f t="shared" si="6"/>
        <v>52.368957143821284</v>
      </c>
      <c r="F262" s="16">
        <v>2439.5536538727747</v>
      </c>
      <c r="G262" s="3"/>
      <c r="H262" s="5">
        <f t="shared" si="7"/>
        <v>95.088479008705448</v>
      </c>
    </row>
    <row r="263" spans="2:8" x14ac:dyDescent="0.2">
      <c r="B263" s="1">
        <v>256</v>
      </c>
      <c r="C263" s="2">
        <v>2866.791082350021</v>
      </c>
      <c r="D263" s="3"/>
      <c r="E263" s="5">
        <f t="shared" si="6"/>
        <v>52.340159643022865</v>
      </c>
      <c r="F263" s="16">
        <v>2840.6519732002939</v>
      </c>
      <c r="G263" s="3"/>
      <c r="H263" s="5">
        <f t="shared" si="7"/>
        <v>110.7224164124822</v>
      </c>
    </row>
    <row r="264" spans="2:8" x14ac:dyDescent="0.2">
      <c r="B264" s="1">
        <v>257</v>
      </c>
      <c r="C264" s="2">
        <v>2865.2290445865647</v>
      </c>
      <c r="D264" s="3"/>
      <c r="E264" s="5">
        <f t="shared" si="6"/>
        <v>52.311640890327183</v>
      </c>
      <c r="F264" s="16">
        <v>3241.7350248522725</v>
      </c>
      <c r="G264" s="3"/>
      <c r="H264" s="5">
        <f t="shared" si="7"/>
        <v>126.35575871557617</v>
      </c>
    </row>
    <row r="265" spans="2:8" x14ac:dyDescent="0.2">
      <c r="B265" s="1">
        <v>258</v>
      </c>
      <c r="C265" s="2">
        <v>2863.6822143712338</v>
      </c>
      <c r="D265" s="3"/>
      <c r="E265" s="5">
        <f t="shared" ref="E265:E328" si="8">$D$5*C265</f>
        <v>52.283399787963802</v>
      </c>
      <c r="F265" s="16">
        <v>3642.8028689561247</v>
      </c>
      <c r="G265" s="3"/>
      <c r="H265" s="5">
        <f t="shared" ref="H265:H328" si="9">$G$5*F265</f>
        <v>141.98850826162274</v>
      </c>
    </row>
    <row r="266" spans="2:8" x14ac:dyDescent="0.2">
      <c r="B266" s="1">
        <v>259</v>
      </c>
      <c r="C266" s="2">
        <v>2862.1505317561678</v>
      </c>
      <c r="D266" s="3"/>
      <c r="E266" s="5">
        <f t="shared" si="8"/>
        <v>52.255435241440487</v>
      </c>
      <c r="F266" s="16">
        <v>3173.4704994882904</v>
      </c>
      <c r="G266" s="3"/>
      <c r="H266" s="5">
        <f t="shared" si="9"/>
        <v>123.6949564508637</v>
      </c>
    </row>
    <row r="267" spans="2:8" x14ac:dyDescent="0.2">
      <c r="B267" s="1">
        <v>260</v>
      </c>
      <c r="C267" s="2">
        <v>2860.6339369726238</v>
      </c>
      <c r="D267" s="3"/>
      <c r="E267" s="5">
        <f t="shared" si="8"/>
        <v>52.227746159535229</v>
      </c>
      <c r="F267" s="16">
        <v>2704.1230421889331</v>
      </c>
      <c r="G267" s="3"/>
      <c r="H267" s="5">
        <f t="shared" si="9"/>
        <v>105.40081654934929</v>
      </c>
    </row>
    <row r="268" spans="2:8" x14ac:dyDescent="0.2">
      <c r="B268" s="1">
        <v>261</v>
      </c>
      <c r="C268" s="2">
        <v>2859.132370430521</v>
      </c>
      <c r="D268" s="3"/>
      <c r="E268" s="5">
        <f t="shared" si="8"/>
        <v>52.200331454287898</v>
      </c>
      <c r="F268" s="16">
        <v>2234.7605566481348</v>
      </c>
      <c r="G268" s="3"/>
      <c r="H268" s="5">
        <f t="shared" si="9"/>
        <v>87.106090879770889</v>
      </c>
    </row>
    <row r="269" spans="2:8" x14ac:dyDescent="0.2">
      <c r="B269" s="1">
        <v>262</v>
      </c>
      <c r="C269" s="2">
        <v>2857.6457727180064</v>
      </c>
      <c r="D269" s="3"/>
      <c r="E269" s="5">
        <f t="shared" si="8"/>
        <v>52.173190040992381</v>
      </c>
      <c r="F269" s="16">
        <v>1765.383102277749</v>
      </c>
      <c r="G269" s="3"/>
      <c r="H269" s="5">
        <f t="shared" si="9"/>
        <v>68.810781757872959</v>
      </c>
    </row>
    <row r="270" spans="2:8" x14ac:dyDescent="0.2">
      <c r="B270" s="1">
        <v>263</v>
      </c>
      <c r="C270" s="2">
        <v>2856.1740846010198</v>
      </c>
      <c r="D270" s="3"/>
      <c r="E270" s="5">
        <f t="shared" si="8"/>
        <v>52.146320838188572</v>
      </c>
      <c r="F270" s="16">
        <v>1295.9907383118343</v>
      </c>
      <c r="G270" s="3"/>
      <c r="H270" s="5">
        <f t="shared" si="9"/>
        <v>50.514891492469836</v>
      </c>
    </row>
    <row r="271" spans="2:8" x14ac:dyDescent="0.2">
      <c r="B271" s="1">
        <v>264</v>
      </c>
      <c r="C271" s="2">
        <v>2854.7172470228393</v>
      </c>
      <c r="D271" s="3"/>
      <c r="E271" s="5">
        <f t="shared" si="8"/>
        <v>52.11972276765411</v>
      </c>
      <c r="F271" s="16">
        <v>569.7485863073498</v>
      </c>
      <c r="G271" s="3"/>
      <c r="H271" s="5">
        <f t="shared" si="9"/>
        <v>22.207556863248804</v>
      </c>
    </row>
    <row r="272" spans="2:8" x14ac:dyDescent="0.2">
      <c r="B272" s="1">
        <v>265</v>
      </c>
      <c r="C272" s="2">
        <v>2853.2752011036464</v>
      </c>
      <c r="D272" s="3"/>
      <c r="E272" s="5">
        <f t="shared" si="8"/>
        <v>52.093394754396421</v>
      </c>
      <c r="F272" s="16">
        <v>57.520757227014201</v>
      </c>
      <c r="G272" s="3"/>
      <c r="H272" s="5">
        <f t="shared" si="9"/>
        <v>2.2420336226107964</v>
      </c>
    </row>
    <row r="273" spans="2:8" x14ac:dyDescent="0.2">
      <c r="B273" s="1">
        <v>266</v>
      </c>
      <c r="C273" s="2">
        <v>2739.5726666641513</v>
      </c>
      <c r="D273" s="3"/>
      <c r="E273" s="5">
        <f t="shared" si="8"/>
        <v>50.017481779426149</v>
      </c>
      <c r="F273" s="16">
        <v>0</v>
      </c>
      <c r="G273" s="3"/>
      <c r="H273" s="5">
        <f t="shared" si="9"/>
        <v>0</v>
      </c>
    </row>
    <row r="274" spans="2:8" x14ac:dyDescent="0.2">
      <c r="B274" s="1">
        <v>267</v>
      </c>
      <c r="C274" s="2">
        <v>2850.6004333336105</v>
      </c>
      <c r="D274" s="3"/>
      <c r="E274" s="5">
        <f t="shared" si="8"/>
        <v>52.04456044172062</v>
      </c>
      <c r="F274" s="16">
        <v>60.195524997050143</v>
      </c>
      <c r="G274" s="3"/>
      <c r="H274" s="5">
        <f t="shared" si="9"/>
        <v>2.3462902346965615</v>
      </c>
    </row>
    <row r="275" spans="2:8" x14ac:dyDescent="0.2">
      <c r="B275" s="1">
        <v>268</v>
      </c>
      <c r="C275" s="2">
        <v>2849.2016519582944</v>
      </c>
      <c r="D275" s="3"/>
      <c r="E275" s="5">
        <f t="shared" si="8"/>
        <v>52.019022326669095</v>
      </c>
      <c r="F275" s="16">
        <v>232.81759803887599</v>
      </c>
      <c r="G275" s="3"/>
      <c r="H275" s="5">
        <f t="shared" si="9"/>
        <v>9.0747220291025474</v>
      </c>
    </row>
    <row r="276" spans="2:8" x14ac:dyDescent="0.2">
      <c r="B276" s="1">
        <v>269</v>
      </c>
      <c r="C276" s="2">
        <v>2847.8174309232636</v>
      </c>
      <c r="D276" s="3"/>
      <c r="E276" s="5">
        <f t="shared" si="8"/>
        <v>51.99375004561562</v>
      </c>
      <c r="F276" s="16">
        <v>545.51689483119617</v>
      </c>
      <c r="G276" s="3"/>
      <c r="H276" s="5">
        <f t="shared" si="9"/>
        <v>21.263058396237088</v>
      </c>
    </row>
    <row r="277" spans="2:8" x14ac:dyDescent="0.2">
      <c r="B277" s="1">
        <v>270</v>
      </c>
      <c r="C277" s="2">
        <v>2846.4477122202479</v>
      </c>
      <c r="D277" s="3"/>
      <c r="E277" s="5">
        <f t="shared" si="8"/>
        <v>51.968742539479841</v>
      </c>
      <c r="F277" s="16">
        <v>764.80716656431468</v>
      </c>
      <c r="G277" s="3"/>
      <c r="H277" s="5">
        <f t="shared" si="9"/>
        <v>29.810514758758806</v>
      </c>
    </row>
    <row r="278" spans="2:8" x14ac:dyDescent="0.2">
      <c r="B278" s="1">
        <v>271</v>
      </c>
      <c r="C278" s="2">
        <v>2845.0924380152796</v>
      </c>
      <c r="D278" s="3"/>
      <c r="E278" s="5">
        <f t="shared" si="8"/>
        <v>51.943998752363704</v>
      </c>
      <c r="F278" s="16">
        <v>984.08299379938626</v>
      </c>
      <c r="G278" s="3"/>
      <c r="H278" s="5">
        <f t="shared" si="9"/>
        <v>38.357408106260486</v>
      </c>
    </row>
    <row r="279" spans="2:8" x14ac:dyDescent="0.2">
      <c r="B279" s="1">
        <v>272</v>
      </c>
      <c r="C279" s="2">
        <v>2843.7515506482546</v>
      </c>
      <c r="D279" s="3"/>
      <c r="E279" s="5">
        <f t="shared" si="8"/>
        <v>51.919517631543457</v>
      </c>
      <c r="F279" s="16">
        <v>1203.3444341965146</v>
      </c>
      <c r="G279" s="3"/>
      <c r="H279" s="5">
        <f t="shared" si="9"/>
        <v>46.903740686207165</v>
      </c>
    </row>
    <row r="280" spans="2:8" x14ac:dyDescent="0.2">
      <c r="B280" s="1">
        <v>273</v>
      </c>
      <c r="C280" s="2">
        <v>2842.4249926324983</v>
      </c>
      <c r="D280" s="3"/>
      <c r="E280" s="5">
        <f t="shared" si="8"/>
        <v>51.895298127461736</v>
      </c>
      <c r="F280" s="16">
        <v>1422.5915452423733</v>
      </c>
      <c r="G280" s="3"/>
      <c r="H280" s="5">
        <f t="shared" si="9"/>
        <v>55.449514739303964</v>
      </c>
    </row>
    <row r="281" spans="2:8" x14ac:dyDescent="0.2">
      <c r="B281" s="1">
        <v>274</v>
      </c>
      <c r="C281" s="2">
        <v>2841.1127066543427</v>
      </c>
      <c r="D281" s="3"/>
      <c r="E281" s="5">
        <f t="shared" si="8"/>
        <v>51.871339193719812</v>
      </c>
      <c r="F281" s="16">
        <v>1641.8243842506322</v>
      </c>
      <c r="G281" s="3"/>
      <c r="H281" s="5">
        <f t="shared" si="9"/>
        <v>63.994732499512686</v>
      </c>
    </row>
    <row r="282" spans="2:8" x14ac:dyDescent="0.2">
      <c r="B282" s="1">
        <v>275</v>
      </c>
      <c r="C282" s="2">
        <v>2839.8146355726776</v>
      </c>
      <c r="D282" s="3"/>
      <c r="E282" s="5">
        <f t="shared" si="8"/>
        <v>51.847639787069419</v>
      </c>
      <c r="F282" s="16">
        <v>1861.0430083624005</v>
      </c>
      <c r="G282" s="3"/>
      <c r="H282" s="5">
        <f t="shared" si="9"/>
        <v>72.539396194069113</v>
      </c>
    </row>
    <row r="283" spans="2:8" x14ac:dyDescent="0.2">
      <c r="B283" s="1">
        <v>276</v>
      </c>
      <c r="C283" s="2">
        <v>2838.530722418544</v>
      </c>
      <c r="D283" s="3"/>
      <c r="E283" s="5">
        <f t="shared" si="8"/>
        <v>51.824198867405315</v>
      </c>
      <c r="F283" s="16">
        <v>2080.2474745466375</v>
      </c>
      <c r="G283" s="3"/>
      <c r="H283" s="5">
        <f t="shared" si="9"/>
        <v>81.083508043498981</v>
      </c>
    </row>
    <row r="284" spans="2:8" x14ac:dyDescent="0.2">
      <c r="B284" s="1">
        <v>277</v>
      </c>
      <c r="C284" s="2">
        <v>2837.2609103946838</v>
      </c>
      <c r="D284" s="3"/>
      <c r="E284" s="5">
        <f t="shared" si="8"/>
        <v>51.801015397757091</v>
      </c>
      <c r="F284" s="16">
        <v>2299.4378396006</v>
      </c>
      <c r="G284" s="3"/>
      <c r="H284" s="5">
        <f t="shared" si="9"/>
        <v>89.627070261635438</v>
      </c>
    </row>
    <row r="285" spans="2:8" x14ac:dyDescent="0.2">
      <c r="B285" s="1">
        <v>278</v>
      </c>
      <c r="C285" s="2">
        <v>2836.0051428751244</v>
      </c>
      <c r="D285" s="3"/>
      <c r="E285" s="5">
        <f t="shared" si="8"/>
        <v>51.778088344281542</v>
      </c>
      <c r="F285" s="16">
        <v>2202.8517261678685</v>
      </c>
      <c r="G285" s="3"/>
      <c r="H285" s="5">
        <f t="shared" si="9"/>
        <v>85.862354283734803</v>
      </c>
    </row>
    <row r="286" spans="2:8" x14ac:dyDescent="0.2">
      <c r="B286" s="1">
        <v>279</v>
      </c>
      <c r="C286" s="2">
        <v>2834.7633634047484</v>
      </c>
      <c r="D286" s="3"/>
      <c r="E286" s="5">
        <f t="shared" si="8"/>
        <v>51.755416676254853</v>
      </c>
      <c r="F286" s="16">
        <v>2106.2516246859536</v>
      </c>
      <c r="G286" s="3"/>
      <c r="H286" s="5">
        <f t="shared" si="9"/>
        <v>82.097093082194974</v>
      </c>
    </row>
    <row r="287" spans="2:8" x14ac:dyDescent="0.2">
      <c r="B287" s="1">
        <v>280</v>
      </c>
      <c r="C287" s="2">
        <v>2833.535515698868</v>
      </c>
      <c r="D287" s="3"/>
      <c r="E287" s="5">
        <f t="shared" si="8"/>
        <v>51.73299936606481</v>
      </c>
      <c r="F287" s="16">
        <v>2009.637591439543</v>
      </c>
      <c r="G287" s="3"/>
      <c r="H287" s="5">
        <f t="shared" si="9"/>
        <v>78.331288850870294</v>
      </c>
    </row>
    <row r="288" spans="2:8" x14ac:dyDescent="0.2">
      <c r="B288" s="1">
        <v>281</v>
      </c>
      <c r="C288" s="2">
        <v>2832.3215436427899</v>
      </c>
      <c r="D288" s="3"/>
      <c r="E288" s="5">
        <f t="shared" si="8"/>
        <v>51.710835389202842</v>
      </c>
      <c r="F288" s="16">
        <v>1913.0096825433293</v>
      </c>
      <c r="G288" s="3"/>
      <c r="H288" s="5">
        <f t="shared" si="9"/>
        <v>74.56494377698904</v>
      </c>
    </row>
    <row r="289" spans="2:8" x14ac:dyDescent="0.2">
      <c r="B289" s="1">
        <v>282</v>
      </c>
      <c r="C289" s="2">
        <v>2831.1213912914054</v>
      </c>
      <c r="D289" s="3"/>
      <c r="E289" s="5">
        <f t="shared" si="8"/>
        <v>51.688923724256568</v>
      </c>
      <c r="F289" s="16">
        <v>1816.367953942422</v>
      </c>
      <c r="G289" s="3"/>
      <c r="H289" s="5">
        <f t="shared" si="9"/>
        <v>70.798060041169549</v>
      </c>
    </row>
    <row r="290" spans="2:8" x14ac:dyDescent="0.2">
      <c r="B290" s="1">
        <v>283</v>
      </c>
      <c r="C290" s="2">
        <v>2829.9350028687577</v>
      </c>
      <c r="D290" s="3"/>
      <c r="E290" s="5">
        <f t="shared" si="8"/>
        <v>51.667263352901877</v>
      </c>
      <c r="F290" s="16">
        <v>1719.7124614127797</v>
      </c>
      <c r="G290" s="3"/>
      <c r="H290" s="5">
        <f t="shared" si="9"/>
        <v>67.030639817436978</v>
      </c>
    </row>
    <row r="291" spans="2:8" x14ac:dyDescent="0.2">
      <c r="B291" s="1">
        <v>284</v>
      </c>
      <c r="C291" s="2">
        <v>2828.7623227676199</v>
      </c>
      <c r="D291" s="3"/>
      <c r="E291" s="5">
        <f t="shared" si="8"/>
        <v>51.645853259895226</v>
      </c>
      <c r="F291" s="16">
        <v>1623.0432605616256</v>
      </c>
      <c r="G291" s="3"/>
      <c r="H291" s="5">
        <f t="shared" si="9"/>
        <v>63.262685273239576</v>
      </c>
    </row>
    <row r="292" spans="2:8" x14ac:dyDescent="0.2">
      <c r="B292" s="1">
        <v>285</v>
      </c>
      <c r="C292" s="2">
        <v>2827.6032955490741</v>
      </c>
      <c r="D292" s="3"/>
      <c r="E292" s="5">
        <f t="shared" si="8"/>
        <v>51.62469243306596</v>
      </c>
      <c r="F292" s="16">
        <v>1966.6488711131901</v>
      </c>
      <c r="G292" s="3"/>
      <c r="H292" s="5">
        <f t="shared" si="9"/>
        <v>76.655682321834021</v>
      </c>
    </row>
    <row r="293" spans="2:8" x14ac:dyDescent="0.2">
      <c r="B293" s="1">
        <v>286</v>
      </c>
      <c r="C293" s="2">
        <v>2826.4578659420845</v>
      </c>
      <c r="D293" s="3"/>
      <c r="E293" s="5">
        <f t="shared" si="8"/>
        <v>51.60377986330851</v>
      </c>
      <c r="F293" s="16">
        <v>1454.1244257206513</v>
      </c>
      <c r="G293" s="3"/>
      <c r="H293" s="5">
        <f t="shared" si="9"/>
        <v>56.678597624479615</v>
      </c>
    </row>
    <row r="294" spans="2:8" x14ac:dyDescent="0.2">
      <c r="B294" s="1">
        <v>287</v>
      </c>
      <c r="C294" s="2">
        <v>2825.3259788430919</v>
      </c>
      <c r="D294" s="3"/>
      <c r="E294" s="5">
        <f t="shared" si="8"/>
        <v>51.583114544574997</v>
      </c>
      <c r="F294" s="16">
        <v>941.58643782011632</v>
      </c>
      <c r="G294" s="3"/>
      <c r="H294" s="5">
        <f t="shared" si="9"/>
        <v>36.700985069709461</v>
      </c>
    </row>
    <row r="295" spans="2:8" x14ac:dyDescent="0.2">
      <c r="B295" s="1">
        <v>288</v>
      </c>
      <c r="C295" s="2">
        <v>2824.2075793155755</v>
      </c>
      <c r="D295" s="3"/>
      <c r="E295" s="5">
        <f t="shared" si="8"/>
        <v>51.562695473867237</v>
      </c>
      <c r="F295" s="16">
        <v>429.03496234810427</v>
      </c>
      <c r="G295" s="3"/>
      <c r="H295" s="5">
        <f t="shared" si="9"/>
        <v>16.722846798829213</v>
      </c>
    </row>
    <row r="296" spans="2:8" x14ac:dyDescent="0.2">
      <c r="B296" s="1">
        <v>289</v>
      </c>
      <c r="C296" s="2">
        <v>2739.5726666641513</v>
      </c>
      <c r="D296" s="3"/>
      <c r="E296" s="5">
        <f t="shared" si="8"/>
        <v>50.017481779426149</v>
      </c>
      <c r="F296" s="16">
        <v>0</v>
      </c>
      <c r="G296" s="3"/>
      <c r="H296" s="5">
        <f t="shared" si="9"/>
        <v>0</v>
      </c>
    </row>
    <row r="297" spans="2:8" x14ac:dyDescent="0.2">
      <c r="B297" s="1">
        <v>290</v>
      </c>
      <c r="C297" s="2">
        <v>2739.5726666641513</v>
      </c>
      <c r="D297" s="3"/>
      <c r="E297" s="5">
        <f t="shared" si="8"/>
        <v>50.017481779426149</v>
      </c>
      <c r="F297" s="16">
        <v>0</v>
      </c>
      <c r="G297" s="3"/>
      <c r="H297" s="5">
        <f t="shared" si="9"/>
        <v>0</v>
      </c>
    </row>
    <row r="298" spans="2:8" x14ac:dyDescent="0.2">
      <c r="B298" s="1">
        <v>291</v>
      </c>
      <c r="C298" s="2">
        <v>2821.1724723754774</v>
      </c>
      <c r="D298" s="3"/>
      <c r="E298" s="5">
        <f t="shared" si="8"/>
        <v>51.507282303805276</v>
      </c>
      <c r="F298" s="16">
        <v>114.0839561932562</v>
      </c>
      <c r="G298" s="3"/>
      <c r="H298" s="5">
        <f t="shared" si="9"/>
        <v>4.4467437133392318</v>
      </c>
    </row>
    <row r="299" spans="2:8" x14ac:dyDescent="0.2">
      <c r="B299" s="1">
        <v>292</v>
      </c>
      <c r="C299" s="2">
        <v>2820.1063751086995</v>
      </c>
      <c r="D299" s="3"/>
      <c r="E299" s="5">
        <f t="shared" si="8"/>
        <v>51.487818136541158</v>
      </c>
      <c r="F299" s="16">
        <v>310.83381536461638</v>
      </c>
      <c r="G299" s="3"/>
      <c r="H299" s="5">
        <f t="shared" si="9"/>
        <v>12.115623971037927</v>
      </c>
    </row>
    <row r="300" spans="2:8" x14ac:dyDescent="0.2">
      <c r="B300" s="1">
        <v>293</v>
      </c>
      <c r="C300" s="2">
        <v>2819.0534967662124</v>
      </c>
      <c r="D300" s="3"/>
      <c r="E300" s="5">
        <f t="shared" si="8"/>
        <v>51.468595312502899</v>
      </c>
      <c r="F300" s="16">
        <v>507.57045561168616</v>
      </c>
      <c r="G300" s="3"/>
      <c r="H300" s="5">
        <f t="shared" si="9"/>
        <v>19.783988983907751</v>
      </c>
    </row>
    <row r="301" spans="2:8" x14ac:dyDescent="0.2">
      <c r="B301" s="1">
        <v>294</v>
      </c>
      <c r="C301" s="2">
        <v>2818.0137833957151</v>
      </c>
      <c r="D301" s="3"/>
      <c r="E301" s="5">
        <f t="shared" si="8"/>
        <v>51.449612846661616</v>
      </c>
      <c r="F301" s="16">
        <v>704.29393088676534</v>
      </c>
      <c r="G301" s="3"/>
      <c r="H301" s="5">
        <f t="shared" si="9"/>
        <v>27.451840854891646</v>
      </c>
    </row>
    <row r="302" spans="2:8" x14ac:dyDescent="0.2">
      <c r="B302" s="1">
        <v>295</v>
      </c>
      <c r="C302" s="2">
        <v>2816.9871812090578</v>
      </c>
      <c r="D302" s="3"/>
      <c r="E302" s="5">
        <f t="shared" si="8"/>
        <v>51.430869756985373</v>
      </c>
      <c r="F302" s="16">
        <v>901.00429497800496</v>
      </c>
      <c r="G302" s="3"/>
      <c r="H302" s="5">
        <f t="shared" si="9"/>
        <v>35.119181680534389</v>
      </c>
    </row>
    <row r="303" spans="2:8" x14ac:dyDescent="0.2">
      <c r="B303" s="1">
        <v>296</v>
      </c>
      <c r="C303" s="2">
        <v>2816.4145994122737</v>
      </c>
      <c r="D303" s="3"/>
      <c r="E303" s="5">
        <f t="shared" si="8"/>
        <v>51.420415900463752</v>
      </c>
      <c r="F303" s="16">
        <v>1097.2606386793714</v>
      </c>
      <c r="G303" s="3"/>
      <c r="H303" s="5">
        <f t="shared" si="9"/>
        <v>42.768825781924534</v>
      </c>
    </row>
    <row r="304" spans="2:8" x14ac:dyDescent="0.2">
      <c r="B304" s="1">
        <v>297</v>
      </c>
      <c r="C304" s="2">
        <v>2816.2947319728587</v>
      </c>
      <c r="D304" s="3"/>
      <c r="E304" s="5">
        <f t="shared" si="8"/>
        <v>51.418227432335186</v>
      </c>
      <c r="F304" s="16">
        <v>1293.0642680233682</v>
      </c>
      <c r="G304" s="3"/>
      <c r="H304" s="5">
        <f t="shared" si="9"/>
        <v>50.400824065359693</v>
      </c>
    </row>
    <row r="305" spans="2:8" x14ac:dyDescent="0.2">
      <c r="B305" s="1">
        <v>298</v>
      </c>
      <c r="C305" s="2">
        <v>2816.1861469822279</v>
      </c>
      <c r="D305" s="3"/>
      <c r="E305" s="5">
        <f t="shared" si="8"/>
        <v>51.416244952419071</v>
      </c>
      <c r="F305" s="16">
        <v>1488.8566149185817</v>
      </c>
      <c r="G305" s="3"/>
      <c r="H305" s="5">
        <f t="shared" si="9"/>
        <v>58.032382583556405</v>
      </c>
    </row>
    <row r="306" spans="2:8" x14ac:dyDescent="0.2">
      <c r="B306" s="1">
        <v>299</v>
      </c>
      <c r="C306" s="2">
        <v>2816.0887933981599</v>
      </c>
      <c r="D306" s="3"/>
      <c r="E306" s="5">
        <f t="shared" si="8"/>
        <v>51.414467528817013</v>
      </c>
      <c r="F306" s="16">
        <v>1684.6377304072325</v>
      </c>
      <c r="G306" s="3"/>
      <c r="H306" s="5">
        <f t="shared" si="9"/>
        <v>65.663503326029073</v>
      </c>
    </row>
    <row r="307" spans="2:8" x14ac:dyDescent="0.2">
      <c r="B307" s="1">
        <v>300</v>
      </c>
      <c r="C307" s="2">
        <v>2816.0026203414609</v>
      </c>
      <c r="D307" s="3"/>
      <c r="E307" s="5">
        <f t="shared" si="8"/>
        <v>51.412894232607073</v>
      </c>
      <c r="F307" s="16">
        <v>1880.4076653685133</v>
      </c>
      <c r="G307" s="3"/>
      <c r="H307" s="5">
        <f t="shared" si="9"/>
        <v>73.294188275937614</v>
      </c>
    </row>
    <row r="308" spans="2:8" x14ac:dyDescent="0.2">
      <c r="B308" s="1">
        <v>301</v>
      </c>
      <c r="C308" s="2">
        <v>2815.9275770955501</v>
      </c>
      <c r="D308" s="3"/>
      <c r="E308" s="5">
        <f t="shared" si="8"/>
        <v>51.411524137836203</v>
      </c>
      <c r="F308" s="16">
        <v>1978.3245895667142</v>
      </c>
      <c r="G308" s="3"/>
      <c r="H308" s="5">
        <f t="shared" si="9"/>
        <v>77.110776354021837</v>
      </c>
    </row>
    <row r="309" spans="2:8" x14ac:dyDescent="0.2">
      <c r="B309" s="1">
        <v>302</v>
      </c>
      <c r="C309" s="2">
        <v>2815.863613106028</v>
      </c>
      <c r="D309" s="3"/>
      <c r="E309" s="5">
        <f t="shared" si="8"/>
        <v>51.410356321512367</v>
      </c>
      <c r="F309" s="16">
        <v>1978.3885535562363</v>
      </c>
      <c r="G309" s="3"/>
      <c r="H309" s="5">
        <f t="shared" si="9"/>
        <v>77.113269530781992</v>
      </c>
    </row>
    <row r="310" spans="2:8" x14ac:dyDescent="0.2">
      <c r="B310" s="1">
        <v>303</v>
      </c>
      <c r="C310" s="2">
        <v>2815.8106779802524</v>
      </c>
      <c r="D310" s="3"/>
      <c r="E310" s="5">
        <f t="shared" si="8"/>
        <v>51.4093898635968</v>
      </c>
      <c r="F310" s="16">
        <v>2467.6508934434692</v>
      </c>
      <c r="G310" s="3"/>
      <c r="H310" s="5">
        <f t="shared" si="9"/>
        <v>96.183648106904698</v>
      </c>
    </row>
    <row r="311" spans="2:8" x14ac:dyDescent="0.2">
      <c r="B311" s="1">
        <v>304</v>
      </c>
      <c r="C311" s="2">
        <v>2815.7687214869138</v>
      </c>
      <c r="D311" s="3"/>
      <c r="E311" s="5">
        <f t="shared" si="8"/>
        <v>51.408623846996242</v>
      </c>
      <c r="F311" s="16">
        <v>2663.3766118413887</v>
      </c>
      <c r="G311" s="3"/>
      <c r="H311" s="5">
        <f t="shared" si="9"/>
        <v>103.81260959164152</v>
      </c>
    </row>
    <row r="312" spans="2:8" x14ac:dyDescent="0.2">
      <c r="B312" s="1">
        <v>305</v>
      </c>
      <c r="C312" s="2">
        <v>2815.7376935556267</v>
      </c>
      <c r="D312" s="3"/>
      <c r="E312" s="5">
        <f t="shared" si="8"/>
        <v>51.408057357555506</v>
      </c>
      <c r="F312" s="16">
        <v>2389.4503731062605</v>
      </c>
      <c r="G312" s="3"/>
      <c r="H312" s="5">
        <f t="shared" si="9"/>
        <v>93.135562435679574</v>
      </c>
    </row>
    <row r="313" spans="2:8" x14ac:dyDescent="0.2">
      <c r="B313" s="1">
        <v>306</v>
      </c>
      <c r="C313" s="2">
        <v>2815.7175442764837</v>
      </c>
      <c r="D313" s="3"/>
      <c r="E313" s="5">
        <f t="shared" si="8"/>
        <v>51.407689484049293</v>
      </c>
      <c r="F313" s="16">
        <v>2115.5132557189891</v>
      </c>
      <c r="G313" s="3"/>
      <c r="H313" s="5">
        <f t="shared" si="9"/>
        <v>82.458091253591249</v>
      </c>
    </row>
    <row r="314" spans="2:8" x14ac:dyDescent="0.2">
      <c r="B314" s="1">
        <v>307</v>
      </c>
      <c r="C314" s="2">
        <v>2815.7082238996609</v>
      </c>
      <c r="D314" s="3"/>
      <c r="E314" s="5">
        <f t="shared" si="8"/>
        <v>51.407519318175034</v>
      </c>
      <c r="F314" s="16">
        <v>1978.5439427626034</v>
      </c>
      <c r="G314" s="3"/>
      <c r="H314" s="5">
        <f t="shared" si="9"/>
        <v>77.119326263030672</v>
      </c>
    </row>
    <row r="315" spans="2:8" x14ac:dyDescent="0.2">
      <c r="B315" s="1">
        <v>308</v>
      </c>
      <c r="C315" s="2">
        <v>2815.7096828349786</v>
      </c>
      <c r="D315" s="3"/>
      <c r="E315" s="5">
        <f t="shared" si="8"/>
        <v>51.407545954544844</v>
      </c>
      <c r="F315" s="16">
        <v>1567.6065838276627</v>
      </c>
      <c r="G315" s="3"/>
      <c r="H315" s="5">
        <f t="shared" si="9"/>
        <v>61.101884561371023</v>
      </c>
    </row>
    <row r="316" spans="2:8" x14ac:dyDescent="0.2">
      <c r="B316" s="1">
        <v>309</v>
      </c>
      <c r="C316" s="2">
        <v>2815.7218716514981</v>
      </c>
      <c r="D316" s="3"/>
      <c r="E316" s="5">
        <f t="shared" si="8"/>
        <v>51.407768490678158</v>
      </c>
      <c r="F316" s="16">
        <v>1293.637128344727</v>
      </c>
      <c r="G316" s="3"/>
      <c r="H316" s="5">
        <f t="shared" si="9"/>
        <v>50.423152910866321</v>
      </c>
    </row>
    <row r="317" spans="2:8" x14ac:dyDescent="0.2">
      <c r="B317" s="1">
        <v>310</v>
      </c>
      <c r="C317" s="2">
        <v>2815.7447410770919</v>
      </c>
      <c r="D317" s="3"/>
      <c r="E317" s="5">
        <f t="shared" si="8"/>
        <v>51.408186026993903</v>
      </c>
      <c r="F317" s="16">
        <v>1019.6569922527196</v>
      </c>
      <c r="G317" s="3"/>
      <c r="H317" s="5">
        <f t="shared" si="9"/>
        <v>39.744004953522087</v>
      </c>
    </row>
    <row r="318" spans="2:8" x14ac:dyDescent="0.2">
      <c r="B318" s="1">
        <v>311</v>
      </c>
      <c r="C318" s="2">
        <v>2815.7782419980317</v>
      </c>
      <c r="D318" s="3"/>
      <c r="E318" s="5">
        <f t="shared" si="8"/>
        <v>51.408797666802947</v>
      </c>
      <c r="F318" s="16">
        <v>266.24100799913867</v>
      </c>
      <c r="G318" s="3"/>
      <c r="H318" s="5">
        <f t="shared" si="9"/>
        <v>10.377493628882883</v>
      </c>
    </row>
    <row r="319" spans="2:8" x14ac:dyDescent="0.2">
      <c r="B319" s="1">
        <v>312</v>
      </c>
      <c r="C319" s="2">
        <v>2815.822325458576</v>
      </c>
      <c r="D319" s="3"/>
      <c r="E319" s="5">
        <f t="shared" si="8"/>
        <v>51.409602516300602</v>
      </c>
      <c r="F319" s="16">
        <v>94.973632872084636</v>
      </c>
      <c r="G319" s="3"/>
      <c r="H319" s="5">
        <f t="shared" si="9"/>
        <v>3.7018650036252443</v>
      </c>
    </row>
    <row r="320" spans="2:8" x14ac:dyDescent="0.2">
      <c r="B320" s="1">
        <v>313</v>
      </c>
      <c r="C320" s="2">
        <v>2739.5726666641513</v>
      </c>
      <c r="D320" s="3"/>
      <c r="E320" s="5">
        <f t="shared" si="8"/>
        <v>50.017481779426149</v>
      </c>
      <c r="F320" s="16">
        <v>0</v>
      </c>
      <c r="G320" s="3"/>
      <c r="H320" s="5">
        <f t="shared" si="9"/>
        <v>0</v>
      </c>
    </row>
    <row r="321" spans="2:8" x14ac:dyDescent="0.2">
      <c r="B321" s="1">
        <v>314</v>
      </c>
      <c r="C321" s="2">
        <v>2739.5726666641513</v>
      </c>
      <c r="D321" s="3"/>
      <c r="E321" s="5">
        <f t="shared" si="8"/>
        <v>50.017481779426149</v>
      </c>
      <c r="F321" s="16">
        <v>0</v>
      </c>
      <c r="G321" s="3"/>
      <c r="H321" s="5">
        <f t="shared" si="9"/>
        <v>0</v>
      </c>
    </row>
    <row r="322" spans="2:8" x14ac:dyDescent="0.2">
      <c r="B322" s="1">
        <v>315</v>
      </c>
      <c r="C322" s="2">
        <v>2816.2648148492913</v>
      </c>
      <c r="D322" s="3"/>
      <c r="E322" s="5">
        <f t="shared" si="8"/>
        <v>51.417681223358457</v>
      </c>
      <c r="F322" s="16">
        <v>94.531143481370236</v>
      </c>
      <c r="G322" s="3"/>
      <c r="H322" s="5">
        <f t="shared" si="9"/>
        <v>3.6846177325624718</v>
      </c>
    </row>
    <row r="323" spans="2:8" x14ac:dyDescent="0.2">
      <c r="B323" s="1">
        <v>316</v>
      </c>
      <c r="C323" s="2">
        <v>2816.3496054043453</v>
      </c>
      <c r="D323" s="3"/>
      <c r="E323" s="5">
        <f t="shared" si="8"/>
        <v>51.419229278678941</v>
      </c>
      <c r="F323" s="16">
        <v>265.66964459282508</v>
      </c>
      <c r="G323" s="3"/>
      <c r="H323" s="5">
        <f t="shared" si="9"/>
        <v>10.355223129858873</v>
      </c>
    </row>
    <row r="324" spans="2:8" x14ac:dyDescent="0.2">
      <c r="B324" s="1">
        <v>317</v>
      </c>
      <c r="C324" s="2">
        <v>2816.4447397315098</v>
      </c>
      <c r="D324" s="3"/>
      <c r="E324" s="5">
        <f t="shared" si="8"/>
        <v>51.420966184413707</v>
      </c>
      <c r="F324" s="16">
        <v>436.79780193216993</v>
      </c>
      <c r="G324" s="3"/>
      <c r="H324" s="5">
        <f t="shared" si="9"/>
        <v>17.025425349485626</v>
      </c>
    </row>
    <row r="325" spans="2:8" x14ac:dyDescent="0.2">
      <c r="B325" s="1">
        <v>318</v>
      </c>
      <c r="C325" s="2">
        <v>2816.5501698046596</v>
      </c>
      <c r="D325" s="3"/>
      <c r="E325" s="5">
        <f t="shared" si="8"/>
        <v>51.422891063730454</v>
      </c>
      <c r="F325" s="16">
        <v>607.91566352552945</v>
      </c>
      <c r="G325" s="3"/>
      <c r="H325" s="5">
        <f t="shared" si="9"/>
        <v>23.69522626339629</v>
      </c>
    </row>
    <row r="326" spans="2:8" x14ac:dyDescent="0.2">
      <c r="B326" s="1">
        <v>319</v>
      </c>
      <c r="C326" s="2">
        <v>2816.6658477527949</v>
      </c>
      <c r="D326" s="3"/>
      <c r="E326" s="5">
        <f t="shared" si="8"/>
        <v>51.425003042629037</v>
      </c>
      <c r="F326" s="16">
        <v>779.02327724390352</v>
      </c>
      <c r="G326" s="3"/>
      <c r="H326" s="5">
        <f t="shared" si="9"/>
        <v>30.364627737497997</v>
      </c>
    </row>
    <row r="327" spans="2:8" x14ac:dyDescent="0.2">
      <c r="B327" s="1">
        <v>320</v>
      </c>
      <c r="C327" s="2">
        <v>2816.7917258596144</v>
      </c>
      <c r="D327" s="3"/>
      <c r="E327" s="5">
        <f t="shared" si="8"/>
        <v>51.427301249933734</v>
      </c>
      <c r="F327" s="16">
        <v>950.12069080359379</v>
      </c>
      <c r="G327" s="3"/>
      <c r="H327" s="5">
        <f t="shared" si="9"/>
        <v>37.033631631668086</v>
      </c>
    </row>
    <row r="328" spans="2:8" x14ac:dyDescent="0.2">
      <c r="B328" s="1">
        <v>321</v>
      </c>
      <c r="C328" s="2">
        <v>2816.9277565631305</v>
      </c>
      <c r="D328" s="3"/>
      <c r="E328" s="5">
        <f t="shared" si="8"/>
        <v>51.429784817286176</v>
      </c>
      <c r="F328" s="16">
        <v>1121.207951766587</v>
      </c>
      <c r="G328" s="3"/>
      <c r="H328" s="5">
        <f t="shared" si="9"/>
        <v>43.702239799769032</v>
      </c>
    </row>
    <row r="329" spans="2:8" x14ac:dyDescent="0.2">
      <c r="B329" s="1">
        <v>322</v>
      </c>
      <c r="C329" s="2">
        <v>2817.0738924552479</v>
      </c>
      <c r="D329" s="3"/>
      <c r="E329" s="5">
        <f t="shared" ref="E329:E392" si="10">$D$5*C329</f>
        <v>51.432452879137657</v>
      </c>
      <c r="F329" s="16">
        <v>1292.285107540979</v>
      </c>
      <c r="G329" s="3"/>
      <c r="H329" s="5">
        <f t="shared" ref="H329:H392" si="11">$G$5*F329</f>
        <v>50.370454089664975</v>
      </c>
    </row>
    <row r="330" spans="2:8" x14ac:dyDescent="0.2">
      <c r="B330" s="1">
        <v>323</v>
      </c>
      <c r="C330" s="2">
        <v>2817.2300862813568</v>
      </c>
      <c r="D330" s="3"/>
      <c r="E330" s="5">
        <f t="shared" si="10"/>
        <v>51.435304572741749</v>
      </c>
      <c r="F330" s="16">
        <v>1463.3522053813799</v>
      </c>
      <c r="G330" s="3"/>
      <c r="H330" s="5">
        <f t="shared" si="11"/>
        <v>57.038276343237534</v>
      </c>
    </row>
    <row r="331" spans="2:8" x14ac:dyDescent="0.2">
      <c r="B331" s="1">
        <v>324</v>
      </c>
      <c r="C331" s="2">
        <v>2817.3962909399415</v>
      </c>
      <c r="D331" s="3"/>
      <c r="E331" s="5">
        <f t="shared" si="10"/>
        <v>51.438339038147092</v>
      </c>
      <c r="F331" s="16">
        <v>1634.4092923893058</v>
      </c>
      <c r="G331" s="3"/>
      <c r="H331" s="5">
        <f t="shared" si="11"/>
        <v>63.705708396401029</v>
      </c>
    </row>
    <row r="332" spans="2:8" x14ac:dyDescent="0.2">
      <c r="B332" s="1">
        <v>325</v>
      </c>
      <c r="C332" s="2">
        <v>2817.5724594821577</v>
      </c>
      <c r="D332" s="3"/>
      <c r="E332" s="5">
        <f t="shared" si="10"/>
        <v>51.441555418189722</v>
      </c>
      <c r="F332" s="16">
        <v>1805.4564155135986</v>
      </c>
      <c r="G332" s="3"/>
      <c r="H332" s="5">
        <f t="shared" si="11"/>
        <v>70.372752079118897</v>
      </c>
    </row>
    <row r="333" spans="2:8" x14ac:dyDescent="0.2">
      <c r="B333" s="1">
        <v>326</v>
      </c>
      <c r="C333" s="2">
        <v>2817.7585451114446</v>
      </c>
      <c r="D333" s="3"/>
      <c r="E333" s="5">
        <f t="shared" si="10"/>
        <v>51.444952858485991</v>
      </c>
      <c r="F333" s="16">
        <v>1976.4936215508214</v>
      </c>
      <c r="G333" s="3"/>
      <c r="H333" s="5">
        <f t="shared" si="11"/>
        <v>77.03940921541907</v>
      </c>
    </row>
    <row r="334" spans="2:8" x14ac:dyDescent="0.2">
      <c r="B334" s="1">
        <v>327</v>
      </c>
      <c r="C334" s="2">
        <v>2817.9545011831187</v>
      </c>
      <c r="D334" s="3"/>
      <c r="E334" s="5">
        <f t="shared" si="10"/>
        <v>51.448530507425112</v>
      </c>
      <c r="F334" s="16">
        <v>1805.0743738126366</v>
      </c>
      <c r="G334" s="3"/>
      <c r="H334" s="5">
        <f t="shared" si="11"/>
        <v>70.357860927122829</v>
      </c>
    </row>
    <row r="335" spans="2:8" x14ac:dyDescent="0.2">
      <c r="B335" s="1">
        <v>328</v>
      </c>
      <c r="C335" s="2">
        <v>2818.160281203965</v>
      </c>
      <c r="D335" s="3"/>
      <c r="E335" s="5">
        <f t="shared" si="10"/>
        <v>51.452287516161725</v>
      </c>
      <c r="F335" s="16">
        <v>1976.0918854582992</v>
      </c>
      <c r="G335" s="3"/>
      <c r="H335" s="5">
        <f t="shared" si="11"/>
        <v>77.023750419007598</v>
      </c>
    </row>
    <row r="336" spans="2:8" x14ac:dyDescent="0.2">
      <c r="B336" s="1">
        <v>329</v>
      </c>
      <c r="C336" s="2">
        <v>2818.3758388318411</v>
      </c>
      <c r="D336" s="3"/>
      <c r="E336" s="5">
        <f t="shared" si="10"/>
        <v>51.456223038608677</v>
      </c>
      <c r="F336" s="16">
        <v>2660.7694944964614</v>
      </c>
      <c r="G336" s="3"/>
      <c r="H336" s="5">
        <f t="shared" si="11"/>
        <v>103.71098984553231</v>
      </c>
    </row>
    <row r="337" spans="2:8" x14ac:dyDescent="0.2">
      <c r="B337" s="1">
        <v>330</v>
      </c>
      <c r="C337" s="2">
        <v>2818.6011278752803</v>
      </c>
      <c r="D337" s="3"/>
      <c r="E337" s="5">
        <f t="shared" si="10"/>
        <v>51.460336231429743</v>
      </c>
      <c r="F337" s="16">
        <v>2489.3209137865115</v>
      </c>
      <c r="G337" s="3"/>
      <c r="H337" s="5">
        <f t="shared" si="11"/>
        <v>97.028298221992955</v>
      </c>
    </row>
    <row r="338" spans="2:8" x14ac:dyDescent="0.2">
      <c r="B338" s="1">
        <v>331</v>
      </c>
      <c r="C338" s="2">
        <v>2818.8361022930912</v>
      </c>
      <c r="D338" s="3"/>
      <c r="E338" s="5">
        <f t="shared" si="10"/>
        <v>51.46462625403236</v>
      </c>
      <c r="F338" s="16">
        <v>2831.5325227017202</v>
      </c>
      <c r="G338" s="3"/>
      <c r="H338" s="5">
        <f t="shared" si="11"/>
        <v>110.36696012812136</v>
      </c>
    </row>
    <row r="339" spans="2:8" x14ac:dyDescent="0.2">
      <c r="B339" s="1">
        <v>332</v>
      </c>
      <c r="C339" s="2">
        <v>2819.0807161939529</v>
      </c>
      <c r="D339" s="3"/>
      <c r="E339" s="5">
        <f t="shared" si="10"/>
        <v>51.469092268560175</v>
      </c>
      <c r="F339" s="16">
        <v>2454.5966671345386</v>
      </c>
      <c r="G339" s="3"/>
      <c r="H339" s="5">
        <f t="shared" si="11"/>
        <v>95.674822846029187</v>
      </c>
    </row>
    <row r="340" spans="2:8" x14ac:dyDescent="0.2">
      <c r="B340" s="1">
        <v>333</v>
      </c>
      <c r="C340" s="2">
        <v>2819.334923836032</v>
      </c>
      <c r="D340" s="3"/>
      <c r="E340" s="5">
        <f t="shared" si="10"/>
        <v>51.473733439886132</v>
      </c>
      <c r="F340" s="16">
        <v>2077.6512178261387</v>
      </c>
      <c r="G340" s="3"/>
      <c r="H340" s="5">
        <f t="shared" si="11"/>
        <v>80.982311620835162</v>
      </c>
    </row>
    <row r="341" spans="2:8" x14ac:dyDescent="0.2">
      <c r="B341" s="1">
        <v>334</v>
      </c>
      <c r="C341" s="2">
        <v>2819.598679626572</v>
      </c>
      <c r="D341" s="3"/>
      <c r="E341" s="5">
        <f t="shared" si="10"/>
        <v>51.478548935604891</v>
      </c>
      <c r="F341" s="16">
        <v>1700.6962203692769</v>
      </c>
      <c r="G341" s="3"/>
      <c r="H341" s="5">
        <f t="shared" si="11"/>
        <v>66.28942822964548</v>
      </c>
    </row>
    <row r="342" spans="2:8" x14ac:dyDescent="0.2">
      <c r="B342" s="1">
        <v>335</v>
      </c>
      <c r="C342" s="2">
        <v>2819.8719381215069</v>
      </c>
      <c r="D342" s="3"/>
      <c r="E342" s="5">
        <f t="shared" si="10"/>
        <v>51.483537926025839</v>
      </c>
      <c r="F342" s="16">
        <v>1323.7317202080221</v>
      </c>
      <c r="G342" s="3"/>
      <c r="H342" s="5">
        <f t="shared" si="11"/>
        <v>51.596174443770771</v>
      </c>
    </row>
    <row r="343" spans="2:8" x14ac:dyDescent="0.2">
      <c r="B343" s="1">
        <v>336</v>
      </c>
      <c r="C343" s="2">
        <v>2820.154654025062</v>
      </c>
      <c r="D343" s="3"/>
      <c r="E343" s="5">
        <f t="shared" si="10"/>
        <v>51.488699584165772</v>
      </c>
      <c r="F343" s="16">
        <v>946.75776263814623</v>
      </c>
      <c r="G343" s="3"/>
      <c r="H343" s="5">
        <f t="shared" si="11"/>
        <v>36.902552028741418</v>
      </c>
    </row>
    <row r="344" spans="2:8" x14ac:dyDescent="0.2">
      <c r="B344" s="1">
        <v>337</v>
      </c>
      <c r="C344" s="2">
        <v>2820.4467821893654</v>
      </c>
      <c r="D344" s="3"/>
      <c r="E344" s="5">
        <f t="shared" si="10"/>
        <v>51.494033085741798</v>
      </c>
      <c r="F344" s="16">
        <v>90.349176141295175</v>
      </c>
      <c r="G344" s="3"/>
      <c r="H344" s="5">
        <f t="shared" si="11"/>
        <v>3.5216137695217156</v>
      </c>
    </row>
    <row r="345" spans="2:8" x14ac:dyDescent="0.2">
      <c r="B345" s="1">
        <v>338</v>
      </c>
      <c r="C345" s="2">
        <v>2739.5726666641513</v>
      </c>
      <c r="D345" s="3"/>
      <c r="E345" s="5">
        <f t="shared" si="10"/>
        <v>50.017481779426149</v>
      </c>
      <c r="F345" s="16">
        <v>0</v>
      </c>
      <c r="G345" s="3"/>
      <c r="H345" s="5">
        <f t="shared" si="11"/>
        <v>0</v>
      </c>
    </row>
    <row r="346" spans="2:8" x14ac:dyDescent="0.2">
      <c r="B346" s="1">
        <v>339</v>
      </c>
      <c r="C346" s="2">
        <v>2821.1452934828731</v>
      </c>
      <c r="D346" s="3"/>
      <c r="E346" s="5">
        <f t="shared" si="10"/>
        <v>51.506786087814305</v>
      </c>
      <c r="F346" s="16">
        <v>89.650664847787539</v>
      </c>
      <c r="G346" s="3"/>
      <c r="H346" s="5">
        <f t="shared" si="11"/>
        <v>3.4943873232557756</v>
      </c>
    </row>
    <row r="347" spans="2:8" x14ac:dyDescent="0.2">
      <c r="B347" s="1">
        <v>340</v>
      </c>
      <c r="C347" s="2">
        <v>2821.4649929908819</v>
      </c>
      <c r="D347" s="3"/>
      <c r="E347" s="5">
        <f t="shared" si="10"/>
        <v>51.512622970519153</v>
      </c>
      <c r="F347" s="16">
        <v>260.55425700628848</v>
      </c>
      <c r="G347" s="3"/>
      <c r="H347" s="5">
        <f t="shared" si="11"/>
        <v>10.155836482071235</v>
      </c>
    </row>
    <row r="348" spans="2:8" x14ac:dyDescent="0.2">
      <c r="B348" s="1">
        <v>341</v>
      </c>
      <c r="C348" s="2">
        <v>2821.7939269127055</v>
      </c>
      <c r="D348" s="3"/>
      <c r="E348" s="5">
        <f t="shared" si="10"/>
        <v>51.518628449636985</v>
      </c>
      <c r="F348" s="16">
        <v>688.28355225073801</v>
      </c>
      <c r="G348" s="3"/>
      <c r="H348" s="5">
        <f t="shared" si="11"/>
        <v>26.827791225798016</v>
      </c>
    </row>
    <row r="349" spans="2:8" x14ac:dyDescent="0.2">
      <c r="B349" s="1">
        <v>342</v>
      </c>
      <c r="C349" s="2">
        <v>2822.1320508307526</v>
      </c>
      <c r="D349" s="3"/>
      <c r="E349" s="5">
        <f t="shared" si="10"/>
        <v>51.524801714217958</v>
      </c>
      <c r="F349" s="16">
        <v>944.78036583245466</v>
      </c>
      <c r="G349" s="3"/>
      <c r="H349" s="5">
        <f t="shared" si="11"/>
        <v>36.825477415378685</v>
      </c>
    </row>
    <row r="350" spans="2:8" x14ac:dyDescent="0.2">
      <c r="B350" s="1">
        <v>343</v>
      </c>
      <c r="C350" s="2">
        <v>2822.4793204729895</v>
      </c>
      <c r="D350" s="3"/>
      <c r="E350" s="5">
        <f t="shared" si="10"/>
        <v>51.531141955969701</v>
      </c>
      <c r="F350" s="16">
        <v>1201.2680336899816</v>
      </c>
      <c r="G350" s="3"/>
      <c r="H350" s="5">
        <f t="shared" si="11"/>
        <v>46.822807124583832</v>
      </c>
    </row>
    <row r="351" spans="2:8" x14ac:dyDescent="0.2">
      <c r="B351" s="1">
        <v>344</v>
      </c>
      <c r="C351" s="2">
        <v>2822.8356917125675</v>
      </c>
      <c r="D351" s="3"/>
      <c r="E351" s="5">
        <f t="shared" si="10"/>
        <v>51.537648369250583</v>
      </c>
      <c r="F351" s="16">
        <v>1457.7465999501674</v>
      </c>
      <c r="G351" s="3"/>
      <c r="H351" s="5">
        <f t="shared" si="11"/>
        <v>56.819782073381745</v>
      </c>
    </row>
    <row r="352" spans="2:8" x14ac:dyDescent="0.2">
      <c r="B352" s="1">
        <v>345</v>
      </c>
      <c r="C352" s="2">
        <v>2823.2011205674157</v>
      </c>
      <c r="D352" s="3"/>
      <c r="E352" s="5">
        <f t="shared" si="10"/>
        <v>51.544320151062195</v>
      </c>
      <c r="F352" s="16">
        <v>1714.2161085950834</v>
      </c>
      <c r="G352" s="3"/>
      <c r="H352" s="5">
        <f t="shared" si="11"/>
        <v>66.816403976097618</v>
      </c>
    </row>
    <row r="353" spans="2:8" x14ac:dyDescent="0.2">
      <c r="B353" s="1">
        <v>346</v>
      </c>
      <c r="C353" s="2">
        <v>2823.5755631998773</v>
      </c>
      <c r="D353" s="3"/>
      <c r="E353" s="5">
        <f t="shared" si="10"/>
        <v>51.55115650104279</v>
      </c>
      <c r="F353" s="16">
        <v>1970.6766034623861</v>
      </c>
      <c r="G353" s="3"/>
      <c r="H353" s="5">
        <f t="shared" si="11"/>
        <v>76.81267454142764</v>
      </c>
    </row>
    <row r="354" spans="2:8" x14ac:dyDescent="0.2">
      <c r="B354" s="1">
        <v>347</v>
      </c>
      <c r="C354" s="2">
        <v>2823.95897591631</v>
      </c>
      <c r="D354" s="3"/>
      <c r="E354" s="5">
        <f t="shared" si="10"/>
        <v>51.558156621459936</v>
      </c>
      <c r="F354" s="16">
        <v>2227.1281282457176</v>
      </c>
      <c r="G354" s="3"/>
      <c r="H354" s="5">
        <f t="shared" si="11"/>
        <v>86.808595472454655</v>
      </c>
    </row>
    <row r="355" spans="2:8" x14ac:dyDescent="0.2">
      <c r="B355" s="1">
        <v>348</v>
      </c>
      <c r="C355" s="2">
        <v>2824.351315166703</v>
      </c>
      <c r="D355" s="3"/>
      <c r="E355" s="5">
        <f t="shared" si="10"/>
        <v>51.565319717203543</v>
      </c>
      <c r="F355" s="16">
        <v>2483.5707264950879</v>
      </c>
      <c r="G355" s="3"/>
      <c r="H355" s="5">
        <f t="shared" si="11"/>
        <v>96.804168466663057</v>
      </c>
    </row>
    <row r="356" spans="2:8" x14ac:dyDescent="0.2">
      <c r="B356" s="1">
        <v>349</v>
      </c>
      <c r="C356" s="2">
        <v>2824.7525375442974</v>
      </c>
      <c r="D356" s="3"/>
      <c r="E356" s="5">
        <f t="shared" si="10"/>
        <v>51.57264499577893</v>
      </c>
      <c r="F356" s="16">
        <v>2740.0044416172595</v>
      </c>
      <c r="G356" s="3"/>
      <c r="H356" s="5">
        <f t="shared" si="11"/>
        <v>106.79939521595374</v>
      </c>
    </row>
    <row r="357" spans="2:8" x14ac:dyDescent="0.2">
      <c r="B357" s="1">
        <v>350</v>
      </c>
      <c r="C357" s="2">
        <v>2825.162599785207</v>
      </c>
      <c r="D357" s="3"/>
      <c r="E357" s="5">
        <f t="shared" si="10"/>
        <v>51.580131667299895</v>
      </c>
      <c r="F357" s="16">
        <v>2996.4293168761142</v>
      </c>
      <c r="G357" s="3"/>
      <c r="H357" s="5">
        <f t="shared" si="11"/>
        <v>116.79427740665841</v>
      </c>
    </row>
    <row r="358" spans="2:8" x14ac:dyDescent="0.2">
      <c r="B358" s="1">
        <v>351</v>
      </c>
      <c r="C358" s="2">
        <v>2825.5814587680275</v>
      </c>
      <c r="D358" s="3"/>
      <c r="E358" s="5">
        <f t="shared" si="10"/>
        <v>51.587778944481585</v>
      </c>
      <c r="F358" s="16">
        <v>2824.7871662267839</v>
      </c>
      <c r="G358" s="3"/>
      <c r="H358" s="5">
        <f t="shared" si="11"/>
        <v>110.10404084919712</v>
      </c>
    </row>
    <row r="359" spans="2:8" x14ac:dyDescent="0.2">
      <c r="B359" s="1">
        <v>352</v>
      </c>
      <c r="C359" s="2">
        <v>2826.009071513462</v>
      </c>
      <c r="D359" s="3"/>
      <c r="E359" s="5">
        <f t="shared" si="10"/>
        <v>51.595586042633677</v>
      </c>
      <c r="F359" s="16">
        <v>3052.6572757033618</v>
      </c>
      <c r="G359" s="3"/>
      <c r="H359" s="5">
        <f t="shared" si="11"/>
        <v>118.98592056816845</v>
      </c>
    </row>
    <row r="360" spans="2:8" x14ac:dyDescent="0.2">
      <c r="B360" s="1">
        <v>353</v>
      </c>
      <c r="C360" s="2">
        <v>2826.4453951839391</v>
      </c>
      <c r="D360" s="3"/>
      <c r="E360" s="5">
        <f t="shared" si="10"/>
        <v>51.603552179653356</v>
      </c>
      <c r="F360" s="16">
        <v>3851.2629798099292</v>
      </c>
      <c r="G360" s="3"/>
      <c r="H360" s="5">
        <f t="shared" si="11"/>
        <v>150.11382858143079</v>
      </c>
    </row>
    <row r="361" spans="2:8" x14ac:dyDescent="0.2">
      <c r="B361" s="1">
        <v>354</v>
      </c>
      <c r="C361" s="2">
        <v>2826.8903870832396</v>
      </c>
      <c r="D361" s="3"/>
      <c r="E361" s="5">
        <f t="shared" si="10"/>
        <v>51.61167657601856</v>
      </c>
      <c r="F361" s="16">
        <v>3679.5946962441189</v>
      </c>
      <c r="G361" s="3"/>
      <c r="H361" s="5">
        <f t="shared" si="11"/>
        <v>143.42257341989978</v>
      </c>
    </row>
    <row r="362" spans="2:8" x14ac:dyDescent="0.2">
      <c r="B362" s="1">
        <v>355</v>
      </c>
      <c r="C362" s="2">
        <v>2827.3440046561077</v>
      </c>
      <c r="D362" s="3"/>
      <c r="E362" s="5">
        <f t="shared" si="10"/>
        <v>51.619958454780836</v>
      </c>
      <c r="F362" s="16">
        <v>4021.5876620042704</v>
      </c>
      <c r="G362" s="3"/>
      <c r="H362" s="5">
        <f t="shared" si="11"/>
        <v>156.75271309286185</v>
      </c>
    </row>
    <row r="363" spans="2:8" x14ac:dyDescent="0.2">
      <c r="B363" s="1">
        <v>356</v>
      </c>
      <c r="C363" s="2">
        <v>2827.8062054878797</v>
      </c>
      <c r="D363" s="3"/>
      <c r="E363" s="5">
        <f t="shared" si="10"/>
        <v>51.628397041558578</v>
      </c>
      <c r="F363" s="16">
        <v>3678.6788778394789</v>
      </c>
      <c r="G363" s="3"/>
      <c r="H363" s="5">
        <f t="shared" si="11"/>
        <v>143.38687681654483</v>
      </c>
    </row>
    <row r="364" spans="2:8" x14ac:dyDescent="0.2">
      <c r="B364" s="1">
        <v>357</v>
      </c>
      <c r="C364" s="2">
        <v>2828.2769473041085</v>
      </c>
      <c r="D364" s="3"/>
      <c r="E364" s="5">
        <f t="shared" si="10"/>
        <v>51.636991564530192</v>
      </c>
      <c r="F364" s="16">
        <v>4191.8780110227781</v>
      </c>
      <c r="G364" s="3"/>
      <c r="H364" s="5">
        <f t="shared" si="11"/>
        <v>163.39025937200427</v>
      </c>
    </row>
    <row r="365" spans="2:8" x14ac:dyDescent="0.2">
      <c r="B365" s="1">
        <v>358</v>
      </c>
      <c r="C365" s="2">
        <v>2828.7561879701889</v>
      </c>
      <c r="D365" s="3"/>
      <c r="E365" s="5">
        <f t="shared" si="10"/>
        <v>51.6457412544272</v>
      </c>
      <c r="F365" s="16">
        <v>3335.282312024151</v>
      </c>
      <c r="G365" s="3"/>
      <c r="H365" s="5">
        <f t="shared" si="11"/>
        <v>130.00202787569214</v>
      </c>
    </row>
    <row r="366" spans="2:8" x14ac:dyDescent="0.2">
      <c r="B366" s="1">
        <v>359</v>
      </c>
      <c r="C366" s="2">
        <v>2829.2438854909742</v>
      </c>
      <c r="D366" s="3"/>
      <c r="E366" s="5">
        <f t="shared" si="10"/>
        <v>51.654645344527303</v>
      </c>
      <c r="F366" s="16">
        <v>2478.6781561708167</v>
      </c>
      <c r="G366" s="3"/>
      <c r="H366" s="5">
        <f t="shared" si="11"/>
        <v>96.613466749633986</v>
      </c>
    </row>
    <row r="367" spans="2:8" x14ac:dyDescent="0.2">
      <c r="B367" s="1">
        <v>360</v>
      </c>
      <c r="C367" s="2">
        <v>2829.7399980104165</v>
      </c>
      <c r="D367" s="3"/>
      <c r="E367" s="5">
        <f t="shared" si="10"/>
        <v>51.663703070647763</v>
      </c>
      <c r="F367" s="16">
        <v>1622.0655853188282</v>
      </c>
      <c r="G367" s="3"/>
      <c r="H367" s="5">
        <f t="shared" si="11"/>
        <v>63.224577625287466</v>
      </c>
    </row>
    <row r="368" spans="2:8" x14ac:dyDescent="0.2">
      <c r="B368" s="1">
        <v>361</v>
      </c>
      <c r="C368" s="2">
        <v>2830.2444838111769</v>
      </c>
      <c r="D368" s="3"/>
      <c r="E368" s="5">
        <f t="shared" si="10"/>
        <v>51.672913671138332</v>
      </c>
      <c r="F368" s="16">
        <v>80.551474519483691</v>
      </c>
      <c r="G368" s="3"/>
      <c r="H368" s="5">
        <f t="shared" si="11"/>
        <v>3.1397207361300561</v>
      </c>
    </row>
    <row r="369" spans="2:8" x14ac:dyDescent="0.2">
      <c r="B369" s="1">
        <v>362</v>
      </c>
      <c r="C369" s="2">
        <v>2739.5726666641513</v>
      </c>
      <c r="D369" s="3"/>
      <c r="E369" s="5">
        <f t="shared" si="10"/>
        <v>50.017481779426149</v>
      </c>
      <c r="F369" s="16">
        <v>0</v>
      </c>
      <c r="G369" s="3"/>
      <c r="H369" s="5">
        <f t="shared" si="11"/>
        <v>0</v>
      </c>
    </row>
    <row r="370" spans="2:8" x14ac:dyDescent="0.2">
      <c r="B370" s="1">
        <v>363</v>
      </c>
      <c r="C370" s="2">
        <v>2831.3781838697428</v>
      </c>
      <c r="D370" s="3"/>
      <c r="E370" s="5">
        <f t="shared" si="10"/>
        <v>51.6936120898051</v>
      </c>
      <c r="F370" s="16">
        <v>113.66243279421951</v>
      </c>
      <c r="G370" s="3"/>
      <c r="H370" s="5">
        <f t="shared" si="11"/>
        <v>4.4303136508901657</v>
      </c>
    </row>
    <row r="371" spans="2:8" x14ac:dyDescent="0.2">
      <c r="B371" s="1">
        <v>364</v>
      </c>
      <c r="C371" s="2">
        <v>2831.9070821727937</v>
      </c>
      <c r="D371" s="3"/>
      <c r="E371" s="5">
        <f t="shared" si="10"/>
        <v>51.703268399184267</v>
      </c>
      <c r="F371" s="16">
        <v>250.11216782437668</v>
      </c>
      <c r="G371" s="3"/>
      <c r="H371" s="5">
        <f t="shared" si="11"/>
        <v>9.7488266274591044</v>
      </c>
    </row>
    <row r="372" spans="2:8" x14ac:dyDescent="0.2">
      <c r="B372" s="1">
        <v>365</v>
      </c>
      <c r="C372" s="2">
        <v>2832.4441897416264</v>
      </c>
      <c r="D372" s="3"/>
      <c r="E372" s="5">
        <f t="shared" si="10"/>
        <v>51.713074588435816</v>
      </c>
      <c r="F372" s="16">
        <v>567.56117335048975</v>
      </c>
      <c r="G372" s="3"/>
      <c r="H372" s="5">
        <f t="shared" si="11"/>
        <v>22.122296278509641</v>
      </c>
    </row>
    <row r="373" spans="2:8" x14ac:dyDescent="0.2">
      <c r="B373" s="1">
        <v>366</v>
      </c>
      <c r="C373" s="2">
        <v>2832.9894655430567</v>
      </c>
      <c r="D373" s="3"/>
      <c r="E373" s="5">
        <f t="shared" si="10"/>
        <v>51.72302990840037</v>
      </c>
      <c r="F373" s="16">
        <v>787.16012969171425</v>
      </c>
      <c r="G373" s="3"/>
      <c r="H373" s="5">
        <f t="shared" si="11"/>
        <v>30.681784493592421</v>
      </c>
    </row>
    <row r="374" spans="2:8" x14ac:dyDescent="0.2">
      <c r="B374" s="1">
        <v>367</v>
      </c>
      <c r="C374" s="2">
        <v>2833.5428686804039</v>
      </c>
      <c r="D374" s="3"/>
      <c r="E374" s="5">
        <f t="shared" si="10"/>
        <v>51.733133612410768</v>
      </c>
      <c r="F374" s="16">
        <v>1006.7509586970218</v>
      </c>
      <c r="G374" s="3"/>
      <c r="H374" s="5">
        <f t="shared" si="11"/>
        <v>39.240955922852713</v>
      </c>
    </row>
    <row r="375" spans="2:8" x14ac:dyDescent="0.2">
      <c r="B375" s="1">
        <v>368</v>
      </c>
      <c r="C375" s="2">
        <v>2834.1043583931205</v>
      </c>
      <c r="D375" s="3"/>
      <c r="E375" s="5">
        <f t="shared" si="10"/>
        <v>51.743384956285261</v>
      </c>
      <c r="F375" s="16">
        <v>1226.3337011269605</v>
      </c>
      <c r="G375" s="3"/>
      <c r="H375" s="5">
        <f t="shared" si="11"/>
        <v>47.799812155047761</v>
      </c>
    </row>
    <row r="376" spans="2:8" x14ac:dyDescent="0.2">
      <c r="B376" s="1">
        <v>369</v>
      </c>
      <c r="C376" s="2">
        <v>2834.6738940564337</v>
      </c>
      <c r="D376" s="3"/>
      <c r="E376" s="5">
        <f t="shared" si="10"/>
        <v>51.75378319832101</v>
      </c>
      <c r="F376" s="16">
        <v>1445.9083976063021</v>
      </c>
      <c r="G376" s="3"/>
      <c r="H376" s="5">
        <f t="shared" si="11"/>
        <v>56.358354773642532</v>
      </c>
    </row>
    <row r="377" spans="2:8" x14ac:dyDescent="0.2">
      <c r="B377" s="1">
        <v>370</v>
      </c>
      <c r="C377" s="2">
        <v>2835.2514351809741</v>
      </c>
      <c r="D377" s="3"/>
      <c r="E377" s="5">
        <f t="shared" si="10"/>
        <v>51.764327599287292</v>
      </c>
      <c r="F377" s="16">
        <v>1665.4750886244174</v>
      </c>
      <c r="G377" s="3"/>
      <c r="H377" s="5">
        <f t="shared" si="11"/>
        <v>64.91658535682437</v>
      </c>
    </row>
    <row r="378" spans="2:8" x14ac:dyDescent="0.2">
      <c r="B378" s="1">
        <v>371</v>
      </c>
      <c r="C378" s="2">
        <v>2835.8369414124104</v>
      </c>
      <c r="D378" s="3"/>
      <c r="E378" s="5">
        <f t="shared" si="10"/>
        <v>51.77501742241882</v>
      </c>
      <c r="F378" s="16">
        <v>1885.0338145356359</v>
      </c>
      <c r="G378" s="3"/>
      <c r="H378" s="5">
        <f t="shared" si="11"/>
        <v>73.474505477516985</v>
      </c>
    </row>
    <row r="379" spans="2:8" x14ac:dyDescent="0.2">
      <c r="B379" s="1">
        <v>372</v>
      </c>
      <c r="C379" s="2">
        <v>2836.4303725310901</v>
      </c>
      <c r="D379" s="3"/>
      <c r="E379" s="5">
        <f t="shared" si="10"/>
        <v>51.785851933409198</v>
      </c>
      <c r="F379" s="16">
        <v>2104.5846155596109</v>
      </c>
      <c r="G379" s="3"/>
      <c r="H379" s="5">
        <f t="shared" si="11"/>
        <v>82.032116703394735</v>
      </c>
    </row>
    <row r="380" spans="2:8" x14ac:dyDescent="0.2">
      <c r="B380" s="1">
        <v>373</v>
      </c>
      <c r="C380" s="2">
        <v>2837.0316884516742</v>
      </c>
      <c r="D380" s="3"/>
      <c r="E380" s="5">
        <f t="shared" si="10"/>
        <v>51.796830400404239</v>
      </c>
      <c r="F380" s="16">
        <v>2324.1275317816817</v>
      </c>
      <c r="G380" s="3"/>
      <c r="H380" s="5">
        <f t="shared" si="11"/>
        <v>90.589420596896659</v>
      </c>
    </row>
    <row r="381" spans="2:8" x14ac:dyDescent="0.2">
      <c r="B381" s="1">
        <v>374</v>
      </c>
      <c r="C381" s="2">
        <v>2837.6408492227697</v>
      </c>
      <c r="D381" s="3"/>
      <c r="E381" s="5">
        <f t="shared" si="10"/>
        <v>51.807952093995276</v>
      </c>
      <c r="F381" s="16">
        <v>2543.662603153241</v>
      </c>
      <c r="G381" s="3"/>
      <c r="H381" s="5">
        <f t="shared" si="11"/>
        <v>99.146418715240912</v>
      </c>
    </row>
    <row r="382" spans="2:8" x14ac:dyDescent="0.2">
      <c r="B382" s="1">
        <v>375</v>
      </c>
      <c r="C382" s="2">
        <v>2838.2578150265758</v>
      </c>
      <c r="D382" s="3"/>
      <c r="E382" s="5">
        <f t="shared" si="10"/>
        <v>51.819216287212669</v>
      </c>
      <c r="F382" s="16">
        <v>2763.1898694920906</v>
      </c>
      <c r="G382" s="3"/>
      <c r="H382" s="5">
        <f t="shared" si="11"/>
        <v>107.70311261043851</v>
      </c>
    </row>
    <row r="383" spans="2:8" x14ac:dyDescent="0.2">
      <c r="B383" s="1">
        <v>376</v>
      </c>
      <c r="C383" s="2">
        <v>2838.8825461785182</v>
      </c>
      <c r="D383" s="3"/>
      <c r="E383" s="5">
        <f t="shared" si="10"/>
        <v>51.830622255519167</v>
      </c>
      <c r="F383" s="16">
        <v>2982.709370482803</v>
      </c>
      <c r="G383" s="3"/>
      <c r="H383" s="5">
        <f t="shared" si="11"/>
        <v>116.25950382930753</v>
      </c>
    </row>
    <row r="384" spans="2:8" x14ac:dyDescent="0.2">
      <c r="B384" s="1">
        <v>377</v>
      </c>
      <c r="C384" s="2">
        <v>2839.5150031268854</v>
      </c>
      <c r="D384" s="3"/>
      <c r="E384" s="5">
        <f t="shared" si="10"/>
        <v>51.84216927680324</v>
      </c>
      <c r="F384" s="16">
        <v>2810.853621867926</v>
      </c>
      <c r="G384" s="3"/>
      <c r="H384" s="5">
        <f t="shared" si="11"/>
        <v>109.56094168915986</v>
      </c>
    </row>
    <row r="385" spans="2:8" x14ac:dyDescent="0.2">
      <c r="B385" s="1">
        <v>378</v>
      </c>
      <c r="C385" s="2">
        <v>2840.1551464524832</v>
      </c>
      <c r="D385" s="3"/>
      <c r="E385" s="5">
        <f t="shared" si="10"/>
        <v>51.853856631372771</v>
      </c>
      <c r="F385" s="16">
        <v>3152.6600618753478</v>
      </c>
      <c r="G385" s="3"/>
      <c r="H385" s="5">
        <f t="shared" si="11"/>
        <v>122.88381099522722</v>
      </c>
    </row>
    <row r="386" spans="2:8" x14ac:dyDescent="0.2">
      <c r="B386" s="1">
        <v>379</v>
      </c>
      <c r="C386" s="2">
        <v>2840.8029368682596</v>
      </c>
      <c r="D386" s="3"/>
      <c r="E386" s="5">
        <f t="shared" si="10"/>
        <v>51.865683601948234</v>
      </c>
      <c r="F386" s="16">
        <v>3494.45885479259</v>
      </c>
      <c r="G386" s="3"/>
      <c r="H386" s="5">
        <f t="shared" si="11"/>
        <v>136.20638223440318</v>
      </c>
    </row>
    <row r="387" spans="2:8" x14ac:dyDescent="0.2">
      <c r="B387" s="1">
        <v>380</v>
      </c>
      <c r="C387" s="2">
        <v>2841.4583352189611</v>
      </c>
      <c r="D387" s="3"/>
      <c r="E387" s="5">
        <f t="shared" si="10"/>
        <v>51.87764947365639</v>
      </c>
      <c r="F387" s="16">
        <v>3665.0267481083974</v>
      </c>
      <c r="G387" s="3"/>
      <c r="H387" s="5">
        <f t="shared" si="11"/>
        <v>142.8547465847308</v>
      </c>
    </row>
    <row r="388" spans="2:8" x14ac:dyDescent="0.2">
      <c r="B388" s="1">
        <v>381</v>
      </c>
      <c r="C388" s="2">
        <v>2842.1213024807676</v>
      </c>
      <c r="D388" s="3"/>
      <c r="E388" s="5">
        <f t="shared" si="10"/>
        <v>51.88975353402364</v>
      </c>
      <c r="F388" s="16">
        <v>4178.0336558461195</v>
      </c>
      <c r="G388" s="3"/>
      <c r="H388" s="5">
        <f t="shared" si="11"/>
        <v>162.85063661170344</v>
      </c>
    </row>
    <row r="389" spans="2:8" x14ac:dyDescent="0.2">
      <c r="B389" s="1">
        <v>382</v>
      </c>
      <c r="C389" s="2">
        <v>2842.7917997609347</v>
      </c>
      <c r="D389" s="3"/>
      <c r="E389" s="5">
        <f t="shared" si="10"/>
        <v>51.901995072969477</v>
      </c>
      <c r="F389" s="16">
        <v>3321.2467002334051</v>
      </c>
      <c r="G389" s="3"/>
      <c r="H389" s="5">
        <f t="shared" si="11"/>
        <v>129.45495034984228</v>
      </c>
    </row>
    <row r="390" spans="2:8" x14ac:dyDescent="0.2">
      <c r="B390" s="1">
        <v>383</v>
      </c>
      <c r="C390" s="2">
        <v>2843.4697882974478</v>
      </c>
      <c r="D390" s="3"/>
      <c r="E390" s="5">
        <f t="shared" si="10"/>
        <v>51.914373382800179</v>
      </c>
      <c r="F390" s="16">
        <v>2464.4522533643431</v>
      </c>
      <c r="G390" s="3"/>
      <c r="H390" s="5">
        <f t="shared" si="11"/>
        <v>96.058972095152498</v>
      </c>
    </row>
    <row r="391" spans="2:8" x14ac:dyDescent="0.2">
      <c r="B391" s="1">
        <v>384</v>
      </c>
      <c r="C391" s="2">
        <v>2844.1552294586641</v>
      </c>
      <c r="D391" s="3"/>
      <c r="E391" s="5">
        <f t="shared" si="10"/>
        <v>51.926887758202291</v>
      </c>
      <c r="F391" s="16">
        <v>1607.6503538705806</v>
      </c>
      <c r="G391" s="3"/>
      <c r="H391" s="5">
        <f t="shared" si="11"/>
        <v>62.662703353411416</v>
      </c>
    </row>
    <row r="392" spans="2:8" x14ac:dyDescent="0.2">
      <c r="B392" s="1">
        <v>385</v>
      </c>
      <c r="C392" s="2">
        <v>2844.8480847429532</v>
      </c>
      <c r="D392" s="3"/>
      <c r="E392" s="5">
        <f t="shared" si="10"/>
        <v>51.939537496236042</v>
      </c>
      <c r="F392" s="16">
        <v>65.947873587707363</v>
      </c>
      <c r="G392" s="3"/>
      <c r="H392" s="5">
        <f t="shared" si="11"/>
        <v>2.570504232755237</v>
      </c>
    </row>
    <row r="393" spans="2:8" x14ac:dyDescent="0.2">
      <c r="B393" s="1">
        <v>386</v>
      </c>
      <c r="C393" s="2">
        <v>2739.5726666641513</v>
      </c>
      <c r="D393" s="3"/>
      <c r="E393" s="5">
        <f t="shared" ref="E393:E456" si="12">$D$5*C393</f>
        <v>50.017481779426149</v>
      </c>
      <c r="F393" s="16">
        <v>0</v>
      </c>
      <c r="G393" s="3"/>
      <c r="H393" s="5">
        <f t="shared" ref="H393:H456" si="13">$G$5*F393</f>
        <v>0</v>
      </c>
    </row>
    <row r="394" spans="2:8" x14ac:dyDescent="0.2">
      <c r="B394" s="1">
        <v>387</v>
      </c>
      <c r="C394" s="2">
        <v>2846.4029462591038</v>
      </c>
      <c r="D394" s="3"/>
      <c r="E394" s="5">
        <f t="shared" si="12"/>
        <v>51.967925229293797</v>
      </c>
      <c r="F394" s="16">
        <v>64.393012071556768</v>
      </c>
      <c r="G394" s="3"/>
      <c r="H394" s="5">
        <f t="shared" si="13"/>
        <v>2.5098991231257686</v>
      </c>
    </row>
    <row r="395" spans="2:8" x14ac:dyDescent="0.2">
      <c r="B395" s="1">
        <v>388</v>
      </c>
      <c r="C395" s="2">
        <v>2847.1171385442572</v>
      </c>
      <c r="D395" s="3"/>
      <c r="E395" s="5">
        <f t="shared" si="12"/>
        <v>51.980964525547677</v>
      </c>
      <c r="F395" s="16">
        <v>234.90211145291323</v>
      </c>
      <c r="G395" s="3"/>
      <c r="H395" s="5">
        <f t="shared" si="13"/>
        <v>9.1559718141603117</v>
      </c>
    </row>
    <row r="396" spans="2:8" x14ac:dyDescent="0.2">
      <c r="B396" s="1">
        <v>389</v>
      </c>
      <c r="C396" s="2">
        <v>2847.8385944116399</v>
      </c>
      <c r="D396" s="3"/>
      <c r="E396" s="5">
        <f t="shared" si="12"/>
        <v>51.994136435948363</v>
      </c>
      <c r="F396" s="16">
        <v>602.96928379031988</v>
      </c>
      <c r="G396" s="3"/>
      <c r="H396" s="5">
        <f t="shared" si="13"/>
        <v>23.502427172925827</v>
      </c>
    </row>
    <row r="397" spans="2:8" x14ac:dyDescent="0.2">
      <c r="B397" s="1">
        <v>390</v>
      </c>
      <c r="C397" s="2">
        <v>2848.5672759987247</v>
      </c>
      <c r="D397" s="3"/>
      <c r="E397" s="5">
        <f t="shared" si="12"/>
        <v>52.007440269224446</v>
      </c>
      <c r="F397" s="16">
        <v>839.31900604917109</v>
      </c>
      <c r="G397" s="3"/>
      <c r="H397" s="5">
        <f t="shared" si="13"/>
        <v>32.714823698022379</v>
      </c>
    </row>
    <row r="398" spans="2:8" x14ac:dyDescent="0.2">
      <c r="B398" s="1">
        <v>391</v>
      </c>
      <c r="C398" s="2">
        <v>2849.3031455709111</v>
      </c>
      <c r="D398" s="3"/>
      <c r="E398" s="5">
        <f t="shared" si="12"/>
        <v>52.020875336440128</v>
      </c>
      <c r="F398" s="16">
        <v>1075.6615403229202</v>
      </c>
      <c r="G398" s="3"/>
      <c r="H398" s="5">
        <f t="shared" si="13"/>
        <v>41.926940051141806</v>
      </c>
    </row>
    <row r="399" spans="2:8" x14ac:dyDescent="0.2">
      <c r="B399" s="1">
        <v>392</v>
      </c>
      <c r="C399" s="2">
        <v>2850.0461655211725</v>
      </c>
      <c r="D399" s="3"/>
      <c r="E399" s="5">
        <f t="shared" si="12"/>
        <v>52.034440950988767</v>
      </c>
      <c r="F399" s="16">
        <v>1311.9969242185948</v>
      </c>
      <c r="G399" s="3"/>
      <c r="H399" s="5">
        <f t="shared" si="13"/>
        <v>51.138777698123995</v>
      </c>
    </row>
    <row r="400" spans="2:8" x14ac:dyDescent="0.2">
      <c r="B400" s="1">
        <v>393</v>
      </c>
      <c r="C400" s="2">
        <v>2850.7962983697175</v>
      </c>
      <c r="D400" s="3"/>
      <c r="E400" s="5">
        <f t="shared" si="12"/>
        <v>52.048136428586716</v>
      </c>
      <c r="F400" s="16">
        <v>1548.3251952159858</v>
      </c>
      <c r="G400" s="3"/>
      <c r="H400" s="5">
        <f t="shared" si="13"/>
        <v>60.350338099849438</v>
      </c>
    </row>
    <row r="401" spans="2:8" x14ac:dyDescent="0.2">
      <c r="B401" s="1">
        <v>394</v>
      </c>
      <c r="C401" s="2">
        <v>2851.5535067636288</v>
      </c>
      <c r="D401" s="3"/>
      <c r="E401" s="5">
        <f t="shared" si="12"/>
        <v>52.06196108726671</v>
      </c>
      <c r="F401" s="16">
        <v>1784.6463906680106</v>
      </c>
      <c r="G401" s="3"/>
      <c r="H401" s="5">
        <f t="shared" si="13"/>
        <v>69.561622712253353</v>
      </c>
    </row>
    <row r="402" spans="2:8" x14ac:dyDescent="0.2">
      <c r="B402" s="1">
        <v>395</v>
      </c>
      <c r="C402" s="2">
        <v>2852.3177534765396</v>
      </c>
      <c r="D402" s="3"/>
      <c r="E402" s="5">
        <f t="shared" si="12"/>
        <v>52.07591424737199</v>
      </c>
      <c r="F402" s="16">
        <v>2020.9605478010367</v>
      </c>
      <c r="G402" s="3"/>
      <c r="H402" s="5">
        <f t="shared" si="13"/>
        <v>78.772632986338337</v>
      </c>
    </row>
    <row r="403" spans="2:8" x14ac:dyDescent="0.2">
      <c r="B403" s="1">
        <v>396</v>
      </c>
      <c r="C403" s="2">
        <v>2853.0890014082606</v>
      </c>
      <c r="D403" s="3"/>
      <c r="E403" s="5">
        <f t="shared" si="12"/>
        <v>52.089995231549437</v>
      </c>
      <c r="F403" s="16">
        <v>2257.2677037152516</v>
      </c>
      <c r="G403" s="3"/>
      <c r="H403" s="5">
        <f t="shared" si="13"/>
        <v>87.98337036818873</v>
      </c>
    </row>
    <row r="404" spans="2:8" x14ac:dyDescent="0.2">
      <c r="B404" s="1">
        <v>397</v>
      </c>
      <c r="C404" s="2">
        <v>2853.867213584459</v>
      </c>
      <c r="D404" s="3"/>
      <c r="E404" s="5">
        <f t="shared" si="12"/>
        <v>52.104203364743775</v>
      </c>
      <c r="F404" s="16">
        <v>2493.5678953849883</v>
      </c>
      <c r="G404" s="3"/>
      <c r="H404" s="5">
        <f t="shared" si="13"/>
        <v>97.193836298983399</v>
      </c>
    </row>
    <row r="405" spans="2:8" x14ac:dyDescent="0.2">
      <c r="B405" s="1">
        <v>398</v>
      </c>
      <c r="C405" s="2">
        <v>2854.0351221394103</v>
      </c>
      <c r="D405" s="3"/>
      <c r="E405" s="5">
        <f t="shared" si="12"/>
        <v>52.107268938871478</v>
      </c>
      <c r="F405" s="16">
        <v>2730.478390675974</v>
      </c>
      <c r="G405" s="3"/>
      <c r="H405" s="5">
        <f t="shared" si="13"/>
        <v>106.42809053342367</v>
      </c>
    </row>
    <row r="406" spans="2:8" x14ac:dyDescent="0.2">
      <c r="B406" s="1">
        <v>399</v>
      </c>
      <c r="C406" s="2">
        <v>2853.9468131314998</v>
      </c>
      <c r="D406" s="3"/>
      <c r="E406" s="5">
        <f t="shared" si="12"/>
        <v>52.105656645739828</v>
      </c>
      <c r="F406" s="16">
        <v>2967.6451035298214</v>
      </c>
      <c r="G406" s="3"/>
      <c r="H406" s="5">
        <f t="shared" si="13"/>
        <v>115.6723315694697</v>
      </c>
    </row>
    <row r="407" spans="2:8" x14ac:dyDescent="0.2">
      <c r="B407" s="1">
        <v>400</v>
      </c>
      <c r="C407" s="2">
        <v>2853.8670261295269</v>
      </c>
      <c r="D407" s="3"/>
      <c r="E407" s="5">
        <f t="shared" si="12"/>
        <v>52.104199942303566</v>
      </c>
      <c r="F407" s="16">
        <v>2796.5015988652844</v>
      </c>
      <c r="G407" s="3"/>
      <c r="H407" s="5">
        <f t="shared" si="13"/>
        <v>109.0015311445905</v>
      </c>
    </row>
    <row r="408" spans="2:8" x14ac:dyDescent="0.2">
      <c r="B408" s="1">
        <v>401</v>
      </c>
      <c r="C408" s="2">
        <v>2853.7957225655191</v>
      </c>
      <c r="D408" s="3"/>
      <c r="E408" s="5">
        <f t="shared" si="12"/>
        <v>52.102898124411688</v>
      </c>
      <c r="F408" s="16">
        <v>3104.7748274290097</v>
      </c>
      <c r="G408" s="3"/>
      <c r="H408" s="5">
        <f t="shared" si="13"/>
        <v>121.0173490286092</v>
      </c>
    </row>
    <row r="409" spans="2:8" x14ac:dyDescent="0.2">
      <c r="B409" s="1">
        <v>402</v>
      </c>
      <c r="C409" s="2">
        <v>2853.7328639947063</v>
      </c>
      <c r="D409" s="3"/>
      <c r="E409" s="5">
        <f t="shared" si="12"/>
        <v>52.101750490162537</v>
      </c>
      <c r="F409" s="16">
        <v>3413.0396109995399</v>
      </c>
      <c r="G409" s="3"/>
      <c r="H409" s="5">
        <f t="shared" si="13"/>
        <v>133.03283774521776</v>
      </c>
    </row>
    <row r="410" spans="2:8" x14ac:dyDescent="0.2">
      <c r="B410" s="1">
        <v>403</v>
      </c>
      <c r="C410" s="2">
        <v>2853.6784120952084</v>
      </c>
      <c r="D410" s="3"/>
      <c r="E410" s="5">
        <f t="shared" si="12"/>
        <v>52.100756339898105</v>
      </c>
      <c r="F410" s="16">
        <v>3995.2532545651698</v>
      </c>
      <c r="G410" s="3"/>
      <c r="H410" s="5">
        <f t="shared" si="13"/>
        <v>155.7262553451487</v>
      </c>
    </row>
    <row r="411" spans="2:8" x14ac:dyDescent="0.2">
      <c r="B411" s="1">
        <v>404</v>
      </c>
      <c r="C411" s="2">
        <v>2853.6323286677143</v>
      </c>
      <c r="D411" s="3"/>
      <c r="E411" s="5">
        <f t="shared" si="12"/>
        <v>52.099914976198185</v>
      </c>
      <c r="F411" s="16">
        <v>3995.2993379926638</v>
      </c>
      <c r="G411" s="3"/>
      <c r="H411" s="5">
        <f t="shared" si="13"/>
        <v>155.72805157661136</v>
      </c>
    </row>
    <row r="412" spans="2:8" x14ac:dyDescent="0.2">
      <c r="B412" s="1">
        <v>405</v>
      </c>
      <c r="C412" s="2">
        <v>2853.5945756351543</v>
      </c>
      <c r="D412" s="3"/>
      <c r="E412" s="5">
        <f t="shared" si="12"/>
        <v>52.099225703874382</v>
      </c>
      <c r="F412" s="16">
        <v>4337.7836743582429</v>
      </c>
      <c r="G412" s="3"/>
      <c r="H412" s="5">
        <f t="shared" si="13"/>
        <v>169.07734380374069</v>
      </c>
    </row>
    <row r="413" spans="2:8" x14ac:dyDescent="0.2">
      <c r="B413" s="1">
        <v>406</v>
      </c>
      <c r="C413" s="2">
        <v>2853.5651150423892</v>
      </c>
      <c r="D413" s="3"/>
      <c r="E413" s="5">
        <f t="shared" si="12"/>
        <v>52.098687829964419</v>
      </c>
      <c r="F413" s="16">
        <v>3447.4520182851593</v>
      </c>
      <c r="G413" s="3"/>
      <c r="H413" s="5">
        <f t="shared" si="13"/>
        <v>134.37415830302677</v>
      </c>
    </row>
    <row r="414" spans="2:8" x14ac:dyDescent="0.2">
      <c r="B414" s="1">
        <v>407</v>
      </c>
      <c r="C414" s="2">
        <v>2853.5439090558802</v>
      </c>
      <c r="D414" s="3"/>
      <c r="E414" s="5">
        <f t="shared" si="12"/>
        <v>52.09830066372615</v>
      </c>
      <c r="F414" s="16">
        <v>2557.1121076058189</v>
      </c>
      <c r="G414" s="3"/>
      <c r="H414" s="5">
        <f t="shared" si="13"/>
        <v>99.670651055770165</v>
      </c>
    </row>
    <row r="415" spans="2:8" x14ac:dyDescent="0.2">
      <c r="B415" s="1">
        <v>408</v>
      </c>
      <c r="C415" s="2">
        <v>2853.5309199633839</v>
      </c>
      <c r="D415" s="3"/>
      <c r="E415" s="5">
        <f t="shared" si="12"/>
        <v>52.098063516631939</v>
      </c>
      <c r="F415" s="16">
        <v>1666.763980032465</v>
      </c>
      <c r="G415" s="3"/>
      <c r="H415" s="5">
        <f t="shared" si="13"/>
        <v>64.966823531911885</v>
      </c>
    </row>
    <row r="416" spans="2:8" x14ac:dyDescent="0.2">
      <c r="B416" s="1">
        <v>409</v>
      </c>
      <c r="C416" s="2">
        <v>2853.5261101736251</v>
      </c>
      <c r="D416" s="3"/>
      <c r="E416" s="5">
        <f t="shared" si="12"/>
        <v>52.097975702362746</v>
      </c>
      <c r="F416" s="16">
        <v>57.26984815703554</v>
      </c>
      <c r="G416" s="3"/>
      <c r="H416" s="5">
        <f t="shared" si="13"/>
        <v>2.2322537344759792</v>
      </c>
    </row>
    <row r="417" spans="2:8" x14ac:dyDescent="0.2">
      <c r="B417" s="1">
        <v>410</v>
      </c>
      <c r="C417" s="2">
        <v>2739.5726666641513</v>
      </c>
      <c r="D417" s="3"/>
      <c r="E417" s="5">
        <f t="shared" si="12"/>
        <v>50.017481779426149</v>
      </c>
      <c r="F417" s="16">
        <v>0</v>
      </c>
      <c r="G417" s="3"/>
      <c r="H417" s="5">
        <f t="shared" si="13"/>
        <v>0</v>
      </c>
    </row>
    <row r="418" spans="2:8" x14ac:dyDescent="0.2">
      <c r="B418" s="1">
        <v>411</v>
      </c>
      <c r="C418" s="2">
        <v>2853.7109825380753</v>
      </c>
      <c r="D418" s="3"/>
      <c r="E418" s="5">
        <f t="shared" si="12"/>
        <v>52.101350991594138</v>
      </c>
      <c r="F418" s="16">
        <v>57.084975792585283</v>
      </c>
      <c r="G418" s="3"/>
      <c r="H418" s="5">
        <f t="shared" si="13"/>
        <v>2.2250478130491596</v>
      </c>
    </row>
    <row r="419" spans="2:8" x14ac:dyDescent="0.2">
      <c r="B419" s="1">
        <v>412</v>
      </c>
      <c r="C419" s="2">
        <v>2853.7297047964698</v>
      </c>
      <c r="D419" s="3"/>
      <c r="E419" s="5">
        <f t="shared" si="12"/>
        <v>52.101692811407688</v>
      </c>
      <c r="F419" s="16">
        <v>228.28954520070056</v>
      </c>
      <c r="G419" s="3"/>
      <c r="H419" s="5">
        <f t="shared" si="13"/>
        <v>8.8982284084069612</v>
      </c>
    </row>
    <row r="420" spans="2:8" x14ac:dyDescent="0.2">
      <c r="B420" s="1">
        <v>413</v>
      </c>
      <c r="C420" s="2">
        <v>2853.7564597088294</v>
      </c>
      <c r="D420" s="3"/>
      <c r="E420" s="5">
        <f t="shared" si="12"/>
        <v>52.102181286620535</v>
      </c>
      <c r="F420" s="16">
        <v>570.70937362135965</v>
      </c>
      <c r="G420" s="3"/>
      <c r="H420" s="5">
        <f t="shared" si="13"/>
        <v>22.245006256581483</v>
      </c>
    </row>
    <row r="421" spans="2:8" x14ac:dyDescent="0.2">
      <c r="B421" s="1">
        <v>414</v>
      </c>
      <c r="C421" s="2">
        <v>2853.7912102773948</v>
      </c>
      <c r="D421" s="3"/>
      <c r="E421" s="5">
        <f t="shared" si="12"/>
        <v>52.10281574174968</v>
      </c>
      <c r="F421" s="16">
        <v>798.97234527480623</v>
      </c>
      <c r="G421" s="3"/>
      <c r="H421" s="5">
        <f t="shared" si="13"/>
        <v>31.142198886092483</v>
      </c>
    </row>
    <row r="422" spans="2:8" x14ac:dyDescent="0.2">
      <c r="B422" s="1">
        <v>415</v>
      </c>
      <c r="C422" s="2">
        <v>2853.8339196234974</v>
      </c>
      <c r="D422" s="3"/>
      <c r="E422" s="5">
        <f t="shared" si="12"/>
        <v>52.103595503486424</v>
      </c>
      <c r="F422" s="16">
        <v>1027.2273581507166</v>
      </c>
      <c r="G422" s="3"/>
      <c r="H422" s="5">
        <f t="shared" si="13"/>
        <v>40.039081299818932</v>
      </c>
    </row>
    <row r="423" spans="2:8" x14ac:dyDescent="0.2">
      <c r="B423" s="1">
        <v>416</v>
      </c>
      <c r="C423" s="2">
        <v>2853.8845509872517</v>
      </c>
      <c r="D423" s="3"/>
      <c r="E423" s="5">
        <f t="shared" si="12"/>
        <v>52.104519900690732</v>
      </c>
      <c r="F423" s="16">
        <v>1255.4744490089743</v>
      </c>
      <c r="G423" s="3"/>
      <c r="H423" s="5">
        <f t="shared" si="13"/>
        <v>48.935654930580895</v>
      </c>
    </row>
    <row r="424" spans="2:8" x14ac:dyDescent="0.2">
      <c r="B424" s="1">
        <v>417</v>
      </c>
      <c r="C424" s="2">
        <v>2853.9430677272376</v>
      </c>
      <c r="D424" s="3"/>
      <c r="E424" s="5">
        <f t="shared" si="12"/>
        <v>52.105588264385425</v>
      </c>
      <c r="F424" s="16">
        <v>1483.7136544910018</v>
      </c>
      <c r="G424" s="3"/>
      <c r="H424" s="5">
        <f t="shared" si="13"/>
        <v>57.831921206581072</v>
      </c>
    </row>
    <row r="425" spans="2:8" x14ac:dyDescent="0.2">
      <c r="B425" s="1">
        <v>418</v>
      </c>
      <c r="C425" s="2">
        <v>2854.0094333201896</v>
      </c>
      <c r="D425" s="3"/>
      <c r="E425" s="5">
        <f t="shared" si="12"/>
        <v>52.106799927750536</v>
      </c>
      <c r="F425" s="16">
        <v>1711.9450111200622</v>
      </c>
      <c r="G425" s="3"/>
      <c r="H425" s="5">
        <f t="shared" si="13"/>
        <v>66.727881551416587</v>
      </c>
    </row>
    <row r="426" spans="2:8" x14ac:dyDescent="0.2">
      <c r="B426" s="1">
        <v>419</v>
      </c>
      <c r="C426" s="2">
        <v>2854.083611360697</v>
      </c>
      <c r="D426" s="3"/>
      <c r="E426" s="5">
        <f t="shared" si="12"/>
        <v>52.108154226117811</v>
      </c>
      <c r="F426" s="16">
        <v>1940.1685553015673</v>
      </c>
      <c r="G426" s="3"/>
      <c r="H426" s="5">
        <f t="shared" si="13"/>
        <v>75.623537384090952</v>
      </c>
    </row>
    <row r="427" spans="2:8" x14ac:dyDescent="0.2">
      <c r="B427" s="1">
        <v>420</v>
      </c>
      <c r="C427" s="2">
        <v>2854.1655655608747</v>
      </c>
      <c r="D427" s="3"/>
      <c r="E427" s="5">
        <f t="shared" si="12"/>
        <v>52.109650496964733</v>
      </c>
      <c r="F427" s="16">
        <v>2168.384323323402</v>
      </c>
      <c r="G427" s="3"/>
      <c r="H427" s="5">
        <f t="shared" si="13"/>
        <v>84.51889011902675</v>
      </c>
    </row>
    <row r="428" spans="2:8" x14ac:dyDescent="0.2">
      <c r="B428" s="1">
        <v>421</v>
      </c>
      <c r="C428" s="2">
        <v>2854.2552597500689</v>
      </c>
      <c r="D428" s="3"/>
      <c r="E428" s="5">
        <f t="shared" si="12"/>
        <v>52.11128807990908</v>
      </c>
      <c r="F428" s="16">
        <v>2396.5923513562202</v>
      </c>
      <c r="G428" s="3"/>
      <c r="H428" s="5">
        <f t="shared" si="13"/>
        <v>93.41394116607718</v>
      </c>
    </row>
    <row r="429" spans="2:8" x14ac:dyDescent="0.2">
      <c r="B429" s="1">
        <v>422</v>
      </c>
      <c r="C429" s="2">
        <v>2854.3526578745386</v>
      </c>
      <c r="D429" s="3"/>
      <c r="E429" s="5">
        <f t="shared" si="12"/>
        <v>52.113066316703197</v>
      </c>
      <c r="F429" s="16">
        <v>2624.7926754537639</v>
      </c>
      <c r="G429" s="3"/>
      <c r="H429" s="5">
        <f t="shared" si="13"/>
        <v>102.3086919305384</v>
      </c>
    </row>
    <row r="430" spans="2:8" x14ac:dyDescent="0.2">
      <c r="B430" s="1">
        <v>423</v>
      </c>
      <c r="C430" s="2">
        <v>2854.457723997155</v>
      </c>
      <c r="D430" s="3"/>
      <c r="E430" s="5">
        <f t="shared" si="12"/>
        <v>52.114984551228439</v>
      </c>
      <c r="F430" s="16">
        <v>2453.4643176646368</v>
      </c>
      <c r="G430" s="3"/>
      <c r="H430" s="5">
        <f t="shared" si="13"/>
        <v>95.63068633416016</v>
      </c>
    </row>
    <row r="431" spans="2:8" x14ac:dyDescent="0.2">
      <c r="B431" s="1">
        <v>424</v>
      </c>
      <c r="C431" s="2">
        <v>2854.5704222970953</v>
      </c>
      <c r="D431" s="3"/>
      <c r="E431" s="5">
        <f t="shared" si="12"/>
        <v>52.117042129489612</v>
      </c>
      <c r="F431" s="16">
        <v>2852.8726332532196</v>
      </c>
      <c r="G431" s="3"/>
      <c r="H431" s="5">
        <f t="shared" si="13"/>
        <v>111.19875107930555</v>
      </c>
    </row>
    <row r="432" spans="2:8" x14ac:dyDescent="0.2">
      <c r="B432" s="1">
        <v>425</v>
      </c>
      <c r="C432" s="2">
        <v>2854.6907170695176</v>
      </c>
      <c r="D432" s="3"/>
      <c r="E432" s="5">
        <f t="shared" si="12"/>
        <v>52.119238399609038</v>
      </c>
      <c r="F432" s="16">
        <v>3252.2733523693196</v>
      </c>
      <c r="G432" s="3"/>
      <c r="H432" s="5">
        <f t="shared" si="13"/>
        <v>126.76651973052692</v>
      </c>
    </row>
    <row r="433" spans="2:8" x14ac:dyDescent="0.2">
      <c r="B433" s="1">
        <v>426</v>
      </c>
      <c r="C433" s="2">
        <v>2854.818572725279</v>
      </c>
      <c r="D433" s="3"/>
      <c r="E433" s="5">
        <f t="shared" si="12"/>
        <v>52.121572711821401</v>
      </c>
      <c r="F433" s="16">
        <v>3651.6665106020796</v>
      </c>
      <c r="G433" s="3"/>
      <c r="H433" s="5">
        <f t="shared" si="13"/>
        <v>142.33399367501141</v>
      </c>
    </row>
    <row r="434" spans="2:8" x14ac:dyDescent="0.2">
      <c r="B434" s="1">
        <v>427</v>
      </c>
      <c r="C434" s="2">
        <v>2854.953953790623</v>
      </c>
      <c r="D434" s="3"/>
      <c r="E434" s="5">
        <f t="shared" si="12"/>
        <v>52.124044418468031</v>
      </c>
      <c r="F434" s="16">
        <v>3180.6670774538352</v>
      </c>
      <c r="G434" s="3"/>
      <c r="H434" s="5">
        <f t="shared" si="13"/>
        <v>123.97546335905361</v>
      </c>
    </row>
    <row r="435" spans="2:8" x14ac:dyDescent="0.2">
      <c r="B435" s="1">
        <v>428</v>
      </c>
      <c r="C435" s="2">
        <v>2855.0968249068596</v>
      </c>
      <c r="D435" s="3"/>
      <c r="E435" s="5">
        <f t="shared" si="12"/>
        <v>52.126652873991084</v>
      </c>
      <c r="F435" s="16">
        <v>2709.6601542546973</v>
      </c>
      <c r="G435" s="3"/>
      <c r="H435" s="5">
        <f t="shared" si="13"/>
        <v>105.61664109725314</v>
      </c>
    </row>
    <row r="436" spans="2:8" x14ac:dyDescent="0.2">
      <c r="B436" s="1">
        <v>429</v>
      </c>
      <c r="C436" s="2">
        <v>2855.2471508300832</v>
      </c>
      <c r="D436" s="3"/>
      <c r="E436" s="5">
        <f t="shared" si="12"/>
        <v>52.129397434928386</v>
      </c>
      <c r="F436" s="16">
        <v>2238.6457762485725</v>
      </c>
      <c r="G436" s="3"/>
      <c r="H436" s="5">
        <f t="shared" si="13"/>
        <v>87.257528263340603</v>
      </c>
    </row>
    <row r="437" spans="2:8" x14ac:dyDescent="0.2">
      <c r="B437" s="1">
        <v>430</v>
      </c>
      <c r="C437" s="2">
        <v>2855.4048964308504</v>
      </c>
      <c r="D437" s="3"/>
      <c r="E437" s="5">
        <f t="shared" si="12"/>
        <v>52.13227745990752</v>
      </c>
      <c r="F437" s="16">
        <v>1767.623978564905</v>
      </c>
      <c r="G437" s="3"/>
      <c r="H437" s="5">
        <f t="shared" si="13"/>
        <v>68.89812622658512</v>
      </c>
    </row>
    <row r="438" spans="2:8" x14ac:dyDescent="0.2">
      <c r="B438" s="1">
        <v>431</v>
      </c>
      <c r="C438" s="2">
        <v>2855.5700266938916</v>
      </c>
      <c r="D438" s="3"/>
      <c r="E438" s="5">
        <f t="shared" si="12"/>
        <v>52.135292309640619</v>
      </c>
      <c r="F438" s="16">
        <v>1296.5947962189625</v>
      </c>
      <c r="G438" s="3"/>
      <c r="H438" s="5">
        <f t="shared" si="13"/>
        <v>50.538436351805402</v>
      </c>
    </row>
    <row r="439" spans="2:8" x14ac:dyDescent="0.2">
      <c r="B439" s="1">
        <v>432</v>
      </c>
      <c r="C439" s="2">
        <v>2855.7425067177992</v>
      </c>
      <c r="D439" s="3"/>
      <c r="E439" s="5">
        <f t="shared" si="12"/>
        <v>52.138441346918619</v>
      </c>
      <c r="F439" s="16">
        <v>568.72332661238988</v>
      </c>
      <c r="G439" s="3"/>
      <c r="H439" s="5">
        <f t="shared" si="13"/>
        <v>22.167594477167274</v>
      </c>
    </row>
    <row r="440" spans="2:8" x14ac:dyDescent="0.2">
      <c r="B440" s="1">
        <v>433</v>
      </c>
      <c r="C440" s="2">
        <v>2855.9223017147356</v>
      </c>
      <c r="D440" s="3"/>
      <c r="E440" s="5">
        <f t="shared" si="12"/>
        <v>52.141723936605956</v>
      </c>
      <c r="F440" s="16">
        <v>54.873656615925029</v>
      </c>
      <c r="G440" s="3"/>
      <c r="H440" s="5">
        <f t="shared" si="13"/>
        <v>2.1388554160188247</v>
      </c>
    </row>
    <row r="441" spans="2:8" x14ac:dyDescent="0.2">
      <c r="B441" s="1">
        <v>434</v>
      </c>
      <c r="C441" s="2">
        <v>2739.5726666641513</v>
      </c>
      <c r="D441" s="3"/>
      <c r="E441" s="5">
        <f t="shared" si="12"/>
        <v>50.017481779426149</v>
      </c>
      <c r="F441" s="16">
        <v>0</v>
      </c>
      <c r="G441" s="3"/>
      <c r="H441" s="5">
        <f t="shared" si="13"/>
        <v>0</v>
      </c>
    </row>
    <row r="442" spans="2:8" x14ac:dyDescent="0.2">
      <c r="B442" s="1">
        <v>435</v>
      </c>
      <c r="C442" s="2">
        <v>2856.4815575466437</v>
      </c>
      <c r="D442" s="3"/>
      <c r="E442" s="5">
        <f t="shared" si="12"/>
        <v>52.151934495618633</v>
      </c>
      <c r="F442" s="16">
        <v>54.314400784016925</v>
      </c>
      <c r="G442" s="3"/>
      <c r="H442" s="5">
        <f t="shared" si="13"/>
        <v>2.1170568438298227</v>
      </c>
    </row>
    <row r="443" spans="2:8" x14ac:dyDescent="0.2">
      <c r="B443" s="1">
        <v>436</v>
      </c>
      <c r="C443" s="2">
        <v>2856.6822727170993</v>
      </c>
      <c r="D443" s="3"/>
      <c r="E443" s="5">
        <f t="shared" si="12"/>
        <v>52.155599033341353</v>
      </c>
      <c r="F443" s="16">
        <v>225.3369772800711</v>
      </c>
      <c r="G443" s="3"/>
      <c r="H443" s="5">
        <f t="shared" si="13"/>
        <v>8.78314375253278</v>
      </c>
    </row>
    <row r="444" spans="2:8" x14ac:dyDescent="0.2">
      <c r="B444" s="1">
        <v>437</v>
      </c>
      <c r="C444" s="2">
        <v>2856.8901674663803</v>
      </c>
      <c r="D444" s="3"/>
      <c r="E444" s="5">
        <f t="shared" si="12"/>
        <v>52.159394651526895</v>
      </c>
      <c r="F444" s="16">
        <v>536.44415828807951</v>
      </c>
      <c r="G444" s="3"/>
      <c r="H444" s="5">
        <f t="shared" si="13"/>
        <v>20.909422919943253</v>
      </c>
    </row>
    <row r="445" spans="2:8" x14ac:dyDescent="0.2">
      <c r="B445" s="1">
        <v>438</v>
      </c>
      <c r="C445" s="2">
        <v>2857.1052075630651</v>
      </c>
      <c r="D445" s="3"/>
      <c r="E445" s="5">
        <f t="shared" si="12"/>
        <v>52.163320725198403</v>
      </c>
      <c r="F445" s="16">
        <v>754.14967122149756</v>
      </c>
      <c r="G445" s="3"/>
      <c r="H445" s="5">
        <f t="shared" si="13"/>
        <v>29.395108841950186</v>
      </c>
    </row>
    <row r="446" spans="2:8" x14ac:dyDescent="0.2">
      <c r="B446" s="1">
        <v>439</v>
      </c>
      <c r="C446" s="2">
        <v>2857.327358887519</v>
      </c>
      <c r="D446" s="3"/>
      <c r="E446" s="5">
        <f t="shared" si="12"/>
        <v>52.16737663141997</v>
      </c>
      <c r="F446" s="16">
        <v>971.84807292714686</v>
      </c>
      <c r="G446" s="3"/>
      <c r="H446" s="5">
        <f t="shared" si="13"/>
        <v>37.880517583813386</v>
      </c>
    </row>
    <row r="447" spans="2:8" x14ac:dyDescent="0.2">
      <c r="B447" s="1">
        <v>440</v>
      </c>
      <c r="C447" s="2">
        <v>2857.5565874315957</v>
      </c>
      <c r="D447" s="3"/>
      <c r="E447" s="5">
        <f t="shared" si="12"/>
        <v>52.171561749291158</v>
      </c>
      <c r="F447" s="16">
        <v>1189.5393974131734</v>
      </c>
      <c r="G447" s="3"/>
      <c r="H447" s="5">
        <f t="shared" si="13"/>
        <v>46.365650471096195</v>
      </c>
    </row>
    <row r="448" spans="2:8" x14ac:dyDescent="0.2">
      <c r="B448" s="1">
        <v>441</v>
      </c>
      <c r="C448" s="2">
        <v>2857.7928592983399</v>
      </c>
      <c r="D448" s="3"/>
      <c r="E448" s="5">
        <f t="shared" si="12"/>
        <v>52.175875459941608</v>
      </c>
      <c r="F448" s="16">
        <v>1407.2236785765317</v>
      </c>
      <c r="G448" s="3"/>
      <c r="H448" s="5">
        <f t="shared" si="13"/>
        <v>54.850508825027944</v>
      </c>
    </row>
    <row r="449" spans="2:8" x14ac:dyDescent="0.2">
      <c r="B449" s="1">
        <v>442</v>
      </c>
      <c r="C449" s="2">
        <v>2858.0361407016944</v>
      </c>
      <c r="D449" s="3"/>
      <c r="E449" s="5">
        <f t="shared" si="12"/>
        <v>52.18031714652566</v>
      </c>
      <c r="F449" s="16">
        <v>1624.9009502032804</v>
      </c>
      <c r="G449" s="3"/>
      <c r="H449" s="5">
        <f t="shared" si="13"/>
        <v>63.335093962515487</v>
      </c>
    </row>
    <row r="450" spans="2:8" x14ac:dyDescent="0.2">
      <c r="B450" s="1">
        <v>443</v>
      </c>
      <c r="C450" s="2">
        <v>2858.2863979661984</v>
      </c>
      <c r="D450" s="3"/>
      <c r="E450" s="5">
        <f t="shared" si="12"/>
        <v>52.184886194216858</v>
      </c>
      <c r="F450" s="16">
        <v>1842.5712459688798</v>
      </c>
      <c r="G450" s="3"/>
      <c r="H450" s="5">
        <f t="shared" si="13"/>
        <v>71.819407196154785</v>
      </c>
    </row>
    <row r="451" spans="2:8" x14ac:dyDescent="0.2">
      <c r="B451" s="1">
        <v>444</v>
      </c>
      <c r="C451" s="2">
        <v>2858.5435975267001</v>
      </c>
      <c r="D451" s="3"/>
      <c r="E451" s="5">
        <f t="shared" si="12"/>
        <v>52.189581990202711</v>
      </c>
      <c r="F451" s="16">
        <v>2060.2345994384814</v>
      </c>
      <c r="G451" s="3"/>
      <c r="H451" s="5">
        <f t="shared" si="13"/>
        <v>80.30344983424223</v>
      </c>
    </row>
    <row r="452" spans="2:8" x14ac:dyDescent="0.2">
      <c r="B452" s="1">
        <v>445</v>
      </c>
      <c r="C452" s="2">
        <v>2858.8077059280595</v>
      </c>
      <c r="D452" s="3"/>
      <c r="E452" s="5">
        <f t="shared" si="12"/>
        <v>52.194403923679246</v>
      </c>
      <c r="F452" s="16">
        <v>2277.8910440672244</v>
      </c>
      <c r="G452" s="3"/>
      <c r="H452" s="5">
        <f t="shared" si="13"/>
        <v>88.787223180786157</v>
      </c>
    </row>
    <row r="453" spans="2:8" x14ac:dyDescent="0.2">
      <c r="B453" s="1">
        <v>446</v>
      </c>
      <c r="C453" s="2">
        <v>2859.0786898248643</v>
      </c>
      <c r="D453" s="3"/>
      <c r="E453" s="5">
        <f t="shared" si="12"/>
        <v>52.199351385845837</v>
      </c>
      <c r="F453" s="16">
        <v>2179.7781792181286</v>
      </c>
      <c r="G453" s="3"/>
      <c r="H453" s="5">
        <f t="shared" si="13"/>
        <v>84.962997763617395</v>
      </c>
    </row>
    <row r="454" spans="2:8" x14ac:dyDescent="0.2">
      <c r="B454" s="1">
        <v>447</v>
      </c>
      <c r="C454" s="2">
        <v>2859.3565159811169</v>
      </c>
      <c r="D454" s="3"/>
      <c r="E454" s="5">
        <f t="shared" si="12"/>
        <v>52.204423769899492</v>
      </c>
      <c r="F454" s="16">
        <v>2081.6584721095851</v>
      </c>
      <c r="G454" s="3"/>
      <c r="H454" s="5">
        <f t="shared" si="13"/>
        <v>81.138505650103241</v>
      </c>
    </row>
    <row r="455" spans="2:8" x14ac:dyDescent="0.2">
      <c r="B455" s="1">
        <v>448</v>
      </c>
      <c r="C455" s="2">
        <v>2859.6411512699651</v>
      </c>
      <c r="D455" s="3"/>
      <c r="E455" s="5">
        <f t="shared" si="12"/>
        <v>52.209620471029922</v>
      </c>
      <c r="F455" s="16">
        <v>1983.5319558684459</v>
      </c>
      <c r="G455" s="3"/>
      <c r="H455" s="5">
        <f t="shared" si="13"/>
        <v>77.313748131456123</v>
      </c>
    </row>
    <row r="456" spans="2:8" x14ac:dyDescent="0.2">
      <c r="B456" s="1">
        <v>449</v>
      </c>
      <c r="C456" s="2">
        <v>2859.9325626733962</v>
      </c>
      <c r="D456" s="3"/>
      <c r="E456" s="5">
        <f t="shared" si="12"/>
        <v>52.214940886413963</v>
      </c>
      <c r="F456" s="16">
        <v>1885.398663512723</v>
      </c>
      <c r="G456" s="3"/>
      <c r="H456" s="5">
        <f t="shared" si="13"/>
        <v>73.488726494646102</v>
      </c>
    </row>
    <row r="457" spans="2:8" x14ac:dyDescent="0.2">
      <c r="B457" s="1">
        <v>450</v>
      </c>
      <c r="C457" s="2">
        <v>2860.2307172819596</v>
      </c>
      <c r="D457" s="3"/>
      <c r="E457" s="5">
        <f t="shared" ref="E457:E520" si="14">$D$5*C457</f>
        <v>52.220384415210532</v>
      </c>
      <c r="F457" s="16">
        <v>1787.2586279518678</v>
      </c>
      <c r="G457" s="3"/>
      <c r="H457" s="5">
        <f t="shared" ref="H457:H520" si="15">$G$5*F457</f>
        <v>69.663442022411786</v>
      </c>
    </row>
    <row r="458" spans="2:8" x14ac:dyDescent="0.2">
      <c r="B458" s="1">
        <v>451</v>
      </c>
      <c r="C458" s="2">
        <v>2860.5355822944616</v>
      </c>
      <c r="D458" s="3"/>
      <c r="E458" s="5">
        <f t="shared" si="14"/>
        <v>52.225950458555012</v>
      </c>
      <c r="F458" s="16">
        <v>1689.1118819870758</v>
      </c>
      <c r="G458" s="3"/>
      <c r="H458" s="5">
        <f t="shared" si="15"/>
        <v>65.837895993272241</v>
      </c>
    </row>
    <row r="459" spans="2:8" x14ac:dyDescent="0.2">
      <c r="B459" s="1">
        <v>452</v>
      </c>
      <c r="C459" s="2">
        <v>2860.8471250176917</v>
      </c>
      <c r="D459" s="3"/>
      <c r="E459" s="5">
        <f t="shared" si="14"/>
        <v>52.231638419554287</v>
      </c>
      <c r="F459" s="16">
        <v>1590.9584583115538</v>
      </c>
      <c r="G459" s="3"/>
      <c r="H459" s="5">
        <f t="shared" si="15"/>
        <v>62.012089681537326</v>
      </c>
    </row>
    <row r="460" spans="2:8" x14ac:dyDescent="0.2">
      <c r="B460" s="1">
        <v>453</v>
      </c>
      <c r="C460" s="2">
        <v>2861.1653128661187</v>
      </c>
      <c r="D460" s="3"/>
      <c r="E460" s="5">
        <f t="shared" si="14"/>
        <v>52.237447703281198</v>
      </c>
      <c r="F460" s="16">
        <v>1933.0868537961455</v>
      </c>
      <c r="G460" s="3"/>
      <c r="H460" s="5">
        <f t="shared" si="15"/>
        <v>75.347508109688562</v>
      </c>
    </row>
    <row r="461" spans="2:8" x14ac:dyDescent="0.2">
      <c r="B461" s="1">
        <v>454</v>
      </c>
      <c r="C461" s="2">
        <v>2861.4901133616227</v>
      </c>
      <c r="D461" s="3"/>
      <c r="E461" s="5">
        <f t="shared" si="14"/>
        <v>52.243377716769615</v>
      </c>
      <c r="F461" s="16">
        <v>1419.0921783011131</v>
      </c>
      <c r="G461" s="3"/>
      <c r="H461" s="5">
        <f t="shared" si="15"/>
        <v>55.313117050567115</v>
      </c>
    </row>
    <row r="462" spans="2:8" x14ac:dyDescent="0.2">
      <c r="B462" s="1">
        <v>455</v>
      </c>
      <c r="C462" s="2">
        <v>2861.8214941331839</v>
      </c>
      <c r="D462" s="3"/>
      <c r="E462" s="5">
        <f t="shared" si="14"/>
        <v>52.249427869008798</v>
      </c>
      <c r="F462" s="16">
        <v>905.09092253002427</v>
      </c>
      <c r="G462" s="3"/>
      <c r="H462" s="5">
        <f t="shared" si="15"/>
        <v>35.278469506641308</v>
      </c>
    </row>
    <row r="463" spans="2:8" x14ac:dyDescent="0.2">
      <c r="B463" s="1">
        <v>456</v>
      </c>
      <c r="C463" s="2">
        <v>2862.1594229166162</v>
      </c>
      <c r="D463" s="3"/>
      <c r="E463" s="5">
        <f t="shared" si="14"/>
        <v>52.255597570938491</v>
      </c>
      <c r="F463" s="16">
        <v>391.08311874706351</v>
      </c>
      <c r="G463" s="3"/>
      <c r="H463" s="5">
        <f t="shared" si="15"/>
        <v>15.243566735498646</v>
      </c>
    </row>
    <row r="464" spans="2:8" x14ac:dyDescent="0.2">
      <c r="B464" s="1">
        <v>457</v>
      </c>
      <c r="C464" s="2">
        <v>2739.5726666641513</v>
      </c>
      <c r="D464" s="3"/>
      <c r="E464" s="5">
        <f t="shared" si="14"/>
        <v>50.017481779426149</v>
      </c>
      <c r="F464" s="16">
        <v>0</v>
      </c>
      <c r="G464" s="3"/>
      <c r="H464" s="5">
        <f t="shared" si="15"/>
        <v>0</v>
      </c>
    </row>
    <row r="465" spans="2:8" x14ac:dyDescent="0.2">
      <c r="B465" s="1">
        <v>458</v>
      </c>
      <c r="C465" s="2">
        <v>2739.5726666641513</v>
      </c>
      <c r="D465" s="3"/>
      <c r="E465" s="5">
        <f t="shared" si="14"/>
        <v>50.017481779426149</v>
      </c>
      <c r="F465" s="16">
        <v>0</v>
      </c>
      <c r="G465" s="3"/>
      <c r="H465" s="5">
        <f t="shared" si="15"/>
        <v>0</v>
      </c>
    </row>
    <row r="466" spans="2:8" x14ac:dyDescent="0.2">
      <c r="B466" s="1">
        <v>459</v>
      </c>
      <c r="C466" s="2">
        <v>2863.6082067324483</v>
      </c>
      <c r="D466" s="3"/>
      <c r="E466" s="5">
        <f t="shared" si="14"/>
        <v>52.2820486006894</v>
      </c>
      <c r="F466" s="16">
        <v>71.648221836285302</v>
      </c>
      <c r="G466" s="3"/>
      <c r="H466" s="5">
        <f t="shared" si="15"/>
        <v>2.7926913709297687</v>
      </c>
    </row>
    <row r="467" spans="2:8" x14ac:dyDescent="0.2">
      <c r="B467" s="1">
        <v>460</v>
      </c>
      <c r="C467" s="2">
        <v>2863.9701865582342</v>
      </c>
      <c r="D467" s="3"/>
      <c r="E467" s="5">
        <f t="shared" si="14"/>
        <v>52.28865741218803</v>
      </c>
      <c r="F467" s="16">
        <v>266.97000391508163</v>
      </c>
      <c r="G467" s="3"/>
      <c r="H467" s="5">
        <f t="shared" si="15"/>
        <v>10.405908299222487</v>
      </c>
    </row>
    <row r="468" spans="2:8" x14ac:dyDescent="0.2">
      <c r="B468" s="1">
        <v>461</v>
      </c>
      <c r="C468" s="2">
        <v>2864.3385605224657</v>
      </c>
      <c r="D468" s="3"/>
      <c r="E468" s="5">
        <f t="shared" si="14"/>
        <v>52.295382964048052</v>
      </c>
      <c r="F468" s="16">
        <v>462.28539185543286</v>
      </c>
      <c r="G468" s="3"/>
      <c r="H468" s="5">
        <f t="shared" si="15"/>
        <v>18.018875997948825</v>
      </c>
    </row>
    <row r="469" spans="2:8" x14ac:dyDescent="0.2">
      <c r="B469" s="1">
        <v>462</v>
      </c>
      <c r="C469" s="2">
        <v>2864.7132969805571</v>
      </c>
      <c r="D469" s="3"/>
      <c r="E469" s="5">
        <f t="shared" si="14"/>
        <v>52.302224678521533</v>
      </c>
      <c r="F469" s="16">
        <v>657.59441730192339</v>
      </c>
      <c r="G469" s="3"/>
      <c r="H469" s="5">
        <f t="shared" si="15"/>
        <v>25.631595700545645</v>
      </c>
    </row>
    <row r="470" spans="2:8" x14ac:dyDescent="0.2">
      <c r="B470" s="1">
        <v>463</v>
      </c>
      <c r="C470" s="2">
        <v>2865.0943643927912</v>
      </c>
      <c r="D470" s="3"/>
      <c r="E470" s="5">
        <f t="shared" si="14"/>
        <v>52.309181979775154</v>
      </c>
      <c r="F470" s="16">
        <v>852.8971117942715</v>
      </c>
      <c r="G470" s="3"/>
      <c r="H470" s="5">
        <f t="shared" si="15"/>
        <v>33.24406863636235</v>
      </c>
    </row>
    <row r="471" spans="2:8" x14ac:dyDescent="0.2">
      <c r="B471" s="1">
        <v>464</v>
      </c>
      <c r="C471" s="2">
        <v>2865.4817313240469</v>
      </c>
      <c r="D471" s="3"/>
      <c r="E471" s="5">
        <f t="shared" si="14"/>
        <v>52.31625429388523</v>
      </c>
      <c r="F471" s="16">
        <v>1048.1935067675981</v>
      </c>
      <c r="G471" s="3"/>
      <c r="H471" s="5">
        <f t="shared" si="15"/>
        <v>40.85629603067138</v>
      </c>
    </row>
    <row r="472" spans="2:8" x14ac:dyDescent="0.2">
      <c r="B472" s="1">
        <v>465</v>
      </c>
      <c r="C472" s="2">
        <v>2865.875366443508</v>
      </c>
      <c r="D472" s="3"/>
      <c r="E472" s="5">
        <f t="shared" si="14"/>
        <v>52.323441048832443</v>
      </c>
      <c r="F472" s="16">
        <v>1243.4836335527189</v>
      </c>
      <c r="G472" s="3"/>
      <c r="H472" s="5">
        <f t="shared" si="15"/>
        <v>48.46827910467956</v>
      </c>
    </row>
    <row r="473" spans="2:8" x14ac:dyDescent="0.2">
      <c r="B473" s="1">
        <v>466</v>
      </c>
      <c r="C473" s="2">
        <v>2866.2752385243894</v>
      </c>
      <c r="D473" s="3"/>
      <c r="E473" s="5">
        <f t="shared" si="14"/>
        <v>52.330741674496785</v>
      </c>
      <c r="F473" s="16">
        <v>1438.7675233764203</v>
      </c>
      <c r="G473" s="3"/>
      <c r="H473" s="5">
        <f t="shared" si="15"/>
        <v>56.080019075538914</v>
      </c>
    </row>
    <row r="474" spans="2:8" x14ac:dyDescent="0.2">
      <c r="B474" s="1">
        <v>467</v>
      </c>
      <c r="C474" s="2">
        <v>2866.6813164436599</v>
      </c>
      <c r="D474" s="3"/>
      <c r="E474" s="5">
        <f t="shared" si="14"/>
        <v>52.338155602652549</v>
      </c>
      <c r="F474" s="16">
        <v>1634.0452073617325</v>
      </c>
      <c r="G474" s="3"/>
      <c r="H474" s="5">
        <f t="shared" si="15"/>
        <v>63.69151715635725</v>
      </c>
    </row>
    <row r="475" spans="2:8" x14ac:dyDescent="0.2">
      <c r="B475" s="1">
        <v>468</v>
      </c>
      <c r="C475" s="2">
        <v>2867.0935691817526</v>
      </c>
      <c r="D475" s="3"/>
      <c r="E475" s="5">
        <f t="shared" si="14"/>
        <v>52.345682266963003</v>
      </c>
      <c r="F475" s="16">
        <v>1829.3167165282216</v>
      </c>
      <c r="G475" s="3"/>
      <c r="H475" s="5">
        <f t="shared" si="15"/>
        <v>71.30277455620957</v>
      </c>
    </row>
    <row r="476" spans="2:8" x14ac:dyDescent="0.2">
      <c r="B476" s="1">
        <v>469</v>
      </c>
      <c r="C476" s="2">
        <v>2867.5119658222993</v>
      </c>
      <c r="D476" s="3"/>
      <c r="E476" s="5">
        <f t="shared" si="14"/>
        <v>52.353321102975549</v>
      </c>
      <c r="F476" s="16">
        <v>1926.7402008399649</v>
      </c>
      <c r="G476" s="3"/>
      <c r="H476" s="5">
        <f t="shared" si="15"/>
        <v>75.10012942406658</v>
      </c>
    </row>
    <row r="477" spans="2:8" x14ac:dyDescent="0.2">
      <c r="B477" s="1">
        <v>470</v>
      </c>
      <c r="C477" s="2">
        <v>2867.9364755518432</v>
      </c>
      <c r="D477" s="3"/>
      <c r="E477" s="5">
        <f t="shared" si="14"/>
        <v>52.361071548116506</v>
      </c>
      <c r="F477" s="16">
        <v>1926.3156911104211</v>
      </c>
      <c r="G477" s="3"/>
      <c r="H477" s="5">
        <f t="shared" si="15"/>
        <v>75.083582960969679</v>
      </c>
    </row>
    <row r="478" spans="2:8" x14ac:dyDescent="0.2">
      <c r="B478" s="1">
        <v>471</v>
      </c>
      <c r="C478" s="2">
        <v>2868.3670676595634</v>
      </c>
      <c r="D478" s="3"/>
      <c r="E478" s="5">
        <f t="shared" si="14"/>
        <v>52.368933041686049</v>
      </c>
      <c r="F478" s="16">
        <v>2415.0945037641582</v>
      </c>
      <c r="G478" s="3"/>
      <c r="H478" s="5">
        <f t="shared" si="15"/>
        <v>94.135114700451027</v>
      </c>
    </row>
    <row r="479" spans="2:8" x14ac:dyDescent="0.2">
      <c r="B479" s="1">
        <v>472</v>
      </c>
      <c r="C479" s="2">
        <v>2868.8037115370053</v>
      </c>
      <c r="D479" s="3"/>
      <c r="E479" s="5">
        <f t="shared" si="14"/>
        <v>52.376905024853272</v>
      </c>
      <c r="F479" s="16">
        <v>2610.3416217912973</v>
      </c>
      <c r="G479" s="3"/>
      <c r="H479" s="5">
        <f t="shared" si="15"/>
        <v>101.74542138690609</v>
      </c>
    </row>
    <row r="480" spans="2:8" x14ac:dyDescent="0.2">
      <c r="B480" s="1">
        <v>473</v>
      </c>
      <c r="C480" s="2">
        <v>2869.2463766777978</v>
      </c>
      <c r="D480" s="3"/>
      <c r="E480" s="5">
        <f t="shared" si="14"/>
        <v>52.384986940651089</v>
      </c>
      <c r="F480" s="16">
        <v>2335.9416899840894</v>
      </c>
      <c r="G480" s="3"/>
      <c r="H480" s="5">
        <f t="shared" si="15"/>
        <v>91.049910708459407</v>
      </c>
    </row>
    <row r="481" spans="2:8" x14ac:dyDescent="0.2">
      <c r="B481" s="1">
        <v>474</v>
      </c>
      <c r="C481" s="2">
        <v>2869.695032677379</v>
      </c>
      <c r="D481" s="3"/>
      <c r="E481" s="5">
        <f t="shared" si="14"/>
        <v>52.393178233971156</v>
      </c>
      <c r="F481" s="16">
        <v>2061.5357673180938</v>
      </c>
      <c r="G481" s="3"/>
      <c r="H481" s="5">
        <f t="shared" si="15"/>
        <v>80.354166519407542</v>
      </c>
    </row>
    <row r="482" spans="2:8" x14ac:dyDescent="0.2">
      <c r="B482" s="1">
        <v>475</v>
      </c>
      <c r="C482" s="2">
        <v>2870.1496492327269</v>
      </c>
      <c r="D482" s="3"/>
      <c r="E482" s="5">
        <f t="shared" si="14"/>
        <v>52.401478351559</v>
      </c>
      <c r="F482" s="16">
        <v>1924.1025174295373</v>
      </c>
      <c r="G482" s="3"/>
      <c r="H482" s="5">
        <f t="shared" si="15"/>
        <v>74.99731827941072</v>
      </c>
    </row>
    <row r="483" spans="2:8" x14ac:dyDescent="0.2">
      <c r="B483" s="1">
        <v>476</v>
      </c>
      <c r="C483" s="2">
        <v>2870.6101961420741</v>
      </c>
      <c r="D483" s="3"/>
      <c r="E483" s="5">
        <f t="shared" si="14"/>
        <v>52.409886742008773</v>
      </c>
      <c r="F483" s="16">
        <v>1512.7060705205672</v>
      </c>
      <c r="G483" s="3"/>
      <c r="H483" s="5">
        <f t="shared" si="15"/>
        <v>58.961982330124108</v>
      </c>
    </row>
    <row r="484" spans="2:8" x14ac:dyDescent="0.2">
      <c r="B484" s="1">
        <v>477</v>
      </c>
      <c r="C484" s="2">
        <v>2871.0766433046492</v>
      </c>
      <c r="D484" s="3"/>
      <c r="E484" s="5">
        <f t="shared" si="14"/>
        <v>52.418402855758579</v>
      </c>
      <c r="F484" s="16">
        <v>1238.2823566915758</v>
      </c>
      <c r="G484" s="3"/>
      <c r="H484" s="5">
        <f t="shared" si="15"/>
        <v>48.265544680353983</v>
      </c>
    </row>
    <row r="485" spans="2:8" x14ac:dyDescent="0.2">
      <c r="B485" s="1">
        <v>478</v>
      </c>
      <c r="C485" s="2">
        <v>2871.5489607203845</v>
      </c>
      <c r="D485" s="3"/>
      <c r="E485" s="5">
        <f t="shared" si="14"/>
        <v>52.427026145085087</v>
      </c>
      <c r="F485" s="16">
        <v>963.85277260942712</v>
      </c>
      <c r="G485" s="3"/>
      <c r="H485" s="5">
        <f t="shared" si="15"/>
        <v>37.568878220923018</v>
      </c>
    </row>
    <row r="486" spans="2:8" x14ac:dyDescent="0.2">
      <c r="B486" s="1">
        <v>479</v>
      </c>
      <c r="C486" s="2">
        <v>2872.0271184896706</v>
      </c>
      <c r="D486" s="3"/>
      <c r="E486" s="5">
        <f t="shared" si="14"/>
        <v>52.435756064099088</v>
      </c>
      <c r="F486" s="16">
        <v>209.99213150749983</v>
      </c>
      <c r="G486" s="3"/>
      <c r="H486" s="5">
        <f t="shared" si="15"/>
        <v>8.1850351424513317</v>
      </c>
    </row>
    <row r="487" spans="2:8" x14ac:dyDescent="0.2">
      <c r="B487" s="1">
        <v>480</v>
      </c>
      <c r="C487" s="2">
        <v>2872.5110868130605</v>
      </c>
      <c r="D487" s="3"/>
      <c r="E487" s="5">
        <f t="shared" si="14"/>
        <v>52.444592068740079</v>
      </c>
      <c r="F487" s="16">
        <v>38.284871517600095</v>
      </c>
      <c r="G487" s="3"/>
      <c r="H487" s="5">
        <f t="shared" si="15"/>
        <v>1.4922607649448956</v>
      </c>
    </row>
    <row r="488" spans="2:8" x14ac:dyDescent="0.2">
      <c r="B488" s="1">
        <v>481</v>
      </c>
      <c r="C488" s="2">
        <v>2739.5726666641513</v>
      </c>
      <c r="D488" s="3"/>
      <c r="E488" s="5">
        <f t="shared" si="14"/>
        <v>50.017481779426149</v>
      </c>
      <c r="F488" s="16">
        <v>0</v>
      </c>
      <c r="G488" s="3"/>
      <c r="H488" s="5">
        <f t="shared" si="15"/>
        <v>0</v>
      </c>
    </row>
    <row r="489" spans="2:8" x14ac:dyDescent="0.2">
      <c r="B489" s="1">
        <v>482</v>
      </c>
      <c r="C489" s="2">
        <v>2739.5726666641513</v>
      </c>
      <c r="D489" s="3"/>
      <c r="E489" s="5">
        <f t="shared" si="14"/>
        <v>50.017481779426149</v>
      </c>
      <c r="F489" s="16">
        <v>0</v>
      </c>
      <c r="G489" s="3"/>
      <c r="H489" s="5">
        <f t="shared" si="15"/>
        <v>0</v>
      </c>
    </row>
    <row r="490" spans="2:8" x14ac:dyDescent="0.2">
      <c r="B490" s="1">
        <v>483</v>
      </c>
      <c r="C490" s="2">
        <v>2874.5310124140433</v>
      </c>
      <c r="D490" s="3"/>
      <c r="E490" s="5">
        <f t="shared" si="14"/>
        <v>52.481470664140133</v>
      </c>
      <c r="F490" s="16">
        <v>36.264945916618217</v>
      </c>
      <c r="G490" s="3"/>
      <c r="H490" s="5">
        <f t="shared" si="15"/>
        <v>1.4135284719276053</v>
      </c>
    </row>
    <row r="491" spans="2:8" x14ac:dyDescent="0.2">
      <c r="B491" s="1">
        <v>484</v>
      </c>
      <c r="C491" s="2">
        <v>2875.0354743963371</v>
      </c>
      <c r="D491" s="3"/>
      <c r="E491" s="5">
        <f t="shared" si="14"/>
        <v>52.490680829767356</v>
      </c>
      <c r="F491" s="16">
        <v>206.98377560083327</v>
      </c>
      <c r="G491" s="3"/>
      <c r="H491" s="5">
        <f t="shared" si="15"/>
        <v>8.0677759925951023</v>
      </c>
    </row>
    <row r="492" spans="2:8" x14ac:dyDescent="0.2">
      <c r="B492" s="1">
        <v>485</v>
      </c>
      <c r="C492" s="2">
        <v>2875.5456073170881</v>
      </c>
      <c r="D492" s="3"/>
      <c r="E492" s="5">
        <f t="shared" si="14"/>
        <v>52.499994532002468</v>
      </c>
      <c r="F492" s="16">
        <v>377.69693434659166</v>
      </c>
      <c r="G492" s="3"/>
      <c r="H492" s="5">
        <f t="shared" si="15"/>
        <v>14.721802472453948</v>
      </c>
    </row>
    <row r="493" spans="2:8" x14ac:dyDescent="0.2">
      <c r="B493" s="1">
        <v>486</v>
      </c>
      <c r="C493" s="2">
        <v>2876.0613819514938</v>
      </c>
      <c r="D493" s="3"/>
      <c r="E493" s="5">
        <f t="shared" si="14"/>
        <v>52.509411237276467</v>
      </c>
      <c r="F493" s="16">
        <v>548.40445137869528</v>
      </c>
      <c r="G493" s="3"/>
      <c r="H493" s="5">
        <f t="shared" si="15"/>
        <v>21.375609050623165</v>
      </c>
    </row>
    <row r="494" spans="2:8" x14ac:dyDescent="0.2">
      <c r="B494" s="1">
        <v>487</v>
      </c>
      <c r="C494" s="2">
        <v>2876.5827691730933</v>
      </c>
      <c r="D494" s="3"/>
      <c r="E494" s="5">
        <f t="shared" si="14"/>
        <v>52.518930413815823</v>
      </c>
      <c r="F494" s="16">
        <v>719.1063558236051</v>
      </c>
      <c r="G494" s="3"/>
      <c r="H494" s="5">
        <f t="shared" si="15"/>
        <v>28.029196862388648</v>
      </c>
    </row>
    <row r="495" spans="2:8" x14ac:dyDescent="0.2">
      <c r="B495" s="1">
        <v>488</v>
      </c>
      <c r="C495" s="2">
        <v>2877.1097399534897</v>
      </c>
      <c r="D495" s="3"/>
      <c r="E495" s="5">
        <f t="shared" si="14"/>
        <v>52.528551531637405</v>
      </c>
      <c r="F495" s="16">
        <v>889.80267670971853</v>
      </c>
      <c r="G495" s="3"/>
      <c r="H495" s="5">
        <f t="shared" si="15"/>
        <v>34.682567039214007</v>
      </c>
    </row>
    <row r="496" spans="2:8" x14ac:dyDescent="0.2">
      <c r="B496" s="1">
        <v>489</v>
      </c>
      <c r="C496" s="2">
        <v>2877.6422653620821</v>
      </c>
      <c r="D496" s="3"/>
      <c r="E496" s="5">
        <f t="shared" si="14"/>
        <v>52.538274062543579</v>
      </c>
      <c r="F496" s="16">
        <v>1060.4934429676355</v>
      </c>
      <c r="G496" s="3"/>
      <c r="H496" s="5">
        <f t="shared" si="15"/>
        <v>41.335720708750898</v>
      </c>
    </row>
    <row r="497" spans="2:8" x14ac:dyDescent="0.2">
      <c r="B497" s="1">
        <v>490</v>
      </c>
      <c r="C497" s="2">
        <v>2878.1803165658134</v>
      </c>
      <c r="D497" s="3"/>
      <c r="E497" s="5">
        <f t="shared" si="14"/>
        <v>52.548097480117605</v>
      </c>
      <c r="F497" s="16">
        <v>1231.1786834304135</v>
      </c>
      <c r="G497" s="3"/>
      <c r="H497" s="5">
        <f t="shared" si="15"/>
        <v>47.988658994849004</v>
      </c>
    </row>
    <row r="498" spans="2:8" x14ac:dyDescent="0.2">
      <c r="B498" s="1">
        <v>491</v>
      </c>
      <c r="C498" s="2">
        <v>2878.7238648288876</v>
      </c>
      <c r="D498" s="3"/>
      <c r="E498" s="5">
        <f t="shared" si="14"/>
        <v>52.55802125971848</v>
      </c>
      <c r="F498" s="16">
        <v>1401.8584268338491</v>
      </c>
      <c r="G498" s="3"/>
      <c r="H498" s="5">
        <f t="shared" si="15"/>
        <v>54.641383017566973</v>
      </c>
    </row>
    <row r="499" spans="2:8" x14ac:dyDescent="0.2">
      <c r="B499" s="1">
        <v>492</v>
      </c>
      <c r="C499" s="2">
        <v>2879.2728815125188</v>
      </c>
      <c r="D499" s="3"/>
      <c r="E499" s="5">
        <f t="shared" si="14"/>
        <v>52.56804487847635</v>
      </c>
      <c r="F499" s="16">
        <v>1572.5327018167286</v>
      </c>
      <c r="G499" s="3"/>
      <c r="H499" s="5">
        <f t="shared" si="15"/>
        <v>61.293893893182229</v>
      </c>
    </row>
    <row r="500" spans="2:8" x14ac:dyDescent="0.2">
      <c r="B500" s="1">
        <v>493</v>
      </c>
      <c r="C500" s="2">
        <v>2879.82733807466</v>
      </c>
      <c r="D500" s="3"/>
      <c r="E500" s="5">
        <f t="shared" si="14"/>
        <v>52.578167815287571</v>
      </c>
      <c r="F500" s="16">
        <v>1743.2015369210962</v>
      </c>
      <c r="G500" s="3"/>
      <c r="H500" s="5">
        <f t="shared" si="15"/>
        <v>67.946192734201375</v>
      </c>
    </row>
    <row r="501" spans="2:8" x14ac:dyDescent="0.2">
      <c r="B501" s="1">
        <v>494</v>
      </c>
      <c r="C501" s="2">
        <v>2880.387206069749</v>
      </c>
      <c r="D501" s="3"/>
      <c r="E501" s="5">
        <f t="shared" si="14"/>
        <v>52.588389550810049</v>
      </c>
      <c r="F501" s="16">
        <v>1913.864960592517</v>
      </c>
      <c r="G501" s="3"/>
      <c r="H501" s="5">
        <f t="shared" si="15"/>
        <v>74.598280649370466</v>
      </c>
    </row>
    <row r="502" spans="2:8" x14ac:dyDescent="0.2">
      <c r="B502" s="1">
        <v>495</v>
      </c>
      <c r="C502" s="2">
        <v>2880.9524571484353</v>
      </c>
      <c r="D502" s="3"/>
      <c r="E502" s="5">
        <f t="shared" si="14"/>
        <v>52.598709567458272</v>
      </c>
      <c r="F502" s="16">
        <v>1742.07641784732</v>
      </c>
      <c r="G502" s="3"/>
      <c r="H502" s="5">
        <f t="shared" si="15"/>
        <v>67.902338047398629</v>
      </c>
    </row>
    <row r="503" spans="2:8" x14ac:dyDescent="0.2">
      <c r="B503" s="1">
        <v>496</v>
      </c>
      <c r="C503" s="2">
        <v>2881.5230630573251</v>
      </c>
      <c r="D503" s="3"/>
      <c r="E503" s="5">
        <f t="shared" si="14"/>
        <v>52.609127349398648</v>
      </c>
      <c r="F503" s="16">
        <v>1912.7291036049392</v>
      </c>
      <c r="G503" s="3"/>
      <c r="H503" s="5">
        <f t="shared" si="15"/>
        <v>74.55400742211485</v>
      </c>
    </row>
    <row r="504" spans="2:8" x14ac:dyDescent="0.2">
      <c r="B504" s="1">
        <v>497</v>
      </c>
      <c r="C504" s="2">
        <v>2882.0989956387125</v>
      </c>
      <c r="D504" s="3"/>
      <c r="E504" s="5">
        <f t="shared" si="14"/>
        <v>52.619642382544605</v>
      </c>
      <c r="F504" s="16">
        <v>2597.04633768959</v>
      </c>
      <c r="G504" s="3"/>
      <c r="H504" s="5">
        <f t="shared" si="15"/>
        <v>101.22720021918838</v>
      </c>
    </row>
    <row r="505" spans="2:8" x14ac:dyDescent="0.2">
      <c r="B505" s="1">
        <v>498</v>
      </c>
      <c r="C505" s="2">
        <v>2882.680226830329</v>
      </c>
      <c r="D505" s="3"/>
      <c r="E505" s="5">
        <f t="shared" si="14"/>
        <v>52.630254154551992</v>
      </c>
      <c r="F505" s="16">
        <v>2425.2418148314628</v>
      </c>
      <c r="G505" s="3"/>
      <c r="H505" s="5">
        <f t="shared" si="15"/>
        <v>94.530634747278626</v>
      </c>
    </row>
    <row r="506" spans="2:8" x14ac:dyDescent="0.2">
      <c r="B506" s="1">
        <v>499</v>
      </c>
      <c r="C506" s="2">
        <v>2883.2667286650762</v>
      </c>
      <c r="D506" s="3"/>
      <c r="E506" s="5">
        <f t="shared" si="14"/>
        <v>52.640962154814233</v>
      </c>
      <c r="F506" s="16">
        <v>2767.1018963297352</v>
      </c>
      <c r="G506" s="3"/>
      <c r="H506" s="5">
        <f t="shared" si="15"/>
        <v>107.8555948816287</v>
      </c>
    </row>
    <row r="507" spans="2:8" x14ac:dyDescent="0.2">
      <c r="B507" s="1">
        <v>500</v>
      </c>
      <c r="C507" s="2">
        <v>2883.8584732707677</v>
      </c>
      <c r="D507" s="3"/>
      <c r="E507" s="5">
        <f t="shared" si="14"/>
        <v>52.651765874457588</v>
      </c>
      <c r="F507" s="16">
        <v>2389.8189100577238</v>
      </c>
      <c r="G507" s="3"/>
      <c r="H507" s="5">
        <f t="shared" si="15"/>
        <v>93.149927202003738</v>
      </c>
    </row>
    <row r="508" spans="2:8" x14ac:dyDescent="0.2">
      <c r="B508" s="1">
        <v>501</v>
      </c>
      <c r="C508" s="2">
        <v>2884.4554328698664</v>
      </c>
      <c r="D508" s="3"/>
      <c r="E508" s="5">
        <f t="shared" si="14"/>
        <v>52.66266480633638</v>
      </c>
      <c r="F508" s="16">
        <v>2012.5307087923043</v>
      </c>
      <c r="G508" s="3"/>
      <c r="H508" s="5">
        <f t="shared" si="15"/>
        <v>78.444056253313377</v>
      </c>
    </row>
    <row r="509" spans="2:8" x14ac:dyDescent="0.2">
      <c r="B509" s="1">
        <v>502</v>
      </c>
      <c r="C509" s="2">
        <v>2885.0575797792399</v>
      </c>
      <c r="D509" s="3"/>
      <c r="E509" s="5">
        <f t="shared" si="14"/>
        <v>52.673658445028508</v>
      </c>
      <c r="F509" s="16">
        <v>1635.2373202166091</v>
      </c>
      <c r="G509" s="3"/>
      <c r="H509" s="5">
        <f t="shared" si="15"/>
        <v>63.73798311458571</v>
      </c>
    </row>
    <row r="510" spans="2:8" x14ac:dyDescent="0.2">
      <c r="B510" s="1">
        <v>503</v>
      </c>
      <c r="C510" s="2">
        <v>2885.6648864098888</v>
      </c>
      <c r="D510" s="3"/>
      <c r="E510" s="5">
        <f t="shared" si="14"/>
        <v>52.684746286830489</v>
      </c>
      <c r="F510" s="16">
        <v>1257.9387719196402</v>
      </c>
      <c r="G510" s="3"/>
      <c r="H510" s="5">
        <f t="shared" si="15"/>
        <v>49.031708861179851</v>
      </c>
    </row>
    <row r="511" spans="2:8" x14ac:dyDescent="0.2">
      <c r="B511" s="1">
        <v>504</v>
      </c>
      <c r="C511" s="2">
        <v>2886.2773252666875</v>
      </c>
      <c r="D511" s="3"/>
      <c r="E511" s="5">
        <f t="shared" si="14"/>
        <v>52.69592782975274</v>
      </c>
      <c r="F511" s="16">
        <v>880.63509139652069</v>
      </c>
      <c r="G511" s="3"/>
      <c r="H511" s="5">
        <f t="shared" si="15"/>
        <v>34.325234564795721</v>
      </c>
    </row>
    <row r="512" spans="2:8" x14ac:dyDescent="0.2">
      <c r="B512" s="1">
        <v>505</v>
      </c>
      <c r="C512" s="2">
        <v>2886.8948689481413</v>
      </c>
      <c r="D512" s="3"/>
      <c r="E512" s="5">
        <f t="shared" si="14"/>
        <v>52.707202573515147</v>
      </c>
      <c r="F512" s="16">
        <v>23.901089382519331</v>
      </c>
      <c r="G512" s="3"/>
      <c r="H512" s="5">
        <f t="shared" si="15"/>
        <v>0.93161231868254157</v>
      </c>
    </row>
    <row r="513" spans="2:8" x14ac:dyDescent="0.2">
      <c r="B513" s="1">
        <v>506</v>
      </c>
      <c r="C513" s="2">
        <v>2739.5726666641513</v>
      </c>
      <c r="D513" s="3"/>
      <c r="E513" s="5">
        <f t="shared" si="14"/>
        <v>50.017481779426149</v>
      </c>
      <c r="F513" s="16">
        <v>0</v>
      </c>
      <c r="G513" s="3"/>
      <c r="H513" s="5">
        <f t="shared" si="15"/>
        <v>0</v>
      </c>
    </row>
    <row r="514" spans="2:8" x14ac:dyDescent="0.2">
      <c r="B514" s="1">
        <v>507</v>
      </c>
      <c r="C514" s="2">
        <v>2888.4320304499151</v>
      </c>
      <c r="D514" s="3"/>
      <c r="E514" s="5">
        <f t="shared" si="14"/>
        <v>52.735267150280187</v>
      </c>
      <c r="F514" s="16">
        <v>22.36392788074545</v>
      </c>
      <c r="G514" s="3"/>
      <c r="H514" s="5">
        <f t="shared" si="15"/>
        <v>0.87169711699702923</v>
      </c>
    </row>
    <row r="515" spans="2:8" x14ac:dyDescent="0.2">
      <c r="B515" s="1">
        <v>508</v>
      </c>
      <c r="C515" s="2">
        <v>2889.0634071556183</v>
      </c>
      <c r="D515" s="3"/>
      <c r="E515" s="5">
        <f t="shared" si="14"/>
        <v>52.746794449138775</v>
      </c>
      <c r="F515" s="16">
        <v>192.95584284155211</v>
      </c>
      <c r="G515" s="3"/>
      <c r="H515" s="5">
        <f t="shared" si="15"/>
        <v>7.5209977786382627</v>
      </c>
    </row>
    <row r="516" spans="2:8" x14ac:dyDescent="0.2">
      <c r="B516" s="1">
        <v>509</v>
      </c>
      <c r="C516" s="2">
        <v>2889.6997842490132</v>
      </c>
      <c r="D516" s="3"/>
      <c r="E516" s="5">
        <f t="shared" si="14"/>
        <v>52.758413042089799</v>
      </c>
      <c r="F516" s="16">
        <v>620.37769491443032</v>
      </c>
      <c r="G516" s="3"/>
      <c r="H516" s="5">
        <f t="shared" si="15"/>
        <v>24.180969058291641</v>
      </c>
    </row>
    <row r="517" spans="2:8" x14ac:dyDescent="0.2">
      <c r="B517" s="1">
        <v>510</v>
      </c>
      <c r="C517" s="2">
        <v>2890.3411347817673</v>
      </c>
      <c r="D517" s="3"/>
      <c r="E517" s="5">
        <f t="shared" si="14"/>
        <v>52.770122437126695</v>
      </c>
      <c r="F517" s="16">
        <v>876.57128188143997</v>
      </c>
      <c r="G517" s="3"/>
      <c r="H517" s="5">
        <f t="shared" si="15"/>
        <v>34.166836135986138</v>
      </c>
    </row>
    <row r="518" spans="2:8" x14ac:dyDescent="0.2">
      <c r="B518" s="1">
        <v>511</v>
      </c>
      <c r="C518" s="2">
        <v>2890.9874318976567</v>
      </c>
      <c r="D518" s="3"/>
      <c r="E518" s="5">
        <f t="shared" si="14"/>
        <v>52.781922143924568</v>
      </c>
      <c r="F518" s="16">
        <v>1132.7599222653143</v>
      </c>
      <c r="G518" s="3"/>
      <c r="H518" s="5">
        <f t="shared" si="15"/>
        <v>44.152510406662067</v>
      </c>
    </row>
    <row r="519" spans="2:8" x14ac:dyDescent="0.2">
      <c r="B519" s="1">
        <v>512</v>
      </c>
      <c r="C519" s="2">
        <v>2891.6386488323374</v>
      </c>
      <c r="D519" s="3"/>
      <c r="E519" s="5">
        <f t="shared" si="14"/>
        <v>52.793811673835997</v>
      </c>
      <c r="F519" s="16">
        <v>1388.9436428303975</v>
      </c>
      <c r="G519" s="3"/>
      <c r="H519" s="5">
        <f t="shared" si="15"/>
        <v>54.137992913535179</v>
      </c>
    </row>
    <row r="520" spans="2:8" x14ac:dyDescent="0.2">
      <c r="B520" s="1">
        <v>513</v>
      </c>
      <c r="C520" s="2">
        <v>2892.2947589130717</v>
      </c>
      <c r="D520" s="3"/>
      <c r="E520" s="5">
        <f t="shared" si="14"/>
        <v>52.805790539886075</v>
      </c>
      <c r="F520" s="16">
        <v>1645.1224702494274</v>
      </c>
      <c r="G520" s="3"/>
      <c r="H520" s="5">
        <f t="shared" si="15"/>
        <v>64.123284696250593</v>
      </c>
    </row>
    <row r="521" spans="2:8" x14ac:dyDescent="0.2">
      <c r="B521" s="1">
        <v>514</v>
      </c>
      <c r="C521" s="2">
        <v>2892.9557355584898</v>
      </c>
      <c r="D521" s="3"/>
      <c r="E521" s="5">
        <f t="shared" ref="E521:E584" si="16">$D$5*C521</f>
        <v>52.817858256768027</v>
      </c>
      <c r="F521" s="16">
        <v>1901.2964311037736</v>
      </c>
      <c r="G521" s="3"/>
      <c r="H521" s="5">
        <f t="shared" ref="H521:H584" si="17">$G$5*F521</f>
        <v>74.108386790892126</v>
      </c>
    </row>
    <row r="522" spans="2:8" x14ac:dyDescent="0.2">
      <c r="B522" s="1">
        <v>515</v>
      </c>
      <c r="C522" s="2">
        <v>2893.6215522783341</v>
      </c>
      <c r="D522" s="3"/>
      <c r="E522" s="5">
        <f t="shared" si="16"/>
        <v>52.830014340838538</v>
      </c>
      <c r="F522" s="16">
        <v>2157.4655518836935</v>
      </c>
      <c r="G522" s="3"/>
      <c r="H522" s="5">
        <f t="shared" si="17"/>
        <v>84.093300229992195</v>
      </c>
    </row>
    <row r="523" spans="2:8" x14ac:dyDescent="0.2">
      <c r="B523" s="1">
        <v>516</v>
      </c>
      <c r="C523" s="2">
        <v>2894.2921826732072</v>
      </c>
      <c r="D523" s="3"/>
      <c r="E523" s="5">
        <f t="shared" si="16"/>
        <v>52.842258310113181</v>
      </c>
      <c r="F523" s="16">
        <v>2413.6298589885837</v>
      </c>
      <c r="G523" s="3"/>
      <c r="H523" s="5">
        <f t="shared" si="17"/>
        <v>94.07802604254168</v>
      </c>
    </row>
    <row r="524" spans="2:8" x14ac:dyDescent="0.2">
      <c r="B524" s="1">
        <v>517</v>
      </c>
      <c r="C524" s="2">
        <v>2894.9676004343291</v>
      </c>
      <c r="D524" s="3"/>
      <c r="E524" s="5">
        <f t="shared" si="16"/>
        <v>52.854589684261967</v>
      </c>
      <c r="F524" s="16">
        <v>2669.7893787272278</v>
      </c>
      <c r="G524" s="3"/>
      <c r="H524" s="5">
        <f t="shared" si="17"/>
        <v>104.06256525399959</v>
      </c>
    </row>
    <row r="525" spans="2:8" x14ac:dyDescent="0.2">
      <c r="B525" s="1">
        <v>518</v>
      </c>
      <c r="C525" s="2">
        <v>2895.6477793432828</v>
      </c>
      <c r="D525" s="3"/>
      <c r="E525" s="5">
        <f t="shared" si="16"/>
        <v>52.867007984604683</v>
      </c>
      <c r="F525" s="16">
        <v>2925.9441373180384</v>
      </c>
      <c r="G525" s="3"/>
      <c r="H525" s="5">
        <f t="shared" si="17"/>
        <v>114.04691888630244</v>
      </c>
    </row>
    <row r="526" spans="2:8" x14ac:dyDescent="0.2">
      <c r="B526" s="1">
        <v>519</v>
      </c>
      <c r="C526" s="2">
        <v>2896.3326932717587</v>
      </c>
      <c r="D526" s="3"/>
      <c r="E526" s="5">
        <f t="shared" si="16"/>
        <v>52.879512734106271</v>
      </c>
      <c r="F526" s="16">
        <v>2754.0359317230527</v>
      </c>
      <c r="G526" s="3"/>
      <c r="H526" s="5">
        <f t="shared" si="17"/>
        <v>107.34631208751648</v>
      </c>
    </row>
    <row r="527" spans="2:8" x14ac:dyDescent="0.2">
      <c r="B527" s="1">
        <v>520</v>
      </c>
      <c r="C527" s="2">
        <v>2897.0223161813228</v>
      </c>
      <c r="D527" s="3"/>
      <c r="E527" s="5">
        <f t="shared" si="16"/>
        <v>52.892103457372535</v>
      </c>
      <c r="F527" s="16">
        <v>2981.644031035501</v>
      </c>
      <c r="G527" s="3"/>
      <c r="H527" s="5">
        <f t="shared" si="17"/>
        <v>116.21797922192245</v>
      </c>
    </row>
    <row r="528" spans="2:8" x14ac:dyDescent="0.2">
      <c r="B528" s="1">
        <v>521</v>
      </c>
      <c r="C528" s="2">
        <v>2897.7166221231628</v>
      </c>
      <c r="D528" s="3"/>
      <c r="E528" s="5">
        <f t="shared" si="16"/>
        <v>52.904779680645568</v>
      </c>
      <c r="F528" s="16">
        <v>3779.9917528707056</v>
      </c>
      <c r="G528" s="3"/>
      <c r="H528" s="5">
        <f t="shared" si="17"/>
        <v>147.33583164909174</v>
      </c>
    </row>
    <row r="529" spans="2:8" x14ac:dyDescent="0.2">
      <c r="B529" s="1">
        <v>522</v>
      </c>
      <c r="C529" s="2">
        <v>2898.4155852378344</v>
      </c>
      <c r="D529" s="3"/>
      <c r="E529" s="5">
        <f t="shared" si="16"/>
        <v>52.917540931799074</v>
      </c>
      <c r="F529" s="16">
        <v>3608.0694980895241</v>
      </c>
      <c r="G529" s="3"/>
      <c r="H529" s="5">
        <f t="shared" si="17"/>
        <v>140.63467724367928</v>
      </c>
    </row>
    <row r="530" spans="2:8" x14ac:dyDescent="0.2">
      <c r="B530" s="1">
        <v>523</v>
      </c>
      <c r="C530" s="2">
        <v>2899.1191797550173</v>
      </c>
      <c r="D530" s="3"/>
      <c r="E530" s="5">
        <f t="shared" si="16"/>
        <v>52.93038674033393</v>
      </c>
      <c r="F530" s="16">
        <v>3949.8124869053609</v>
      </c>
      <c r="G530" s="3"/>
      <c r="H530" s="5">
        <f t="shared" si="17"/>
        <v>153.95507336073126</v>
      </c>
    </row>
    <row r="531" spans="2:8" x14ac:dyDescent="0.2">
      <c r="B531" s="1">
        <v>524</v>
      </c>
      <c r="C531" s="2">
        <v>2899.8273799932745</v>
      </c>
      <c r="D531" s="3"/>
      <c r="E531" s="5">
        <f t="shared" si="16"/>
        <v>52.943316637373805</v>
      </c>
      <c r="F531" s="16">
        <v>3606.6577033340841</v>
      </c>
      <c r="G531" s="3"/>
      <c r="H531" s="5">
        <f t="shared" si="17"/>
        <v>140.5796485642509</v>
      </c>
    </row>
    <row r="532" spans="2:8" x14ac:dyDescent="0.2">
      <c r="B532" s="1">
        <v>525</v>
      </c>
      <c r="C532" s="2">
        <v>2900.5401603598048</v>
      </c>
      <c r="D532" s="3"/>
      <c r="E532" s="5">
        <f t="shared" si="16"/>
        <v>52.956330155660609</v>
      </c>
      <c r="F532" s="16">
        <v>4119.6147979670823</v>
      </c>
      <c r="G532" s="3"/>
      <c r="H532" s="5">
        <f t="shared" si="17"/>
        <v>160.57359698507958</v>
      </c>
    </row>
    <row r="533" spans="2:8" x14ac:dyDescent="0.2">
      <c r="B533" s="1">
        <v>526</v>
      </c>
      <c r="C533" s="2">
        <v>2901.2574953502021</v>
      </c>
      <c r="D533" s="3"/>
      <c r="E533" s="5">
        <f t="shared" si="16"/>
        <v>52.96942682955013</v>
      </c>
      <c r="F533" s="16">
        <v>3262.7810046441377</v>
      </c>
      <c r="G533" s="3"/>
      <c r="H533" s="5">
        <f t="shared" si="17"/>
        <v>127.17608509146034</v>
      </c>
    </row>
    <row r="534" spans="2:8" x14ac:dyDescent="0.2">
      <c r="B534" s="1">
        <v>527</v>
      </c>
      <c r="C534" s="2">
        <v>2901.9793595482006</v>
      </c>
      <c r="D534" s="3"/>
      <c r="E534" s="5">
        <f t="shared" si="16"/>
        <v>52.982606195007357</v>
      </c>
      <c r="F534" s="16">
        <v>2405.9426821135903</v>
      </c>
      <c r="G534" s="3"/>
      <c r="H534" s="5">
        <f t="shared" si="17"/>
        <v>93.778396659210188</v>
      </c>
    </row>
    <row r="535" spans="2:8" x14ac:dyDescent="0.2">
      <c r="B535" s="1">
        <v>528</v>
      </c>
      <c r="C535" s="2">
        <v>2902.70572762544</v>
      </c>
      <c r="D535" s="3"/>
      <c r="E535" s="5">
        <f t="shared" si="16"/>
        <v>52.995867789602222</v>
      </c>
      <c r="F535" s="16">
        <v>1549.0998557038047</v>
      </c>
      <c r="G535" s="3"/>
      <c r="H535" s="5">
        <f t="shared" si="17"/>
        <v>60.380532675573527</v>
      </c>
    </row>
    <row r="536" spans="2:8" x14ac:dyDescent="0.2">
      <c r="B536" s="1">
        <v>529</v>
      </c>
      <c r="C536" s="2">
        <v>2903.43657434122</v>
      </c>
      <c r="D536" s="3"/>
      <c r="E536" s="5">
        <f t="shared" si="16"/>
        <v>53.009211152505095</v>
      </c>
      <c r="F536" s="16">
        <v>7.3593839894406301</v>
      </c>
      <c r="G536" s="3"/>
      <c r="H536" s="5">
        <f t="shared" si="17"/>
        <v>0.28685273180444804</v>
      </c>
    </row>
    <row r="537" spans="2:8" x14ac:dyDescent="0.2">
      <c r="B537" s="1">
        <v>530</v>
      </c>
      <c r="C537" s="2">
        <v>2739.5726666641513</v>
      </c>
      <c r="D537" s="3"/>
      <c r="E537" s="5">
        <f t="shared" si="16"/>
        <v>50.017481779426149</v>
      </c>
      <c r="F537" s="16">
        <v>0</v>
      </c>
      <c r="G537" s="3"/>
      <c r="H537" s="5">
        <f t="shared" si="17"/>
        <v>0</v>
      </c>
    </row>
    <row r="538" spans="2:8" x14ac:dyDescent="0.2">
      <c r="B538" s="1">
        <v>531</v>
      </c>
      <c r="C538" s="2">
        <v>2905.2368168234848</v>
      </c>
      <c r="D538" s="3"/>
      <c r="E538" s="5">
        <f t="shared" si="16"/>
        <v>53.042078904709989</v>
      </c>
      <c r="F538" s="16">
        <v>39.803799840477495</v>
      </c>
      <c r="G538" s="3"/>
      <c r="H538" s="5">
        <f t="shared" si="17"/>
        <v>1.5514652770966861</v>
      </c>
    </row>
    <row r="539" spans="2:8" x14ac:dyDescent="0.2">
      <c r="B539" s="1">
        <v>532</v>
      </c>
      <c r="C539" s="2">
        <v>2905.9794546313296</v>
      </c>
      <c r="D539" s="3"/>
      <c r="E539" s="5">
        <f t="shared" si="16"/>
        <v>53.055637542330587</v>
      </c>
      <c r="F539" s="16">
        <v>176.03979536584075</v>
      </c>
      <c r="G539" s="3"/>
      <c r="H539" s="5">
        <f t="shared" si="17"/>
        <v>6.8616471540881818</v>
      </c>
    </row>
    <row r="540" spans="2:8" x14ac:dyDescent="0.2">
      <c r="B540" s="1">
        <v>533</v>
      </c>
      <c r="C540" s="2">
        <v>2906.7264757915618</v>
      </c>
      <c r="D540" s="3"/>
      <c r="E540" s="5">
        <f t="shared" si="16"/>
        <v>53.069276208581506</v>
      </c>
      <c r="F540" s="16">
        <v>493.27888730055429</v>
      </c>
      <c r="G540" s="3"/>
      <c r="H540" s="5">
        <f t="shared" si="17"/>
        <v>19.226934831318324</v>
      </c>
    </row>
    <row r="541" spans="2:8" x14ac:dyDescent="0.2">
      <c r="B541" s="1">
        <v>534</v>
      </c>
      <c r="C541" s="2">
        <v>2907.4778554855484</v>
      </c>
      <c r="D541" s="3"/>
      <c r="E541" s="5">
        <f t="shared" si="16"/>
        <v>53.082994450338951</v>
      </c>
      <c r="F541" s="16">
        <v>712.67173974922252</v>
      </c>
      <c r="G541" s="3"/>
      <c r="H541" s="5">
        <f t="shared" si="17"/>
        <v>27.778389566329928</v>
      </c>
    </row>
    <row r="542" spans="2:8" x14ac:dyDescent="0.2">
      <c r="B542" s="1">
        <v>535</v>
      </c>
      <c r="C542" s="2">
        <v>2908.2335689808892</v>
      </c>
      <c r="D542" s="3"/>
      <c r="E542" s="5">
        <f t="shared" si="16"/>
        <v>53.096791816053553</v>
      </c>
      <c r="F542" s="16">
        <v>932.06025839653648</v>
      </c>
      <c r="G542" s="3"/>
      <c r="H542" s="5">
        <f t="shared" si="17"/>
        <v>36.329675379219879</v>
      </c>
    </row>
    <row r="543" spans="2:8" x14ac:dyDescent="0.2">
      <c r="B543" s="1">
        <v>536</v>
      </c>
      <c r="C543" s="2">
        <v>2908.9935916311983</v>
      </c>
      <c r="D543" s="3"/>
      <c r="E543" s="5">
        <f t="shared" si="16"/>
        <v>53.110667855746293</v>
      </c>
      <c r="F543" s="16">
        <v>1151.4444678888826</v>
      </c>
      <c r="G543" s="3"/>
      <c r="H543" s="5">
        <f t="shared" si="17"/>
        <v>44.880793230650546</v>
      </c>
    </row>
    <row r="544" spans="2:8" x14ac:dyDescent="0.2">
      <c r="B544" s="1">
        <v>537</v>
      </c>
      <c r="C544" s="2">
        <v>2909.7578988758401</v>
      </c>
      <c r="D544" s="3"/>
      <c r="E544" s="5">
        <f t="shared" si="16"/>
        <v>53.124622121003767</v>
      </c>
      <c r="F544" s="16">
        <v>1370.8243927868957</v>
      </c>
      <c r="G544" s="3"/>
      <c r="H544" s="5">
        <f t="shared" si="17"/>
        <v>53.431744077941886</v>
      </c>
    </row>
    <row r="545" spans="2:8" x14ac:dyDescent="0.2">
      <c r="B545" s="1">
        <v>538</v>
      </c>
      <c r="C545" s="2">
        <v>2910.5264662397153</v>
      </c>
      <c r="D545" s="3"/>
      <c r="E545" s="5">
        <f t="shared" si="16"/>
        <v>53.13865416497422</v>
      </c>
      <c r="F545" s="16">
        <v>1590.2000575656762</v>
      </c>
      <c r="G545" s="3"/>
      <c r="H545" s="5">
        <f t="shared" si="17"/>
        <v>61.982528875079922</v>
      </c>
    </row>
    <row r="546" spans="2:8" x14ac:dyDescent="0.2">
      <c r="B546" s="1">
        <v>539</v>
      </c>
      <c r="C546" s="2">
        <v>2911.2992693330125</v>
      </c>
      <c r="D546" s="3"/>
      <c r="E546" s="5">
        <f t="shared" si="16"/>
        <v>53.152763542363047</v>
      </c>
      <c r="F546" s="16">
        <v>1809.5714866150338</v>
      </c>
      <c r="G546" s="3"/>
      <c r="H546" s="5">
        <f t="shared" si="17"/>
        <v>70.533148572726219</v>
      </c>
    </row>
    <row r="547" spans="2:8" x14ac:dyDescent="0.2">
      <c r="B547" s="1">
        <v>540</v>
      </c>
      <c r="C547" s="2">
        <v>2912.0762838509704</v>
      </c>
      <c r="D547" s="3"/>
      <c r="E547" s="5">
        <f t="shared" si="16"/>
        <v>53.166949809428424</v>
      </c>
      <c r="F547" s="16">
        <v>2028.9387042397307</v>
      </c>
      <c r="G547" s="3"/>
      <c r="H547" s="5">
        <f t="shared" si="17"/>
        <v>79.083604118227399</v>
      </c>
    </row>
    <row r="548" spans="2:8" x14ac:dyDescent="0.2">
      <c r="B548" s="1">
        <v>541</v>
      </c>
      <c r="C548" s="2">
        <v>2912.8574855736447</v>
      </c>
      <c r="D548" s="3"/>
      <c r="E548" s="5">
        <f t="shared" si="16"/>
        <v>53.181212523977081</v>
      </c>
      <c r="F548" s="16">
        <v>2248.3017346597112</v>
      </c>
      <c r="G548" s="3"/>
      <c r="H548" s="5">
        <f t="shared" si="17"/>
        <v>87.633896455624026</v>
      </c>
    </row>
    <row r="549" spans="2:8" x14ac:dyDescent="0.2">
      <c r="B549" s="1">
        <v>542</v>
      </c>
      <c r="C549" s="2">
        <v>2913.6428503656693</v>
      </c>
      <c r="D549" s="3"/>
      <c r="E549" s="5">
        <f t="shared" si="16"/>
        <v>53.195551245359901</v>
      </c>
      <c r="F549" s="16">
        <v>2467.6606020103413</v>
      </c>
      <c r="G549" s="3"/>
      <c r="H549" s="5">
        <f t="shared" si="17"/>
        <v>96.184026525660016</v>
      </c>
    </row>
    <row r="550" spans="2:8" x14ac:dyDescent="0.2">
      <c r="B550" s="1">
        <v>543</v>
      </c>
      <c r="C550" s="2">
        <v>2914.4323541760268</v>
      </c>
      <c r="D550" s="3"/>
      <c r="E550" s="5">
        <f t="shared" si="16"/>
        <v>53.209965534467784</v>
      </c>
      <c r="F550" s="16">
        <v>2687.0153303426396</v>
      </c>
      <c r="G550" s="3"/>
      <c r="H550" s="5">
        <f t="shared" si="17"/>
        <v>104.73399526579161</v>
      </c>
    </row>
    <row r="551" spans="2:8" x14ac:dyDescent="0.2">
      <c r="B551" s="1">
        <v>544</v>
      </c>
      <c r="C551" s="2">
        <v>2915.2259730378059</v>
      </c>
      <c r="D551" s="3"/>
      <c r="E551" s="5">
        <f t="shared" si="16"/>
        <v>53.224454953727168</v>
      </c>
      <c r="F551" s="16">
        <v>2906.3659436235152</v>
      </c>
      <c r="G551" s="3"/>
      <c r="H551" s="5">
        <f t="shared" si="17"/>
        <v>113.28380361019663</v>
      </c>
    </row>
    <row r="552" spans="2:8" x14ac:dyDescent="0.2">
      <c r="B552" s="1">
        <v>545</v>
      </c>
      <c r="C552" s="2">
        <v>2916.0236830679733</v>
      </c>
      <c r="D552" s="3"/>
      <c r="E552" s="5">
        <f t="shared" si="16"/>
        <v>53.239019067095889</v>
      </c>
      <c r="F552" s="16">
        <v>2734.3449419268381</v>
      </c>
      <c r="G552" s="3"/>
      <c r="H552" s="5">
        <f t="shared" si="17"/>
        <v>106.5788002654561</v>
      </c>
    </row>
    <row r="553" spans="2:8" x14ac:dyDescent="0.2">
      <c r="B553" s="1">
        <v>546</v>
      </c>
      <c r="C553" s="2">
        <v>2916.8254604671392</v>
      </c>
      <c r="D553" s="3"/>
      <c r="E553" s="5">
        <f t="shared" si="16"/>
        <v>53.253657440058916</v>
      </c>
      <c r="F553" s="16">
        <v>3075.9897478606918</v>
      </c>
      <c r="G553" s="3"/>
      <c r="H553" s="5">
        <f t="shared" si="17"/>
        <v>119.89536942797581</v>
      </c>
    </row>
    <row r="554" spans="2:8" x14ac:dyDescent="0.2">
      <c r="B554" s="1">
        <v>547</v>
      </c>
      <c r="C554" s="2">
        <v>2917.6312815193164</v>
      </c>
      <c r="D554" s="3"/>
      <c r="E554" s="5">
        <f t="shared" si="16"/>
        <v>53.268369639623906</v>
      </c>
      <c r="F554" s="16">
        <v>3417.6305101415333</v>
      </c>
      <c r="G554" s="3"/>
      <c r="H554" s="5">
        <f t="shared" si="17"/>
        <v>133.21178097772321</v>
      </c>
    </row>
    <row r="555" spans="2:8" x14ac:dyDescent="0.2">
      <c r="B555" s="1">
        <v>548</v>
      </c>
      <c r="C555" s="2">
        <v>2918.4411225917029</v>
      </c>
      <c r="D555" s="3"/>
      <c r="E555" s="5">
        <f t="shared" si="16"/>
        <v>53.28315523431727</v>
      </c>
      <c r="F555" s="16">
        <v>3588.0439607356557</v>
      </c>
      <c r="G555" s="3"/>
      <c r="H555" s="5">
        <f t="shared" si="17"/>
        <v>139.85412548771012</v>
      </c>
    </row>
    <row r="556" spans="2:8" x14ac:dyDescent="0.2">
      <c r="B556" s="1">
        <v>549</v>
      </c>
      <c r="C556" s="2">
        <v>2919.2549601344385</v>
      </c>
      <c r="D556" s="3"/>
      <c r="E556" s="5">
        <f t="shared" si="16"/>
        <v>53.298013794179731</v>
      </c>
      <c r="F556" s="16">
        <v>4100.899998192448</v>
      </c>
      <c r="G556" s="3"/>
      <c r="H556" s="5">
        <f t="shared" si="17"/>
        <v>159.84413492028858</v>
      </c>
    </row>
    <row r="557" spans="2:8" x14ac:dyDescent="0.2">
      <c r="B557" s="1">
        <v>550</v>
      </c>
      <c r="C557" s="2">
        <v>2920.0727706803741</v>
      </c>
      <c r="D557" s="3"/>
      <c r="E557" s="5">
        <f t="shared" si="16"/>
        <v>53.31294489076209</v>
      </c>
      <c r="F557" s="16">
        <v>3243.9657293139658</v>
      </c>
      <c r="G557" s="3"/>
      <c r="H557" s="5">
        <f t="shared" si="17"/>
        <v>126.44270670872386</v>
      </c>
    </row>
    <row r="558" spans="2:8" x14ac:dyDescent="0.2">
      <c r="B558" s="1">
        <v>551</v>
      </c>
      <c r="C558" s="2">
        <v>2920.8945308448456</v>
      </c>
      <c r="D558" s="3"/>
      <c r="E558" s="5">
        <f t="shared" si="16"/>
        <v>53.327948097121116</v>
      </c>
      <c r="F558" s="16">
        <v>2387.0275108169453</v>
      </c>
      <c r="G558" s="3"/>
      <c r="H558" s="5">
        <f t="shared" si="17"/>
        <v>93.04112454964546</v>
      </c>
    </row>
    <row r="559" spans="2:8" x14ac:dyDescent="0.2">
      <c r="B559" s="1">
        <v>552</v>
      </c>
      <c r="C559" s="2">
        <v>2921.7202173254386</v>
      </c>
      <c r="D559" s="3"/>
      <c r="E559" s="5">
        <f t="shared" si="16"/>
        <v>53.343022987815246</v>
      </c>
      <c r="F559" s="16">
        <v>1530.085366003806</v>
      </c>
      <c r="G559" s="3"/>
      <c r="H559" s="5">
        <f t="shared" si="17"/>
        <v>59.639389351330877</v>
      </c>
    </row>
    <row r="560" spans="2:8" x14ac:dyDescent="0.2">
      <c r="B560" s="1">
        <v>553</v>
      </c>
      <c r="C560" s="2">
        <v>2910.7959583306606</v>
      </c>
      <c r="D560" s="3"/>
      <c r="E560" s="5">
        <f t="shared" si="16"/>
        <v>53.143574390640282</v>
      </c>
      <c r="F560" s="16">
        <v>0</v>
      </c>
      <c r="G560" s="3"/>
      <c r="H560" s="5">
        <f t="shared" si="17"/>
        <v>0</v>
      </c>
    </row>
    <row r="561" spans="2:8" x14ac:dyDescent="0.2">
      <c r="B561" s="1">
        <v>554</v>
      </c>
      <c r="C561" s="2">
        <v>2739.5726666641513</v>
      </c>
      <c r="D561" s="3"/>
      <c r="E561" s="5">
        <f t="shared" si="16"/>
        <v>50.017481779426149</v>
      </c>
      <c r="F561" s="16">
        <v>0</v>
      </c>
      <c r="G561" s="3"/>
      <c r="H561" s="5">
        <f t="shared" si="17"/>
        <v>0</v>
      </c>
    </row>
    <row r="562" spans="2:8" x14ac:dyDescent="0.2">
      <c r="B562" s="1">
        <v>555</v>
      </c>
      <c r="C562" s="2">
        <v>2910.7959583306606</v>
      </c>
      <c r="D562" s="3"/>
      <c r="E562" s="5">
        <f t="shared" si="16"/>
        <v>53.143574390640282</v>
      </c>
      <c r="F562" s="16">
        <v>0</v>
      </c>
      <c r="G562" s="3"/>
      <c r="H562" s="5">
        <f t="shared" si="17"/>
        <v>0</v>
      </c>
    </row>
    <row r="563" spans="2:8" x14ac:dyDescent="0.2">
      <c r="B563" s="1">
        <v>556</v>
      </c>
      <c r="C563" s="2">
        <v>2925.5021438952303</v>
      </c>
      <c r="D563" s="3"/>
      <c r="E563" s="5">
        <f t="shared" si="16"/>
        <v>53.412071144703894</v>
      </c>
      <c r="F563" s="16">
        <v>156.51710610194004</v>
      </c>
      <c r="G563" s="3"/>
      <c r="H563" s="5">
        <f t="shared" si="17"/>
        <v>6.1006953195930045</v>
      </c>
    </row>
    <row r="564" spans="2:8" x14ac:dyDescent="0.2">
      <c r="B564" s="1">
        <v>557</v>
      </c>
      <c r="C564" s="2">
        <v>2926.3450892299638</v>
      </c>
      <c r="D564" s="3"/>
      <c r="E564" s="5">
        <f t="shared" si="16"/>
        <v>53.427461137250589</v>
      </c>
      <c r="F564" s="16">
        <v>524.46278897199591</v>
      </c>
      <c r="G564" s="3"/>
      <c r="H564" s="5">
        <f t="shared" si="17"/>
        <v>20.442415283976999</v>
      </c>
    </row>
    <row r="565" spans="2:8" x14ac:dyDescent="0.2">
      <c r="B565" s="1">
        <v>558</v>
      </c>
      <c r="C565" s="2">
        <v>2927.1918292993646</v>
      </c>
      <c r="D565" s="3"/>
      <c r="E565" s="5">
        <f t="shared" si="16"/>
        <v>53.44292041179677</v>
      </c>
      <c r="F565" s="16">
        <v>760.69445274853115</v>
      </c>
      <c r="G565" s="3"/>
      <c r="H565" s="5">
        <f t="shared" si="17"/>
        <v>29.650210147003243</v>
      </c>
    </row>
    <row r="566" spans="2:8" x14ac:dyDescent="0.2">
      <c r="B566" s="1">
        <v>559</v>
      </c>
      <c r="C566" s="2">
        <v>2928.0423413532562</v>
      </c>
      <c r="D566" s="3"/>
      <c r="E566" s="5">
        <f t="shared" si="16"/>
        <v>53.458448552983292</v>
      </c>
      <c r="F566" s="16">
        <v>996.92234454057507</v>
      </c>
      <c r="G566" s="3"/>
      <c r="H566" s="5">
        <f t="shared" si="17"/>
        <v>38.857857986303422</v>
      </c>
    </row>
    <row r="567" spans="2:8" x14ac:dyDescent="0.2">
      <c r="B567" s="1">
        <v>560</v>
      </c>
      <c r="C567" s="2">
        <v>2928.8966027219312</v>
      </c>
      <c r="D567" s="3"/>
      <c r="E567" s="5">
        <f t="shared" si="16"/>
        <v>53.474045146920183</v>
      </c>
      <c r="F567" s="16">
        <v>1233.1464870178361</v>
      </c>
      <c r="G567" s="3"/>
      <c r="H567" s="5">
        <f t="shared" si="17"/>
        <v>48.065359685493313</v>
      </c>
    </row>
    <row r="568" spans="2:8" x14ac:dyDescent="0.2">
      <c r="B568" s="1">
        <v>561</v>
      </c>
      <c r="C568" s="2">
        <v>2929.7545908159177</v>
      </c>
      <c r="D568" s="3"/>
      <c r="E568" s="5">
        <f t="shared" si="16"/>
        <v>53.489709781182356</v>
      </c>
      <c r="F568" s="16">
        <v>1469.3669027697856</v>
      </c>
      <c r="G568" s="3"/>
      <c r="H568" s="5">
        <f t="shared" si="17"/>
        <v>57.272716125061223</v>
      </c>
    </row>
    <row r="569" spans="2:8" x14ac:dyDescent="0.2">
      <c r="B569" s="1">
        <v>562</v>
      </c>
      <c r="C569" s="2">
        <v>2930.6162831257616</v>
      </c>
      <c r="D569" s="3"/>
      <c r="E569" s="5">
        <f t="shared" si="16"/>
        <v>53.505442044805633</v>
      </c>
      <c r="F569" s="16">
        <v>1705.5836143058777</v>
      </c>
      <c r="G569" s="3"/>
      <c r="H569" s="5">
        <f t="shared" si="17"/>
        <v>66.479928182376568</v>
      </c>
    </row>
    <row r="570" spans="2:8" x14ac:dyDescent="0.2">
      <c r="B570" s="1">
        <v>563</v>
      </c>
      <c r="C570" s="2">
        <v>2931.4816572217937</v>
      </c>
      <c r="D570" s="3"/>
      <c r="E570" s="5">
        <f t="shared" si="16"/>
        <v>53.521241528282516</v>
      </c>
      <c r="F570" s="16">
        <v>1941.7966440557825</v>
      </c>
      <c r="G570" s="3"/>
      <c r="H570" s="5">
        <f t="shared" si="17"/>
        <v>75.686996731698954</v>
      </c>
    </row>
    <row r="571" spans="2:8" x14ac:dyDescent="0.2">
      <c r="B571" s="1">
        <v>564</v>
      </c>
      <c r="C571" s="2">
        <v>2932.3506907539186</v>
      </c>
      <c r="D571" s="3"/>
      <c r="E571" s="5">
        <f t="shared" si="16"/>
        <v>53.537107823558301</v>
      </c>
      <c r="F571" s="16">
        <v>2178.0060143695937</v>
      </c>
      <c r="G571" s="3"/>
      <c r="H571" s="5">
        <f t="shared" si="17"/>
        <v>84.893922644186276</v>
      </c>
    </row>
    <row r="572" spans="2:8" x14ac:dyDescent="0.2">
      <c r="B572" s="1">
        <v>565</v>
      </c>
      <c r="C572" s="2">
        <v>2933.2233614513775</v>
      </c>
      <c r="D572" s="3"/>
      <c r="E572" s="5">
        <f t="shared" si="16"/>
        <v>53.553040524026777</v>
      </c>
      <c r="F572" s="16">
        <v>2414.2117475180698</v>
      </c>
      <c r="G572" s="3"/>
      <c r="H572" s="5">
        <f t="shared" si="17"/>
        <v>94.100706787904102</v>
      </c>
    </row>
    <row r="573" spans="2:8" x14ac:dyDescent="0.2">
      <c r="B573" s="1">
        <v>566</v>
      </c>
      <c r="C573" s="2">
        <v>2934.0996471225362</v>
      </c>
      <c r="D573" s="3"/>
      <c r="E573" s="5">
        <f t="shared" si="16"/>
        <v>53.569039224526342</v>
      </c>
      <c r="F573" s="16">
        <v>2650.413865692848</v>
      </c>
      <c r="G573" s="3"/>
      <c r="H573" s="5">
        <f t="shared" si="17"/>
        <v>103.30735002783405</v>
      </c>
    </row>
    <row r="574" spans="2:8" x14ac:dyDescent="0.2">
      <c r="B574" s="1">
        <v>567</v>
      </c>
      <c r="C574" s="2">
        <v>2934.9795256546577</v>
      </c>
      <c r="D574" s="3"/>
      <c r="E574" s="5">
        <f t="shared" si="16"/>
        <v>53.585103521335846</v>
      </c>
      <c r="F574" s="16">
        <v>2886.6123910066635</v>
      </c>
      <c r="G574" s="3"/>
      <c r="H574" s="5">
        <f t="shared" si="17"/>
        <v>112.51385322588227</v>
      </c>
    </row>
    <row r="575" spans="2:8" x14ac:dyDescent="0.2">
      <c r="B575" s="1">
        <v>568</v>
      </c>
      <c r="C575" s="2">
        <v>2935.8629750136752</v>
      </c>
      <c r="D575" s="3"/>
      <c r="E575" s="5">
        <f t="shared" si="16"/>
        <v>53.601233012170454</v>
      </c>
      <c r="F575" s="16">
        <v>2714.5056499811362</v>
      </c>
      <c r="G575" s="3"/>
      <c r="H575" s="5">
        <f t="shared" si="17"/>
        <v>105.80550794916222</v>
      </c>
    </row>
    <row r="576" spans="2:8" x14ac:dyDescent="0.2">
      <c r="B576" s="1">
        <v>569</v>
      </c>
      <c r="C576" s="2">
        <v>2936.7499732439778</v>
      </c>
      <c r="D576" s="3"/>
      <c r="E576" s="5">
        <f t="shared" si="16"/>
        <v>53.617427296177738</v>
      </c>
      <c r="F576" s="16">
        <v>3021.820576750551</v>
      </c>
      <c r="G576" s="3"/>
      <c r="H576" s="5">
        <f t="shared" si="17"/>
        <v>117.78397331998342</v>
      </c>
    </row>
    <row r="577" spans="2:8" x14ac:dyDescent="0.2">
      <c r="B577" s="1">
        <v>570</v>
      </c>
      <c r="C577" s="2">
        <v>2937.6404984681881</v>
      </c>
      <c r="D577" s="3"/>
      <c r="E577" s="5">
        <f t="shared" si="16"/>
        <v>53.633685973933595</v>
      </c>
      <c r="F577" s="16">
        <v>3329.1319765260582</v>
      </c>
      <c r="G577" s="3"/>
      <c r="H577" s="5">
        <f t="shared" si="17"/>
        <v>129.762301216277</v>
      </c>
    </row>
    <row r="578" spans="2:8" x14ac:dyDescent="0.2">
      <c r="B578" s="1">
        <v>571</v>
      </c>
      <c r="C578" s="2">
        <v>2938.5345288869476</v>
      </c>
      <c r="D578" s="3"/>
      <c r="E578" s="5">
        <f t="shared" si="16"/>
        <v>53.650008647438369</v>
      </c>
      <c r="F578" s="16">
        <v>3910.3971377734306</v>
      </c>
      <c r="G578" s="3"/>
      <c r="H578" s="5">
        <f t="shared" si="17"/>
        <v>152.41874904476367</v>
      </c>
    </row>
    <row r="579" spans="2:8" x14ac:dyDescent="0.2">
      <c r="B579" s="1">
        <v>572</v>
      </c>
      <c r="C579" s="2">
        <v>2939.4320427786788</v>
      </c>
      <c r="D579" s="3"/>
      <c r="E579" s="5">
        <f t="shared" si="16"/>
        <v>53.666394920112459</v>
      </c>
      <c r="F579" s="16">
        <v>3909.4996238816993</v>
      </c>
      <c r="G579" s="3"/>
      <c r="H579" s="5">
        <f t="shared" si="17"/>
        <v>152.38376591138663</v>
      </c>
    </row>
    <row r="580" spans="2:8" x14ac:dyDescent="0.2">
      <c r="B580" s="1">
        <v>573</v>
      </c>
      <c r="C580" s="2">
        <v>2940.333018499382</v>
      </c>
      <c r="D580" s="3"/>
      <c r="E580" s="5">
        <f t="shared" si="16"/>
        <v>53.682844396792653</v>
      </c>
      <c r="F580" s="16">
        <v>4251.0452314940148</v>
      </c>
      <c r="G580" s="3"/>
      <c r="H580" s="5">
        <f t="shared" si="17"/>
        <v>165.69646853975559</v>
      </c>
    </row>
    <row r="581" spans="2:8" x14ac:dyDescent="0.2">
      <c r="B581" s="1">
        <v>574</v>
      </c>
      <c r="C581" s="2">
        <v>2941.2374344824166</v>
      </c>
      <c r="D581" s="3"/>
      <c r="E581" s="5">
        <f t="shared" si="16"/>
        <v>53.699356683728091</v>
      </c>
      <c r="F581" s="16">
        <v>3359.7796988451319</v>
      </c>
      <c r="G581" s="3"/>
      <c r="H581" s="5">
        <f t="shared" si="17"/>
        <v>130.95688256757276</v>
      </c>
    </row>
    <row r="582" spans="2:8" x14ac:dyDescent="0.2">
      <c r="B582" s="1">
        <v>575</v>
      </c>
      <c r="C582" s="2">
        <v>2942.1452692382704</v>
      </c>
      <c r="D582" s="3"/>
      <c r="E582" s="5">
        <f t="shared" si="16"/>
        <v>53.715931388576109</v>
      </c>
      <c r="F582" s="16">
        <v>2468.5107474234287</v>
      </c>
      <c r="G582" s="3"/>
      <c r="H582" s="5">
        <f t="shared" si="17"/>
        <v>96.217163339084223</v>
      </c>
    </row>
    <row r="583" spans="2:8" x14ac:dyDescent="0.2">
      <c r="B583" s="1">
        <v>576</v>
      </c>
      <c r="C583" s="2">
        <v>2943.0565013543578</v>
      </c>
      <c r="D583" s="3"/>
      <c r="E583" s="5">
        <f t="shared" si="16"/>
        <v>53.732568120398497</v>
      </c>
      <c r="F583" s="16">
        <v>1577.2383986414911</v>
      </c>
      <c r="G583" s="3"/>
      <c r="H583" s="5">
        <f t="shared" si="17"/>
        <v>61.477311688905814</v>
      </c>
    </row>
    <row r="584" spans="2:8" x14ac:dyDescent="0.2">
      <c r="B584" s="1">
        <v>577</v>
      </c>
      <c r="C584" s="2">
        <v>2910.7959583306606</v>
      </c>
      <c r="D584" s="3"/>
      <c r="E584" s="5">
        <f t="shared" si="16"/>
        <v>53.143574390640282</v>
      </c>
      <c r="F584" s="16">
        <v>0</v>
      </c>
      <c r="G584" s="3"/>
      <c r="H584" s="5">
        <f t="shared" si="17"/>
        <v>0</v>
      </c>
    </row>
    <row r="585" spans="2:8" x14ac:dyDescent="0.2">
      <c r="B585" s="1">
        <v>578</v>
      </c>
      <c r="C585" s="2">
        <v>2739.5726666641513</v>
      </c>
      <c r="D585" s="3"/>
      <c r="E585" s="5">
        <f t="shared" ref="E585:E648" si="18">$D$5*C585</f>
        <v>50.017481779426149</v>
      </c>
      <c r="F585" s="16">
        <v>0</v>
      </c>
      <c r="G585" s="3"/>
      <c r="H585" s="5">
        <f t="shared" ref="H585:H648" si="19">$G$5*F585</f>
        <v>0</v>
      </c>
    </row>
    <row r="586" spans="2:8" x14ac:dyDescent="0.2">
      <c r="B586" s="1">
        <v>579</v>
      </c>
      <c r="C586" s="2">
        <v>2910.7959583306606</v>
      </c>
      <c r="D586" s="3"/>
      <c r="E586" s="5">
        <f t="shared" si="18"/>
        <v>53.143574390640282</v>
      </c>
      <c r="F586" s="16">
        <v>0</v>
      </c>
      <c r="G586" s="3"/>
      <c r="H586" s="5">
        <f t="shared" si="19"/>
        <v>0</v>
      </c>
    </row>
    <row r="587" spans="2:8" x14ac:dyDescent="0.2">
      <c r="B587" s="1">
        <v>580</v>
      </c>
      <c r="C587" s="2">
        <v>2947.2782650497115</v>
      </c>
      <c r="D587" s="3"/>
      <c r="E587" s="5">
        <f t="shared" si="18"/>
        <v>53.809646560871663</v>
      </c>
      <c r="F587" s="16">
        <v>134.74098494745886</v>
      </c>
      <c r="G587" s="3"/>
      <c r="H587" s="5">
        <f t="shared" si="19"/>
        <v>5.2519096263569667</v>
      </c>
    </row>
    <row r="588" spans="2:8" x14ac:dyDescent="0.2">
      <c r="B588" s="1">
        <v>581</v>
      </c>
      <c r="C588" s="2">
        <v>2948.2036660101799</v>
      </c>
      <c r="D588" s="3"/>
      <c r="E588" s="5">
        <f t="shared" si="18"/>
        <v>53.82654197899366</v>
      </c>
      <c r="F588" s="16">
        <v>476.26216732000921</v>
      </c>
      <c r="G588" s="3"/>
      <c r="H588" s="5">
        <f t="shared" si="19"/>
        <v>18.563660212168887</v>
      </c>
    </row>
    <row r="589" spans="2:8" x14ac:dyDescent="0.2">
      <c r="B589" s="1">
        <v>582</v>
      </c>
      <c r="C589" s="2">
        <v>2949.1323455000647</v>
      </c>
      <c r="D589" s="3"/>
      <c r="E589" s="5">
        <f t="shared" si="18"/>
        <v>53.843497254547934</v>
      </c>
      <c r="F589" s="16">
        <v>703.63121005213634</v>
      </c>
      <c r="G589" s="3"/>
      <c r="H589" s="5">
        <f t="shared" si="19"/>
        <v>27.426009442628089</v>
      </c>
    </row>
    <row r="590" spans="2:8" x14ac:dyDescent="0.2">
      <c r="B590" s="1">
        <v>583</v>
      </c>
      <c r="C590" s="2">
        <v>2950.0642826180251</v>
      </c>
      <c r="D590" s="3"/>
      <c r="E590" s="5">
        <f t="shared" si="18"/>
        <v>53.860512005930275</v>
      </c>
      <c r="F590" s="16">
        <v>930.99699515618886</v>
      </c>
      <c r="G590" s="3"/>
      <c r="H590" s="5">
        <f t="shared" si="19"/>
        <v>36.288231697852176</v>
      </c>
    </row>
    <row r="591" spans="2:8" x14ac:dyDescent="0.2">
      <c r="B591" s="1">
        <v>584</v>
      </c>
      <c r="C591" s="2">
        <v>2950.999456537957</v>
      </c>
      <c r="D591" s="3"/>
      <c r="E591" s="5">
        <f t="shared" si="18"/>
        <v>53.877585852910123</v>
      </c>
      <c r="F591" s="16">
        <v>1158.3595434582689</v>
      </c>
      <c r="G591" s="3"/>
      <c r="H591" s="5">
        <f t="shared" si="19"/>
        <v>45.150327789597156</v>
      </c>
    </row>
    <row r="592" spans="2:8" x14ac:dyDescent="0.2">
      <c r="B592" s="1">
        <v>585</v>
      </c>
      <c r="C592" s="2">
        <v>2951.937846508788</v>
      </c>
      <c r="D592" s="3"/>
      <c r="E592" s="5">
        <f t="shared" si="18"/>
        <v>53.89471841662678</v>
      </c>
      <c r="F592" s="16">
        <v>1385.7188757094514</v>
      </c>
      <c r="G592" s="3"/>
      <c r="H592" s="5">
        <f t="shared" si="19"/>
        <v>54.012298526694671</v>
      </c>
    </row>
    <row r="593" spans="2:8" x14ac:dyDescent="0.2">
      <c r="B593" s="1">
        <v>586</v>
      </c>
      <c r="C593" s="2">
        <v>2952.8794318542568</v>
      </c>
      <c r="D593" s="3"/>
      <c r="E593" s="5">
        <f t="shared" si="18"/>
        <v>53.911909319585419</v>
      </c>
      <c r="F593" s="16">
        <v>1613.075012585995</v>
      </c>
      <c r="G593" s="3"/>
      <c r="H593" s="5">
        <f t="shared" si="19"/>
        <v>62.874144715060176</v>
      </c>
    </row>
    <row r="594" spans="2:8" x14ac:dyDescent="0.2">
      <c r="B594" s="1">
        <v>587</v>
      </c>
      <c r="C594" s="2">
        <v>2953.8241919727038</v>
      </c>
      <c r="D594" s="3"/>
      <c r="E594" s="5">
        <f t="shared" si="18"/>
        <v>53.929158185653236</v>
      </c>
      <c r="F594" s="16">
        <v>1840.4279746895604</v>
      </c>
      <c r="G594" s="3"/>
      <c r="H594" s="5">
        <f t="shared" si="19"/>
        <v>71.735867157701449</v>
      </c>
    </row>
    <row r="595" spans="2:8" x14ac:dyDescent="0.2">
      <c r="B595" s="1">
        <v>588</v>
      </c>
      <c r="C595" s="2">
        <v>2954.7721063368604</v>
      </c>
      <c r="D595" s="3"/>
      <c r="E595" s="5">
        <f t="shared" si="18"/>
        <v>53.94646464005563</v>
      </c>
      <c r="F595" s="16">
        <v>2067.7777825474163</v>
      </c>
      <c r="G595" s="3"/>
      <c r="H595" s="5">
        <f t="shared" si="19"/>
        <v>80.597466654726645</v>
      </c>
    </row>
    <row r="596" spans="2:8" x14ac:dyDescent="0.2">
      <c r="B596" s="1">
        <v>589</v>
      </c>
      <c r="C596" s="2">
        <v>2955.7231544936312</v>
      </c>
      <c r="D596" s="3"/>
      <c r="E596" s="5">
        <f t="shared" si="18"/>
        <v>53.96382830937219</v>
      </c>
      <c r="F596" s="16">
        <v>2295.1244566126579</v>
      </c>
      <c r="G596" s="3"/>
      <c r="H596" s="5">
        <f t="shared" si="19"/>
        <v>89.458944003352784</v>
      </c>
    </row>
    <row r="597" spans="2:8" x14ac:dyDescent="0.2">
      <c r="B597" s="1">
        <v>590</v>
      </c>
      <c r="C597" s="2">
        <v>2956.677316063895</v>
      </c>
      <c r="D597" s="3"/>
      <c r="E597" s="5">
        <f t="shared" si="18"/>
        <v>53.981248821533086</v>
      </c>
      <c r="F597" s="16">
        <v>2522.4680172644075</v>
      </c>
      <c r="G597" s="3"/>
      <c r="H597" s="5">
        <f t="shared" si="19"/>
        <v>98.320299997913594</v>
      </c>
    </row>
    <row r="598" spans="2:8" x14ac:dyDescent="0.2">
      <c r="B598" s="1">
        <v>591</v>
      </c>
      <c r="C598" s="2">
        <v>2957.6345707422893</v>
      </c>
      <c r="D598" s="3"/>
      <c r="E598" s="5">
        <f t="shared" si="18"/>
        <v>53.998725805815148</v>
      </c>
      <c r="F598" s="16">
        <v>2350.2874709195025</v>
      </c>
      <c r="G598" s="3"/>
      <c r="H598" s="5">
        <f t="shared" si="19"/>
        <v>91.609077950866634</v>
      </c>
    </row>
    <row r="599" spans="2:8" x14ac:dyDescent="0.2">
      <c r="B599" s="1">
        <v>592</v>
      </c>
      <c r="C599" s="2">
        <v>2958.5948982969876</v>
      </c>
      <c r="D599" s="3"/>
      <c r="E599" s="5">
        <f t="shared" si="18"/>
        <v>54.016258892837769</v>
      </c>
      <c r="F599" s="16">
        <v>2748.8481572533274</v>
      </c>
      <c r="G599" s="3"/>
      <c r="H599" s="5">
        <f t="shared" si="19"/>
        <v>107.14410395694995</v>
      </c>
    </row>
    <row r="600" spans="2:8" x14ac:dyDescent="0.2">
      <c r="B600" s="1">
        <v>593</v>
      </c>
      <c r="C600" s="2">
        <v>2959.5582785695133</v>
      </c>
      <c r="D600" s="3"/>
      <c r="E600" s="5">
        <f t="shared" si="18"/>
        <v>54.033847714559506</v>
      </c>
      <c r="F600" s="16">
        <v>3147.4057908693239</v>
      </c>
      <c r="G600" s="3"/>
      <c r="H600" s="5">
        <f t="shared" si="19"/>
        <v>122.67901097475249</v>
      </c>
    </row>
    <row r="601" spans="2:8" x14ac:dyDescent="0.2">
      <c r="B601" s="1">
        <v>594</v>
      </c>
      <c r="C601" s="2">
        <v>2960.5246914745153</v>
      </c>
      <c r="D601" s="3"/>
      <c r="E601" s="5">
        <f t="shared" si="18"/>
        <v>54.05149190427403</v>
      </c>
      <c r="F601" s="16">
        <v>3545.9603918528433</v>
      </c>
      <c r="G601" s="3"/>
      <c r="H601" s="5">
        <f t="shared" si="19"/>
        <v>138.21379978715743</v>
      </c>
    </row>
    <row r="602" spans="2:8" x14ac:dyDescent="0.2">
      <c r="B602" s="1">
        <v>595</v>
      </c>
      <c r="C602" s="2">
        <v>2961.4941169995614</v>
      </c>
      <c r="D602" s="3"/>
      <c r="E602" s="5">
        <f t="shared" si="18"/>
        <v>54.069191096606296</v>
      </c>
      <c r="F602" s="16">
        <v>3074.1269142448969</v>
      </c>
      <c r="G602" s="3"/>
      <c r="H602" s="5">
        <f t="shared" si="19"/>
        <v>119.82276023781063</v>
      </c>
    </row>
    <row r="603" spans="2:8" x14ac:dyDescent="0.2">
      <c r="B603" s="1">
        <v>596</v>
      </c>
      <c r="C603" s="2">
        <v>2962.4665352049351</v>
      </c>
      <c r="D603" s="3"/>
      <c r="E603" s="5">
        <f t="shared" si="18"/>
        <v>54.086944927508867</v>
      </c>
      <c r="F603" s="16">
        <v>2602.2904439566219</v>
      </c>
      <c r="G603" s="3"/>
      <c r="H603" s="5">
        <f t="shared" si="19"/>
        <v>101.4316040403138</v>
      </c>
    </row>
    <row r="604" spans="2:8" x14ac:dyDescent="0.2">
      <c r="B604" s="1">
        <v>597</v>
      </c>
      <c r="C604" s="2">
        <v>2963.4419262234251</v>
      </c>
      <c r="D604" s="3"/>
      <c r="E604" s="5">
        <f t="shared" si="18"/>
        <v>54.104753034258067</v>
      </c>
      <c r="F604" s="16">
        <v>2130.4510008552306</v>
      </c>
      <c r="G604" s="3"/>
      <c r="H604" s="5">
        <f t="shared" si="19"/>
        <v>83.040331969047543</v>
      </c>
    </row>
    <row r="605" spans="2:8" x14ac:dyDescent="0.2">
      <c r="B605" s="1">
        <v>598</v>
      </c>
      <c r="C605" s="2">
        <v>2964.4202702601156</v>
      </c>
      <c r="D605" s="3"/>
      <c r="E605" s="5">
        <f t="shared" si="18"/>
        <v>54.12261505545014</v>
      </c>
      <c r="F605" s="16">
        <v>1658.6086047356398</v>
      </c>
      <c r="G605" s="3"/>
      <c r="H605" s="5">
        <f t="shared" si="19"/>
        <v>64.648944795574522</v>
      </c>
    </row>
    <row r="606" spans="2:8" x14ac:dyDescent="0.2">
      <c r="B606" s="1">
        <v>599</v>
      </c>
      <c r="C606" s="2">
        <v>2965.4015475921879</v>
      </c>
      <c r="D606" s="3"/>
      <c r="E606" s="5">
        <f t="shared" si="18"/>
        <v>54.140530630997638</v>
      </c>
      <c r="F606" s="16">
        <v>1186.7632753206663</v>
      </c>
      <c r="G606" s="3"/>
      <c r="H606" s="5">
        <f t="shared" si="19"/>
        <v>46.257443288647103</v>
      </c>
    </row>
    <row r="607" spans="2:8" x14ac:dyDescent="0.2">
      <c r="B607" s="1">
        <v>600</v>
      </c>
      <c r="C607" s="2">
        <v>2966.3857385687102</v>
      </c>
      <c r="D607" s="3"/>
      <c r="E607" s="5">
        <f t="shared" si="18"/>
        <v>54.158499402125592</v>
      </c>
      <c r="F607" s="16">
        <v>458.0800947614789</v>
      </c>
      <c r="G607" s="3"/>
      <c r="H607" s="5">
        <f t="shared" si="19"/>
        <v>17.854962692000825</v>
      </c>
    </row>
    <row r="608" spans="2:8" x14ac:dyDescent="0.2">
      <c r="B608" s="1">
        <v>601</v>
      </c>
      <c r="C608" s="2">
        <v>2910.7959583306606</v>
      </c>
      <c r="D608" s="3"/>
      <c r="E608" s="5">
        <f t="shared" si="18"/>
        <v>53.143574390640282</v>
      </c>
      <c r="F608" s="16">
        <v>0</v>
      </c>
      <c r="G608" s="3"/>
      <c r="H608" s="5">
        <f t="shared" si="19"/>
        <v>0</v>
      </c>
    </row>
    <row r="609" spans="2:8" x14ac:dyDescent="0.2">
      <c r="B609" s="1">
        <v>602</v>
      </c>
      <c r="C609" s="2">
        <v>2739.5726666641513</v>
      </c>
      <c r="D609" s="3"/>
      <c r="E609" s="5">
        <f t="shared" si="18"/>
        <v>50.017481779426149</v>
      </c>
      <c r="F609" s="16">
        <v>0</v>
      </c>
      <c r="G609" s="3"/>
      <c r="H609" s="5">
        <f t="shared" si="19"/>
        <v>0</v>
      </c>
    </row>
    <row r="610" spans="2:8" x14ac:dyDescent="0.2">
      <c r="B610" s="1">
        <v>603</v>
      </c>
      <c r="C610" s="2">
        <v>2910.7959583306606</v>
      </c>
      <c r="D610" s="3"/>
      <c r="E610" s="5">
        <f t="shared" si="18"/>
        <v>53.143574390640282</v>
      </c>
      <c r="F610" s="16">
        <v>0</v>
      </c>
      <c r="G610" s="3"/>
      <c r="H610" s="5">
        <f t="shared" si="19"/>
        <v>0</v>
      </c>
    </row>
    <row r="611" spans="2:8" x14ac:dyDescent="0.2">
      <c r="B611" s="1">
        <v>604</v>
      </c>
      <c r="C611" s="2">
        <v>2971.0212387813831</v>
      </c>
      <c r="D611" s="3"/>
      <c r="E611" s="5">
        <f t="shared" si="18"/>
        <v>54.243131596864274</v>
      </c>
      <c r="F611" s="16">
        <v>110.9980112157873</v>
      </c>
      <c r="G611" s="3"/>
      <c r="H611" s="5">
        <f t="shared" si="19"/>
        <v>4.3264603107806368</v>
      </c>
    </row>
    <row r="612" spans="2:8" x14ac:dyDescent="0.2">
      <c r="B612" s="1">
        <v>605</v>
      </c>
      <c r="C612" s="2">
        <v>2972.0166234093035</v>
      </c>
      <c r="D612" s="3"/>
      <c r="E612" s="5">
        <f t="shared" si="18"/>
        <v>54.261304734995029</v>
      </c>
      <c r="F612" s="16">
        <v>421.31770234515625</v>
      </c>
      <c r="G612" s="3"/>
      <c r="H612" s="5">
        <f t="shared" si="19"/>
        <v>16.422044840802954</v>
      </c>
    </row>
    <row r="613" spans="2:8" x14ac:dyDescent="0.2">
      <c r="B613" s="1">
        <v>606</v>
      </c>
      <c r="C613" s="2">
        <v>2973.0148151910025</v>
      </c>
      <c r="D613" s="3"/>
      <c r="E613" s="5">
        <f t="shared" si="18"/>
        <v>54.279529124463146</v>
      </c>
      <c r="F613" s="16">
        <v>638.24006359356008</v>
      </c>
      <c r="G613" s="3"/>
      <c r="H613" s="5">
        <f t="shared" si="19"/>
        <v>24.877205218744525</v>
      </c>
    </row>
    <row r="614" spans="2:8" x14ac:dyDescent="0.2">
      <c r="B614" s="1">
        <v>607</v>
      </c>
      <c r="C614" s="2">
        <v>2974.0157949469867</v>
      </c>
      <c r="D614" s="3"/>
      <c r="E614" s="5">
        <f t="shared" si="18"/>
        <v>54.297804415100892</v>
      </c>
      <c r="F614" s="16">
        <v>855.15963686767918</v>
      </c>
      <c r="G614" s="3"/>
      <c r="H614" s="5">
        <f t="shared" si="19"/>
        <v>33.332256927531049</v>
      </c>
    </row>
    <row r="615" spans="2:8" x14ac:dyDescent="0.2">
      <c r="B615" s="1">
        <v>608</v>
      </c>
      <c r="C615" s="2">
        <v>2975.0195435680689</v>
      </c>
      <c r="D615" s="3"/>
      <c r="E615" s="5">
        <f t="shared" si="18"/>
        <v>54.316130258024138</v>
      </c>
      <c r="F615" s="16">
        <v>1072.0764412767003</v>
      </c>
      <c r="G615" s="3"/>
      <c r="H615" s="5">
        <f t="shared" si="19"/>
        <v>41.787200711996938</v>
      </c>
    </row>
    <row r="616" spans="2:8" x14ac:dyDescent="0.2">
      <c r="B616" s="1">
        <v>609</v>
      </c>
      <c r="C616" s="2">
        <v>2976.0260420151776</v>
      </c>
      <c r="D616" s="3"/>
      <c r="E616" s="5">
        <f t="shared" si="18"/>
        <v>54.334506305628885</v>
      </c>
      <c r="F616" s="16">
        <v>1288.990495859694</v>
      </c>
      <c r="G616" s="3"/>
      <c r="H616" s="5">
        <f t="shared" si="19"/>
        <v>50.242037314243632</v>
      </c>
    </row>
    <row r="617" spans="2:8" x14ac:dyDescent="0.2">
      <c r="B617" s="1">
        <v>610</v>
      </c>
      <c r="C617" s="2">
        <v>2977.0352713191514</v>
      </c>
      <c r="D617" s="3"/>
      <c r="E617" s="5">
        <f t="shared" si="18"/>
        <v>54.352932211587508</v>
      </c>
      <c r="F617" s="16">
        <v>1505.9018195858234</v>
      </c>
      <c r="G617" s="3"/>
      <c r="H617" s="5">
        <f t="shared" si="19"/>
        <v>58.696767473647711</v>
      </c>
    </row>
    <row r="618" spans="2:8" x14ac:dyDescent="0.2">
      <c r="B618" s="1">
        <v>611</v>
      </c>
      <c r="C618" s="2">
        <v>2978.0472125805386</v>
      </c>
      <c r="D618" s="3"/>
      <c r="E618" s="5">
        <f t="shared" si="18"/>
        <v>54.371407630845113</v>
      </c>
      <c r="F618" s="16">
        <v>1722.8104313545396</v>
      </c>
      <c r="G618" s="3"/>
      <c r="H618" s="5">
        <f t="shared" si="19"/>
        <v>67.151391926868541</v>
      </c>
    </row>
    <row r="619" spans="2:8" x14ac:dyDescent="0.2">
      <c r="B619" s="1">
        <v>612</v>
      </c>
      <c r="C619" s="2">
        <v>2979.0618469694009</v>
      </c>
      <c r="D619" s="3"/>
      <c r="E619" s="5">
        <f t="shared" si="18"/>
        <v>54.389932219615922</v>
      </c>
      <c r="F619" s="16">
        <v>1939.7163499957805</v>
      </c>
      <c r="G619" s="3"/>
      <c r="H619" s="5">
        <f t="shared" si="19"/>
        <v>75.605911407856055</v>
      </c>
    </row>
    <row r="620" spans="2:8" x14ac:dyDescent="0.2">
      <c r="B620" s="1">
        <v>613</v>
      </c>
      <c r="C620" s="2">
        <v>2980.0791557251096</v>
      </c>
      <c r="D620" s="3"/>
      <c r="E620" s="5">
        <f t="shared" si="18"/>
        <v>54.408505635379576</v>
      </c>
      <c r="F620" s="16">
        <v>2156.6195942701743</v>
      </c>
      <c r="G620" s="3"/>
      <c r="H620" s="5">
        <f t="shared" si="19"/>
        <v>84.06032664785856</v>
      </c>
    </row>
    <row r="621" spans="2:8" x14ac:dyDescent="0.2">
      <c r="B621" s="1">
        <v>614</v>
      </c>
      <c r="C621" s="2">
        <v>2981.099120156146</v>
      </c>
      <c r="D621" s="3"/>
      <c r="E621" s="5">
        <f t="shared" si="18"/>
        <v>54.427127536877499</v>
      </c>
      <c r="F621" s="16">
        <v>2057.7577488868469</v>
      </c>
      <c r="G621" s="3"/>
      <c r="H621" s="5">
        <f t="shared" si="19"/>
        <v>80.206907603530112</v>
      </c>
    </row>
    <row r="622" spans="2:8" x14ac:dyDescent="0.2">
      <c r="B622" s="1">
        <v>615</v>
      </c>
      <c r="C622" s="2">
        <v>2982.1217216399086</v>
      </c>
      <c r="D622" s="3"/>
      <c r="E622" s="5">
        <f t="shared" si="18"/>
        <v>54.445797584109357</v>
      </c>
      <c r="F622" s="16">
        <v>1958.8932664507934</v>
      </c>
      <c r="G622" s="3"/>
      <c r="H622" s="5">
        <f t="shared" si="19"/>
        <v>76.353385772639697</v>
      </c>
    </row>
    <row r="623" spans="2:8" x14ac:dyDescent="0.2">
      <c r="B623" s="1">
        <v>616</v>
      </c>
      <c r="C623" s="2">
        <v>2983.146941622505</v>
      </c>
      <c r="D623" s="3"/>
      <c r="E623" s="5">
        <f t="shared" si="18"/>
        <v>54.464515438329244</v>
      </c>
      <c r="F623" s="16">
        <v>1860.0261655159061</v>
      </c>
      <c r="G623" s="3"/>
      <c r="H623" s="5">
        <f t="shared" si="19"/>
        <v>72.499761878377583</v>
      </c>
    </row>
    <row r="624" spans="2:8" x14ac:dyDescent="0.2">
      <c r="B624" s="1">
        <v>617</v>
      </c>
      <c r="C624" s="2">
        <v>2984.1747616185635</v>
      </c>
      <c r="D624" s="3"/>
      <c r="E624" s="5">
        <f t="shared" si="18"/>
        <v>54.483280762042298</v>
      </c>
      <c r="F624" s="16">
        <v>1761.1564645675558</v>
      </c>
      <c r="G624" s="3"/>
      <c r="H624" s="5">
        <f t="shared" si="19"/>
        <v>68.646036641263166</v>
      </c>
    </row>
    <row r="625" spans="2:8" x14ac:dyDescent="0.2">
      <c r="B625" s="1">
        <v>618</v>
      </c>
      <c r="C625" s="2">
        <v>2985.2051632110301</v>
      </c>
      <c r="D625" s="3"/>
      <c r="E625" s="5">
        <f t="shared" si="18"/>
        <v>54.50209321900094</v>
      </c>
      <c r="F625" s="16">
        <v>1662.2841820227973</v>
      </c>
      <c r="G625" s="3"/>
      <c r="H625" s="5">
        <f t="shared" si="19"/>
        <v>64.792210779153081</v>
      </c>
    </row>
    <row r="626" spans="2:8" x14ac:dyDescent="0.2">
      <c r="B626" s="1">
        <v>619</v>
      </c>
      <c r="C626" s="2">
        <v>2986.2381280509753</v>
      </c>
      <c r="D626" s="3"/>
      <c r="E626" s="5">
        <f t="shared" si="18"/>
        <v>54.520952474201373</v>
      </c>
      <c r="F626" s="16">
        <v>1563.4093362305621</v>
      </c>
      <c r="G626" s="3"/>
      <c r="H626" s="5">
        <f t="shared" si="19"/>
        <v>60.938285007248631</v>
      </c>
    </row>
    <row r="627" spans="2:8" x14ac:dyDescent="0.2">
      <c r="B627" s="1">
        <v>620</v>
      </c>
      <c r="C627" s="2">
        <v>2987.2736378573977</v>
      </c>
      <c r="D627" s="3"/>
      <c r="E627" s="5">
        <f t="shared" si="18"/>
        <v>54.539858193879986</v>
      </c>
      <c r="F627" s="16">
        <v>1464.5319454718478</v>
      </c>
      <c r="G627" s="3"/>
      <c r="H627" s="5">
        <f t="shared" si="19"/>
        <v>57.084260038103231</v>
      </c>
    </row>
    <row r="628" spans="2:8" x14ac:dyDescent="0.2">
      <c r="B628" s="1">
        <v>621</v>
      </c>
      <c r="C628" s="2">
        <v>2988.311674417017</v>
      </c>
      <c r="D628" s="3"/>
      <c r="E628" s="5">
        <f t="shared" si="18"/>
        <v>54.558810045509588</v>
      </c>
      <c r="F628" s="16">
        <v>1805.9404922452472</v>
      </c>
      <c r="G628" s="3"/>
      <c r="H628" s="5">
        <f t="shared" si="19"/>
        <v>70.391620333999413</v>
      </c>
    </row>
    <row r="629" spans="2:8" x14ac:dyDescent="0.2">
      <c r="B629" s="1">
        <v>622</v>
      </c>
      <c r="C629" s="2">
        <v>2989.3522195840992</v>
      </c>
      <c r="D629" s="3"/>
      <c r="E629" s="5">
        <f t="shared" si="18"/>
        <v>54.57780769779621</v>
      </c>
      <c r="F629" s="16">
        <v>1291.2300720786366</v>
      </c>
      <c r="G629" s="3"/>
      <c r="H629" s="5">
        <f t="shared" si="19"/>
        <v>50.329331109133221</v>
      </c>
    </row>
    <row r="630" spans="2:8" x14ac:dyDescent="0.2">
      <c r="B630" s="1">
        <v>623</v>
      </c>
      <c r="C630" s="2">
        <v>2990.3952552802489</v>
      </c>
      <c r="D630" s="3"/>
      <c r="E630" s="5">
        <f t="shared" si="18"/>
        <v>54.596850820675286</v>
      </c>
      <c r="F630" s="16">
        <v>776.51716138295933</v>
      </c>
      <c r="G630" s="3"/>
      <c r="H630" s="5">
        <f t="shared" si="19"/>
        <v>30.266944808877643</v>
      </c>
    </row>
    <row r="631" spans="2:8" x14ac:dyDescent="0.2">
      <c r="B631" s="1">
        <v>624</v>
      </c>
      <c r="C631" s="2">
        <v>2991.440763494209</v>
      </c>
      <c r="D631" s="3"/>
      <c r="E631" s="5">
        <f t="shared" si="18"/>
        <v>54.615939085308064</v>
      </c>
      <c r="F631" s="16">
        <v>261.80177816947071</v>
      </c>
      <c r="G631" s="3"/>
      <c r="H631" s="5">
        <f t="shared" si="19"/>
        <v>10.20446213527212</v>
      </c>
    </row>
    <row r="632" spans="2:8" x14ac:dyDescent="0.2">
      <c r="B632" s="1">
        <v>625</v>
      </c>
      <c r="C632" s="2">
        <v>2739.5726666641513</v>
      </c>
      <c r="D632" s="3"/>
      <c r="E632" s="5">
        <f t="shared" si="18"/>
        <v>50.017481779426149</v>
      </c>
      <c r="F632" s="16">
        <v>0</v>
      </c>
      <c r="G632" s="3"/>
      <c r="H632" s="5">
        <f t="shared" si="19"/>
        <v>0</v>
      </c>
    </row>
    <row r="633" spans="2:8" x14ac:dyDescent="0.2">
      <c r="B633" s="1">
        <v>626</v>
      </c>
      <c r="C633" s="2">
        <v>2739.5726666641513</v>
      </c>
      <c r="D633" s="3"/>
      <c r="E633" s="5">
        <f t="shared" si="18"/>
        <v>50.017481779426149</v>
      </c>
      <c r="F633" s="16">
        <v>0</v>
      </c>
      <c r="G633" s="3"/>
      <c r="H633" s="5">
        <f t="shared" si="19"/>
        <v>0</v>
      </c>
    </row>
    <row r="634" spans="2:8" x14ac:dyDescent="0.2">
      <c r="B634" s="1">
        <v>627</v>
      </c>
      <c r="C634" s="2">
        <v>2935.2564285687336</v>
      </c>
      <c r="D634" s="3"/>
      <c r="E634" s="5">
        <f t="shared" si="18"/>
        <v>53.590159049385164</v>
      </c>
      <c r="F634" s="16">
        <v>0</v>
      </c>
      <c r="G634" s="3"/>
      <c r="H634" s="5">
        <f t="shared" si="19"/>
        <v>0</v>
      </c>
    </row>
    <row r="635" spans="2:8" x14ac:dyDescent="0.2">
      <c r="B635" s="1">
        <v>628</v>
      </c>
      <c r="C635" s="2">
        <v>2996.7226668893854</v>
      </c>
      <c r="D635" s="3"/>
      <c r="E635" s="5">
        <f t="shared" si="18"/>
        <v>54.712372923345512</v>
      </c>
      <c r="F635" s="16">
        <v>134.21752358393042</v>
      </c>
      <c r="G635" s="3"/>
      <c r="H635" s="5">
        <f t="shared" si="19"/>
        <v>5.2315062444519516</v>
      </c>
    </row>
    <row r="636" spans="2:8" x14ac:dyDescent="0.2">
      <c r="B636" s="1">
        <v>629</v>
      </c>
      <c r="C636" s="2">
        <v>2997.7753199775811</v>
      </c>
      <c r="D636" s="3"/>
      <c r="E636" s="5">
        <f t="shared" si="18"/>
        <v>54.731591634825428</v>
      </c>
      <c r="F636" s="16">
        <v>328.84863240031746</v>
      </c>
      <c r="G636" s="3"/>
      <c r="H636" s="5">
        <f t="shared" si="19"/>
        <v>12.817802235830566</v>
      </c>
    </row>
    <row r="637" spans="2:8" x14ac:dyDescent="0.2">
      <c r="B637" s="1">
        <v>630</v>
      </c>
      <c r="C637" s="2">
        <v>2998.8303548434292</v>
      </c>
      <c r="D637" s="3"/>
      <c r="E637" s="5">
        <f t="shared" si="18"/>
        <v>54.750853831379416</v>
      </c>
      <c r="F637" s="16">
        <v>523.47735943905127</v>
      </c>
      <c r="G637" s="3"/>
      <c r="H637" s="5">
        <f t="shared" si="19"/>
        <v>20.404005390712626</v>
      </c>
    </row>
    <row r="638" spans="2:8" x14ac:dyDescent="0.2">
      <c r="B638" s="1">
        <v>631</v>
      </c>
      <c r="C638" s="2">
        <v>2999.8877538984484</v>
      </c>
      <c r="D638" s="3"/>
      <c r="E638" s="5">
        <f t="shared" si="18"/>
        <v>54.770159191887487</v>
      </c>
      <c r="F638" s="16">
        <v>718.10372228861434</v>
      </c>
      <c r="G638" s="3"/>
      <c r="H638" s="5">
        <f t="shared" si="19"/>
        <v>27.990116394658809</v>
      </c>
    </row>
    <row r="639" spans="2:8" x14ac:dyDescent="0.2">
      <c r="B639" s="1">
        <v>632</v>
      </c>
      <c r="C639" s="2">
        <v>3000.9474996198505</v>
      </c>
      <c r="D639" s="3"/>
      <c r="E639" s="5">
        <f t="shared" si="18"/>
        <v>54.789507396429038</v>
      </c>
      <c r="F639" s="16">
        <v>912.72773847179451</v>
      </c>
      <c r="G639" s="3"/>
      <c r="H639" s="5">
        <f t="shared" si="19"/>
        <v>35.576135930669146</v>
      </c>
    </row>
    <row r="640" spans="2:8" x14ac:dyDescent="0.2">
      <c r="B640" s="1">
        <v>633</v>
      </c>
      <c r="C640" s="2">
        <v>3002.0095745503609</v>
      </c>
      <c r="D640" s="3"/>
      <c r="E640" s="5">
        <f t="shared" si="18"/>
        <v>54.808898126279566</v>
      </c>
      <c r="F640" s="16">
        <v>1107.349425445866</v>
      </c>
      <c r="G640" s="3"/>
      <c r="H640" s="5">
        <f t="shared" si="19"/>
        <v>43.162064679190109</v>
      </c>
    </row>
    <row r="641" spans="2:8" x14ac:dyDescent="0.2">
      <c r="B641" s="1">
        <v>634</v>
      </c>
      <c r="C641" s="2">
        <v>3003.0739612980183</v>
      </c>
      <c r="D641" s="3"/>
      <c r="E641" s="5">
        <f t="shared" si="18"/>
        <v>54.828331063907044</v>
      </c>
      <c r="F641" s="16">
        <v>1301.9688006027914</v>
      </c>
      <c r="G641" s="3"/>
      <c r="H641" s="5">
        <f t="shared" si="19"/>
        <v>50.747903318122454</v>
      </c>
    </row>
    <row r="642" spans="2:8" x14ac:dyDescent="0.2">
      <c r="B642" s="1">
        <v>635</v>
      </c>
      <c r="C642" s="2">
        <v>3004.140642535991</v>
      </c>
      <c r="D642" s="3"/>
      <c r="E642" s="5">
        <f t="shared" si="18"/>
        <v>54.847805892968509</v>
      </c>
      <c r="F642" s="16">
        <v>1496.5858812694014</v>
      </c>
      <c r="G642" s="3"/>
      <c r="H642" s="5">
        <f t="shared" si="19"/>
        <v>58.333652522828231</v>
      </c>
    </row>
    <row r="643" spans="2:8" x14ac:dyDescent="0.2">
      <c r="B643" s="1">
        <v>636</v>
      </c>
      <c r="C643" s="2">
        <v>3005.2096010023897</v>
      </c>
      <c r="D643" s="3"/>
      <c r="E643" s="5">
        <f t="shared" si="18"/>
        <v>54.867322298306711</v>
      </c>
      <c r="F643" s="16">
        <v>1691.2006847075845</v>
      </c>
      <c r="G643" s="3"/>
      <c r="H643" s="5">
        <f t="shared" si="19"/>
        <v>65.919312966138207</v>
      </c>
    </row>
    <row r="644" spans="2:8" x14ac:dyDescent="0.2">
      <c r="B644" s="1">
        <v>637</v>
      </c>
      <c r="C644" s="2">
        <v>3006.2808195000694</v>
      </c>
      <c r="D644" s="3"/>
      <c r="E644" s="5">
        <f t="shared" si="18"/>
        <v>54.886879965946427</v>
      </c>
      <c r="F644" s="16">
        <v>1787.9713471621949</v>
      </c>
      <c r="G644" s="3"/>
      <c r="H644" s="5">
        <f t="shared" si="19"/>
        <v>69.691222262277677</v>
      </c>
    </row>
    <row r="645" spans="2:8" x14ac:dyDescent="0.2">
      <c r="B645" s="1">
        <v>638</v>
      </c>
      <c r="C645" s="2">
        <v>3007.3542808964521</v>
      </c>
      <c r="D645" s="3"/>
      <c r="E645" s="5">
        <f t="shared" si="18"/>
        <v>54.906478583091292</v>
      </c>
      <c r="F645" s="16">
        <v>1786.8978857658121</v>
      </c>
      <c r="G645" s="3"/>
      <c r="H645" s="5">
        <f t="shared" si="19"/>
        <v>69.649381079037227</v>
      </c>
    </row>
    <row r="646" spans="2:8" x14ac:dyDescent="0.2">
      <c r="B646" s="1">
        <v>639</v>
      </c>
      <c r="C646" s="2">
        <v>3008.429968123331</v>
      </c>
      <c r="D646" s="3"/>
      <c r="E646" s="5">
        <f t="shared" si="18"/>
        <v>54.926117838120177</v>
      </c>
      <c r="F646" s="16">
        <v>2275.0316033003905</v>
      </c>
      <c r="G646" s="3"/>
      <c r="H646" s="5">
        <f t="shared" si="19"/>
        <v>88.675768418189705</v>
      </c>
    </row>
    <row r="647" spans="2:8" x14ac:dyDescent="0.2">
      <c r="B647" s="1">
        <v>640</v>
      </c>
      <c r="C647" s="2">
        <v>3009.5078641766904</v>
      </c>
      <c r="D647" s="3"/>
      <c r="E647" s="5">
        <f t="shared" si="18"/>
        <v>54.945797420583915</v>
      </c>
      <c r="F647" s="16">
        <v>2469.6374691516121</v>
      </c>
      <c r="G647" s="3"/>
      <c r="H647" s="5">
        <f t="shared" si="19"/>
        <v>96.261080493859211</v>
      </c>
    </row>
    <row r="648" spans="2:8" x14ac:dyDescent="0.2">
      <c r="B648" s="1">
        <v>641</v>
      </c>
      <c r="C648" s="2">
        <v>3010.5879521165098</v>
      </c>
      <c r="D648" s="3"/>
      <c r="E648" s="5">
        <f t="shared" si="18"/>
        <v>54.965517021201727</v>
      </c>
      <c r="F648" s="16">
        <v>2194.6001145453774</v>
      </c>
      <c r="G648" s="3"/>
      <c r="H648" s="5">
        <f t="shared" si="19"/>
        <v>85.540724465383548</v>
      </c>
    </row>
    <row r="649" spans="2:8" x14ac:dyDescent="0.2">
      <c r="B649" s="1">
        <v>642</v>
      </c>
      <c r="C649" s="2">
        <v>3011.6702150665838</v>
      </c>
      <c r="D649" s="3"/>
      <c r="E649" s="5">
        <f t="shared" ref="E649:E679" si="20">$D$5*C649</f>
        <v>54.985276331857939</v>
      </c>
      <c r="F649" s="16">
        <v>1919.5605849288891</v>
      </c>
      <c r="G649" s="3"/>
      <c r="H649" s="5">
        <f t="shared" ref="H649:H679" si="21">$G$5*F649</f>
        <v>74.820283659753457</v>
      </c>
    </row>
    <row r="650" spans="2:8" x14ac:dyDescent="0.2">
      <c r="B650" s="1">
        <v>643</v>
      </c>
      <c r="C650" s="2">
        <v>3012.7546362143366</v>
      </c>
      <c r="D650" s="3"/>
      <c r="E650" s="5">
        <f t="shared" si="20"/>
        <v>55.005075045598574</v>
      </c>
      <c r="F650" s="16">
        <v>1781.4975304479276</v>
      </c>
      <c r="G650" s="3"/>
      <c r="H650" s="5">
        <f t="shared" si="21"/>
        <v>69.438887010801011</v>
      </c>
    </row>
    <row r="651" spans="2:8" x14ac:dyDescent="0.2">
      <c r="B651" s="1">
        <v>644</v>
      </c>
      <c r="C651" s="2">
        <v>3013.8411988106368</v>
      </c>
      <c r="D651" s="3"/>
      <c r="E651" s="5">
        <f t="shared" si="20"/>
        <v>55.024912856627992</v>
      </c>
      <c r="F651" s="16">
        <v>1369.4750678520045</v>
      </c>
      <c r="G651" s="3"/>
      <c r="H651" s="5">
        <f t="shared" si="21"/>
        <v>53.379150335826957</v>
      </c>
    </row>
    <row r="652" spans="2:8" x14ac:dyDescent="0.2">
      <c r="B652" s="1">
        <v>645</v>
      </c>
      <c r="C652" s="2">
        <v>3014.929886169607</v>
      </c>
      <c r="D652" s="3"/>
      <c r="E652" s="5">
        <f t="shared" si="20"/>
        <v>55.044789460305417</v>
      </c>
      <c r="F652" s="16">
        <v>1094.429113826618</v>
      </c>
      <c r="G652" s="3"/>
      <c r="H652" s="5">
        <f t="shared" si="21"/>
        <v>42.658459120754273</v>
      </c>
    </row>
    <row r="653" spans="2:8" x14ac:dyDescent="0.2">
      <c r="B653" s="1">
        <v>646</v>
      </c>
      <c r="C653" s="2">
        <v>3016.0206816684431</v>
      </c>
      <c r="D653" s="3"/>
      <c r="E653" s="5">
        <f t="shared" si="20"/>
        <v>55.06470455314161</v>
      </c>
      <c r="F653" s="16">
        <v>819.38105166136847</v>
      </c>
      <c r="G653" s="3"/>
      <c r="H653" s="5">
        <f t="shared" si="21"/>
        <v>31.937685734989088</v>
      </c>
    </row>
    <row r="654" spans="2:8" x14ac:dyDescent="0.2">
      <c r="B654" s="1">
        <v>647</v>
      </c>
      <c r="C654" s="2">
        <v>3017.1135687472311</v>
      </c>
      <c r="D654" s="3"/>
      <c r="E654" s="5">
        <f t="shared" si="20"/>
        <v>55.08465783279555</v>
      </c>
      <c r="F654" s="16">
        <v>64.905681249939335</v>
      </c>
      <c r="G654" s="3"/>
      <c r="H654" s="5">
        <f t="shared" si="21"/>
        <v>2.5298818491993078</v>
      </c>
    </row>
    <row r="655" spans="2:8" x14ac:dyDescent="0.2">
      <c r="B655" s="1">
        <v>648</v>
      </c>
      <c r="C655" s="2">
        <v>2910.7959583306606</v>
      </c>
      <c r="D655" s="3"/>
      <c r="E655" s="5">
        <f t="shared" si="20"/>
        <v>53.143574390640282</v>
      </c>
      <c r="F655" s="16">
        <v>0</v>
      </c>
      <c r="G655" s="3"/>
      <c r="H655" s="5">
        <f t="shared" si="21"/>
        <v>0</v>
      </c>
    </row>
    <row r="656" spans="2:8" x14ac:dyDescent="0.2">
      <c r="B656" s="1">
        <v>649</v>
      </c>
      <c r="C656" s="2">
        <v>2739.5726666641513</v>
      </c>
      <c r="D656" s="3"/>
      <c r="E656" s="5">
        <f t="shared" si="20"/>
        <v>50.017481779426149</v>
      </c>
      <c r="F656" s="16">
        <v>0</v>
      </c>
      <c r="G656" s="3"/>
      <c r="H656" s="5">
        <f t="shared" si="21"/>
        <v>0</v>
      </c>
    </row>
    <row r="657" spans="2:8" x14ac:dyDescent="0.2">
      <c r="B657" s="1">
        <v>650</v>
      </c>
      <c r="C657" s="2">
        <v>2739.5726666641513</v>
      </c>
      <c r="D657" s="3"/>
      <c r="E657" s="5">
        <f t="shared" si="20"/>
        <v>50.017481779426149</v>
      </c>
      <c r="F657" s="16">
        <v>0</v>
      </c>
      <c r="G657" s="3"/>
      <c r="H657" s="5">
        <f t="shared" si="21"/>
        <v>0</v>
      </c>
    </row>
    <row r="658" spans="2:8" x14ac:dyDescent="0.2">
      <c r="B658" s="1">
        <v>651</v>
      </c>
      <c r="C658" s="2">
        <v>2910.7959583306615</v>
      </c>
      <c r="D658" s="3"/>
      <c r="E658" s="5">
        <f t="shared" si="20"/>
        <v>53.143574390640296</v>
      </c>
      <c r="F658" s="16">
        <v>0</v>
      </c>
      <c r="G658" s="3"/>
      <c r="H658" s="5">
        <f t="shared" si="21"/>
        <v>0</v>
      </c>
    </row>
    <row r="659" spans="2:8" x14ac:dyDescent="0.2">
      <c r="B659" s="1">
        <v>652</v>
      </c>
      <c r="C659" s="2">
        <v>3024.2608171075676</v>
      </c>
      <c r="D659" s="3"/>
      <c r="E659" s="5">
        <f t="shared" si="20"/>
        <v>55.215148025293878</v>
      </c>
      <c r="F659" s="16">
        <v>57.758432889602773</v>
      </c>
      <c r="G659" s="3"/>
      <c r="H659" s="5">
        <f t="shared" si="21"/>
        <v>2.2512977013971169</v>
      </c>
    </row>
    <row r="660" spans="2:8" x14ac:dyDescent="0.2">
      <c r="B660" s="1">
        <v>653</v>
      </c>
      <c r="C660" s="2">
        <v>3025.3583038347751</v>
      </c>
      <c r="D660" s="3"/>
      <c r="E660" s="5">
        <f t="shared" si="20"/>
        <v>55.235185282581931</v>
      </c>
      <c r="F660" s="16">
        <v>227.88423782890459</v>
      </c>
      <c r="G660" s="3"/>
      <c r="H660" s="5">
        <f t="shared" si="21"/>
        <v>8.8824304113209323</v>
      </c>
    </row>
    <row r="661" spans="2:8" x14ac:dyDescent="0.2">
      <c r="B661" s="1">
        <v>654</v>
      </c>
      <c r="C661" s="2">
        <v>3026.4577924451046</v>
      </c>
      <c r="D661" s="3"/>
      <c r="E661" s="5">
        <f t="shared" si="20"/>
        <v>55.25525908905658</v>
      </c>
      <c r="F661" s="16">
        <v>398.00804088508448</v>
      </c>
      <c r="G661" s="3"/>
      <c r="H661" s="5">
        <f t="shared" si="21"/>
        <v>15.513485092208201</v>
      </c>
    </row>
    <row r="662" spans="2:8" x14ac:dyDescent="0.2">
      <c r="B662" s="1">
        <v>655</v>
      </c>
      <c r="C662" s="2">
        <v>3027.5592668108748</v>
      </c>
      <c r="D662" s="3"/>
      <c r="E662" s="5">
        <f t="shared" si="20"/>
        <v>55.27536915026824</v>
      </c>
      <c r="F662" s="16">
        <v>568.12985818582365</v>
      </c>
      <c r="G662" s="3"/>
      <c r="H662" s="5">
        <f t="shared" si="21"/>
        <v>22.144462372680749</v>
      </c>
    </row>
    <row r="663" spans="2:8" x14ac:dyDescent="0.2">
      <c r="B663" s="1">
        <v>656</v>
      </c>
      <c r="C663" s="2">
        <v>3028.6627108657876</v>
      </c>
      <c r="D663" s="3"/>
      <c r="E663" s="5">
        <f t="shared" si="20"/>
        <v>55.295515172888045</v>
      </c>
      <c r="F663" s="16">
        <v>738.24970579742057</v>
      </c>
      <c r="G663" s="3"/>
      <c r="H663" s="5">
        <f t="shared" si="21"/>
        <v>28.77536287896784</v>
      </c>
    </row>
    <row r="664" spans="2:8" x14ac:dyDescent="0.2">
      <c r="B664" s="1">
        <v>657</v>
      </c>
      <c r="C664" s="2">
        <v>3029.7681086047655</v>
      </c>
      <c r="D664" s="3"/>
      <c r="E664" s="5">
        <f t="shared" si="20"/>
        <v>55.315696864704847</v>
      </c>
      <c r="F664" s="16">
        <v>908.36759972495202</v>
      </c>
      <c r="G664" s="3"/>
      <c r="H664" s="5">
        <f t="shared" si="21"/>
        <v>35.406187234912444</v>
      </c>
    </row>
    <row r="665" spans="2:8" x14ac:dyDescent="0.2">
      <c r="B665" s="1">
        <v>658</v>
      </c>
      <c r="C665" s="2">
        <v>3030.8754440837611</v>
      </c>
      <c r="D665" s="3"/>
      <c r="E665" s="5">
        <f t="shared" si="20"/>
        <v>55.335913934621743</v>
      </c>
      <c r="F665" s="16">
        <v>1078.4835559124658</v>
      </c>
      <c r="G665" s="3"/>
      <c r="H665" s="5">
        <f t="shared" si="21"/>
        <v>42.036936061978771</v>
      </c>
    </row>
    <row r="666" spans="2:8" x14ac:dyDescent="0.2">
      <c r="B666" s="1">
        <v>659</v>
      </c>
      <c r="C666" s="2">
        <v>3031.9847014195766</v>
      </c>
      <c r="D666" s="3"/>
      <c r="E666" s="5">
        <f t="shared" si="20"/>
        <v>55.356166092652799</v>
      </c>
      <c r="F666" s="16">
        <v>1248.5975902431601</v>
      </c>
      <c r="G666" s="3"/>
      <c r="H666" s="5">
        <f t="shared" si="21"/>
        <v>48.667609979259218</v>
      </c>
    </row>
    <row r="667" spans="2:8" x14ac:dyDescent="0.2">
      <c r="B667" s="1">
        <v>660</v>
      </c>
      <c r="C667" s="2">
        <v>3033.0958647896905</v>
      </c>
      <c r="D667" s="3"/>
      <c r="E667" s="5">
        <f t="shared" si="20"/>
        <v>55.376453049919867</v>
      </c>
      <c r="F667" s="16">
        <v>1418.7097185395569</v>
      </c>
      <c r="G667" s="3"/>
      <c r="H667" s="5">
        <f t="shared" si="21"/>
        <v>55.298209603481176</v>
      </c>
    </row>
    <row r="668" spans="2:8" x14ac:dyDescent="0.2">
      <c r="B668" s="1">
        <v>661</v>
      </c>
      <c r="C668" s="2">
        <v>3034.208918432088</v>
      </c>
      <c r="D668" s="3"/>
      <c r="E668" s="5">
        <f t="shared" si="20"/>
        <v>55.396774518649487</v>
      </c>
      <c r="F668" s="16">
        <v>1588.8199565636683</v>
      </c>
      <c r="G668" s="3"/>
      <c r="H668" s="5">
        <f t="shared" si="21"/>
        <v>61.928735549013496</v>
      </c>
    </row>
    <row r="669" spans="2:8" x14ac:dyDescent="0.2">
      <c r="B669" s="1">
        <v>662</v>
      </c>
      <c r="C669" s="2">
        <v>3035.3238466450616</v>
      </c>
      <c r="D669" s="3"/>
      <c r="E669" s="5">
        <f t="shared" si="20"/>
        <v>55.417130212169269</v>
      </c>
      <c r="F669" s="16">
        <v>1758.9283200172044</v>
      </c>
      <c r="G669" s="3"/>
      <c r="H669" s="5">
        <f t="shared" si="21"/>
        <v>68.559188427874574</v>
      </c>
    </row>
    <row r="670" spans="2:8" x14ac:dyDescent="0.2">
      <c r="B670" s="1">
        <v>663</v>
      </c>
      <c r="C670" s="2">
        <v>3036.4406337870528</v>
      </c>
      <c r="D670" s="3"/>
      <c r="E670" s="5">
        <f t="shared" si="20"/>
        <v>55.437519844904969</v>
      </c>
      <c r="F670" s="16">
        <v>1586.5882412087026</v>
      </c>
      <c r="G670" s="3"/>
      <c r="H670" s="5">
        <f t="shared" si="21"/>
        <v>61.841748153451533</v>
      </c>
    </row>
    <row r="671" spans="2:8" x14ac:dyDescent="0.2">
      <c r="B671" s="1">
        <v>664</v>
      </c>
      <c r="C671" s="2">
        <v>3037.5592642764623</v>
      </c>
      <c r="D671" s="3"/>
      <c r="E671" s="5">
        <f t="shared" si="20"/>
        <v>55.457943132377054</v>
      </c>
      <c r="F671" s="16">
        <v>1756.692902385802</v>
      </c>
      <c r="G671" s="3"/>
      <c r="H671" s="5">
        <f t="shared" si="21"/>
        <v>68.47205672565444</v>
      </c>
    </row>
    <row r="672" spans="2:8" x14ac:dyDescent="0.2">
      <c r="B672" s="1">
        <v>665</v>
      </c>
      <c r="C672" s="2">
        <v>3038.6797225914843</v>
      </c>
      <c r="D672" s="3"/>
      <c r="E672" s="5">
        <f t="shared" si="20"/>
        <v>55.47839979119766</v>
      </c>
      <c r="F672" s="16">
        <v>2440.4656107368182</v>
      </c>
      <c r="G672" s="3"/>
      <c r="H672" s="5">
        <f t="shared" si="21"/>
        <v>95.124025097632739</v>
      </c>
    </row>
    <row r="673" spans="2:8" x14ac:dyDescent="0.2">
      <c r="B673" s="1">
        <v>666</v>
      </c>
      <c r="C673" s="2">
        <v>3039.8019932699244</v>
      </c>
      <c r="D673" s="3"/>
      <c r="E673" s="5">
        <f t="shared" si="20"/>
        <v>55.498889539067285</v>
      </c>
      <c r="F673" s="16">
        <v>2268.1200483918674</v>
      </c>
      <c r="G673" s="3"/>
      <c r="H673" s="5">
        <f t="shared" si="21"/>
        <v>88.406371086922434</v>
      </c>
    </row>
    <row r="674" spans="2:8" x14ac:dyDescent="0.2">
      <c r="B674" s="1">
        <v>667</v>
      </c>
      <c r="C674" s="2">
        <v>3040.9260609090284</v>
      </c>
      <c r="D674" s="3"/>
      <c r="E674" s="5">
        <f t="shared" si="20"/>
        <v>55.519412094771631</v>
      </c>
      <c r="F674" s="16">
        <v>2609.442564085783</v>
      </c>
      <c r="G674" s="3"/>
      <c r="H674" s="5">
        <f t="shared" si="21"/>
        <v>101.71037807903593</v>
      </c>
    </row>
    <row r="675" spans="2:8" x14ac:dyDescent="0.2">
      <c r="B675" s="1">
        <v>668</v>
      </c>
      <c r="C675" s="2">
        <v>3042.0519101652985</v>
      </c>
      <c r="D675" s="3"/>
      <c r="E675" s="5">
        <f t="shared" si="20"/>
        <v>55.539967178178287</v>
      </c>
      <c r="F675" s="16">
        <v>2231.625473163193</v>
      </c>
      <c r="G675" s="3"/>
      <c r="H675" s="5">
        <f t="shared" si="21"/>
        <v>86.983892165397393</v>
      </c>
    </row>
    <row r="676" spans="2:8" x14ac:dyDescent="0.2">
      <c r="B676" s="1">
        <v>669</v>
      </c>
      <c r="C676" s="2">
        <v>3043.7086310291697</v>
      </c>
      <c r="D676" s="3"/>
      <c r="E676" s="5">
        <f t="shared" si="20"/>
        <v>55.570214598380204</v>
      </c>
      <c r="F676" s="16">
        <v>1853.2775106330009</v>
      </c>
      <c r="G676" s="3"/>
      <c r="H676" s="5">
        <f t="shared" si="21"/>
        <v>72.236714034706907</v>
      </c>
    </row>
    <row r="677" spans="2:8" x14ac:dyDescent="0.2">
      <c r="B677" s="1">
        <v>670</v>
      </c>
      <c r="C677" s="2">
        <v>3045.7185038855946</v>
      </c>
      <c r="D677" s="3"/>
      <c r="E677" s="5">
        <f t="shared" si="20"/>
        <v>55.60690965677324</v>
      </c>
      <c r="F677" s="16">
        <v>1474.5763961102543</v>
      </c>
      <c r="G677" s="3"/>
      <c r="H677" s="5">
        <f t="shared" si="21"/>
        <v>57.47577080982488</v>
      </c>
    </row>
    <row r="678" spans="2:8" x14ac:dyDescent="0.2">
      <c r="B678" s="1">
        <v>671</v>
      </c>
      <c r="C678" s="2">
        <v>3047.7284445404098</v>
      </c>
      <c r="D678" s="3"/>
      <c r="E678" s="5">
        <f t="shared" si="20"/>
        <v>55.643605952988793</v>
      </c>
      <c r="F678" s="16">
        <v>1095.8752137891192</v>
      </c>
      <c r="G678" s="3"/>
      <c r="H678" s="5">
        <f t="shared" si="21"/>
        <v>42.714824942309576</v>
      </c>
    </row>
    <row r="679" spans="2:8" x14ac:dyDescent="0.2">
      <c r="B679" s="1">
        <v>672</v>
      </c>
      <c r="C679" s="2">
        <v>3049.7384399789462</v>
      </c>
      <c r="D679" s="3"/>
      <c r="E679" s="5">
        <f t="shared" si="20"/>
        <v>55.680303249412816</v>
      </c>
      <c r="F679" s="16">
        <v>717.17397668426202</v>
      </c>
      <c r="G679" s="3"/>
      <c r="H679" s="5">
        <f t="shared" si="21"/>
        <v>27.953876939444307</v>
      </c>
    </row>
    <row r="680" spans="2:8" x14ac:dyDescent="0.2">
      <c r="F680" s="2"/>
    </row>
  </sheetData>
  <mergeCells count="3">
    <mergeCell ref="C2:H2"/>
    <mergeCell ref="C3:E3"/>
    <mergeCell ref="F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Properties</vt:lpstr>
      <vt:lpstr>Winter</vt:lpstr>
      <vt:lpstr>Spring Autumn</vt:lpstr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north</dc:creator>
  <cp:lastModifiedBy>peter north</cp:lastModifiedBy>
  <dcterms:created xsi:type="dcterms:W3CDTF">2026-04-25T10:51:36Z</dcterms:created>
  <dcterms:modified xsi:type="dcterms:W3CDTF">2026-07-08T11:42:00Z</dcterms:modified>
</cp:coreProperties>
</file>