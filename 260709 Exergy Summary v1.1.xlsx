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5 May Files/"/>
    </mc:Choice>
  </mc:AlternateContent>
  <xr:revisionPtr revIDLastSave="0" documentId="13_ncr:1_{8C030F99-6752-1C49-9341-680B7DADDB91}" xr6:coauthVersionLast="47" xr6:coauthVersionMax="47" xr10:uidLastSave="{00000000-0000-0000-0000-000000000000}"/>
  <bookViews>
    <workbookView xWindow="0" yWindow="0" windowWidth="40960" windowHeight="23040" xr2:uid="{1B68A656-900C-994D-9EA9-ADCBF9123618}"/>
  </bookViews>
  <sheets>
    <sheet name="DC Chiller Comparison" sheetId="1" r:id="rId1"/>
  </sheets>
  <externalReferences>
    <externalReference r:id="rId2"/>
  </externalReferences>
  <definedNames>
    <definedName name="OLE_LINK11" localSheetId="0">'DC Chiller Comparison'!$B$3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M21" i="1"/>
  <c r="M22" i="1"/>
  <c r="M23" i="1"/>
  <c r="M2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5" i="1"/>
  <c r="O4" i="1"/>
  <c r="P4" i="1"/>
  <c r="N4" i="1"/>
  <c r="J12" i="1" l="1"/>
  <c r="K12" i="1" l="1"/>
  <c r="I12" i="1"/>
  <c r="I11" i="1"/>
  <c r="I10" i="1"/>
  <c r="K22" i="1" l="1"/>
  <c r="J22" i="1"/>
  <c r="I22" i="1"/>
  <c r="J11" i="1" l="1"/>
  <c r="K10" i="1" l="1"/>
  <c r="J10" i="1"/>
  <c r="K11" i="1"/>
  <c r="K19" i="1" l="1"/>
  <c r="J19" i="1"/>
  <c r="I19" i="1"/>
  <c r="N8" i="1" l="1"/>
  <c r="N14" i="1"/>
  <c r="N19" i="1"/>
  <c r="N18" i="1"/>
  <c r="N15" i="1"/>
  <c r="N7" i="1"/>
  <c r="N17" i="1"/>
  <c r="N12" i="1"/>
  <c r="N11" i="1"/>
  <c r="N10" i="1"/>
  <c r="O8" i="1"/>
  <c r="O14" i="1"/>
  <c r="O17" i="1"/>
  <c r="O19" i="1"/>
  <c r="O7" i="1"/>
  <c r="O15" i="1"/>
  <c r="O18" i="1"/>
  <c r="O12" i="1"/>
  <c r="O10" i="1"/>
  <c r="O11" i="1"/>
  <c r="P18" i="1"/>
  <c r="P8" i="1"/>
  <c r="P14" i="1"/>
  <c r="P17" i="1"/>
  <c r="P19" i="1"/>
  <c r="P7" i="1"/>
  <c r="P15" i="1"/>
  <c r="P11" i="1"/>
  <c r="P12" i="1"/>
  <c r="P10" i="1"/>
  <c r="K23" i="1" l="1"/>
  <c r="J23" i="1"/>
  <c r="D23" i="1"/>
  <c r="E23" i="1"/>
  <c r="C23" i="1"/>
  <c r="C25" i="1" s="1"/>
  <c r="D19" i="1"/>
  <c r="E19" i="1"/>
  <c r="C19" i="1"/>
  <c r="J25" i="1" l="1"/>
  <c r="O22" i="1"/>
  <c r="O24" i="1"/>
  <c r="O23" i="1"/>
  <c r="K25" i="1"/>
  <c r="P22" i="1"/>
  <c r="P24" i="1"/>
  <c r="P23" i="1"/>
  <c r="E25" i="1"/>
  <c r="D25" i="1"/>
  <c r="I23" i="1" l="1"/>
  <c r="I25" i="1" l="1"/>
  <c r="N22" i="1"/>
  <c r="N24" i="1"/>
  <c r="N23" i="1"/>
</calcChain>
</file>

<file path=xl/sharedStrings.xml><?xml version="1.0" encoding="utf-8"?>
<sst xmlns="http://schemas.openxmlformats.org/spreadsheetml/2006/main" count="48" uniqueCount="25">
  <si>
    <r>
      <t>E</t>
    </r>
    <r>
      <rPr>
        <b/>
        <i/>
        <vertAlign val="subscript"/>
        <sz val="12"/>
        <color theme="1"/>
        <rFont val="Aptos"/>
      </rPr>
      <t>des</t>
    </r>
    <r>
      <rPr>
        <b/>
        <sz val="12"/>
        <color theme="1"/>
        <rFont val="Aptos"/>
      </rPr>
      <t xml:space="preserve"> (MWh)</t>
    </r>
  </si>
  <si>
    <t>Winter</t>
  </si>
  <si>
    <t>Spring/autumn</t>
  </si>
  <si>
    <t>Summer</t>
  </si>
  <si>
    <t>Heat Network</t>
  </si>
  <si>
    <t>DC condenser heat transfer</t>
  </si>
  <si>
    <t>Hot</t>
  </si>
  <si>
    <t>Cold</t>
  </si>
  <si>
    <t>Sink mixing</t>
  </si>
  <si>
    <t>WSHP</t>
  </si>
  <si>
    <t>Large-scale ASHP</t>
  </si>
  <si>
    <t>Total</t>
  </si>
  <si>
    <t>Counterfactual</t>
  </si>
  <si>
    <t>Individual ASHP</t>
  </si>
  <si>
    <t>DC chiller</t>
  </si>
  <si>
    <t>% Change</t>
  </si>
  <si>
    <t>Sink</t>
  </si>
  <si>
    <t>Hot mixing</t>
  </si>
  <si>
    <t>Cold mixing</t>
  </si>
  <si>
    <t>Sink cooling*</t>
  </si>
  <si>
    <t>* Sink cooling represents the exergy destruction associated with the 'unutilsed' DC chiller condenser heat</t>
  </si>
  <si>
    <t xml:space="preserve">Large-scale ASHP </t>
  </si>
  <si>
    <r>
      <t>Hot (Q</t>
    </r>
    <r>
      <rPr>
        <i/>
        <vertAlign val="subscript"/>
        <sz val="12"/>
        <color theme="1"/>
        <rFont val="Aptos"/>
      </rPr>
      <t>h</t>
    </r>
    <r>
      <rPr>
        <i/>
        <sz val="12"/>
        <color theme="1"/>
        <rFont val="Aptos"/>
      </rPr>
      <t>)</t>
    </r>
  </si>
  <si>
    <r>
      <t>Cold (Q</t>
    </r>
    <r>
      <rPr>
        <i/>
        <vertAlign val="subscript"/>
        <sz val="12"/>
        <color theme="1"/>
        <rFont val="Aptos"/>
      </rPr>
      <t>c</t>
    </r>
    <r>
      <rPr>
        <i/>
        <sz val="12"/>
        <color theme="1"/>
        <rFont val="Aptos"/>
      </rPr>
      <t>)</t>
    </r>
  </si>
  <si>
    <r>
      <t>Exergy Destruction per 672 h, E</t>
    </r>
    <r>
      <rPr>
        <i/>
        <vertAlign val="subscript"/>
        <sz val="12"/>
        <color theme="1"/>
        <rFont val="Aptos"/>
      </rPr>
      <t>des</t>
    </r>
    <r>
      <rPr>
        <sz val="12"/>
        <color theme="1"/>
        <rFont val="Aptos"/>
      </rPr>
      <t xml:space="preserve"> (MWh)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</si>
</sst>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b/>
      <i/>
      <sz val="12"/>
      <color theme="1"/>
      <name val="Aptos"/>
    </font>
    <font>
      <b/>
      <i/>
      <vertAlign val="subscript"/>
      <sz val="12"/>
      <color theme="1"/>
      <name val="Aptos"/>
    </font>
    <font>
      <i/>
      <sz val="12"/>
      <color theme="1"/>
      <name val="Aptos"/>
    </font>
    <font>
      <sz val="12"/>
      <color rgb="FF000000"/>
      <name val="Aptos Narrow"/>
    </font>
    <font>
      <i/>
      <sz val="12"/>
      <color rgb="FF000000"/>
      <name val="Aptos Narrow"/>
    </font>
    <font>
      <sz val="12"/>
      <color theme="1"/>
      <name val="Aptos Narrow"/>
      <family val="2"/>
      <scheme val="minor"/>
    </font>
    <font>
      <i/>
      <vertAlign val="subscript"/>
      <sz val="12"/>
      <color theme="1"/>
      <name val="Aptos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right" vertical="center" wrapText="1"/>
    </xf>
    <xf numFmtId="165" fontId="5" fillId="0" borderId="7" xfId="1" applyNumberFormat="1" applyFont="1" applyBorder="1" applyAlignment="1">
      <alignment horizontal="right" vertical="center" wrapText="1"/>
    </xf>
    <xf numFmtId="165" fontId="6" fillId="0" borderId="7" xfId="1" applyNumberFormat="1" applyFont="1" applyBorder="1" applyAlignment="1">
      <alignment horizontal="center" vertical="center" wrapText="1"/>
    </xf>
    <xf numFmtId="165" fontId="1" fillId="0" borderId="4" xfId="1" applyNumberFormat="1" applyFont="1" applyBorder="1" applyAlignment="1">
      <alignment horizontal="center" vertical="center" wrapText="1"/>
    </xf>
    <xf numFmtId="165" fontId="7" fillId="0" borderId="7" xfId="1" applyNumberFormat="1" applyFont="1" applyBorder="1" applyAlignment="1">
      <alignment horizontal="right" vertical="center" wrapText="1"/>
    </xf>
    <xf numFmtId="166" fontId="6" fillId="0" borderId="4" xfId="0" applyNumberFormat="1" applyFont="1" applyBorder="1" applyAlignment="1">
      <alignment horizontal="right" vertical="center" wrapText="1"/>
    </xf>
    <xf numFmtId="0" fontId="1" fillId="0" borderId="6" xfId="0" applyFont="1" applyFill="1" applyBorder="1" applyAlignment="1">
      <alignment horizontal="right" vertical="center" wrapText="1"/>
    </xf>
    <xf numFmtId="165" fontId="7" fillId="0" borderId="7" xfId="1" applyNumberFormat="1" applyFont="1" applyFill="1" applyBorder="1" applyAlignment="1">
      <alignment horizontal="right" vertical="center" wrapText="1"/>
    </xf>
    <xf numFmtId="1" fontId="5" fillId="0" borderId="4" xfId="0" applyNumberFormat="1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166" fontId="6" fillId="0" borderId="1" xfId="0" applyNumberFormat="1" applyFont="1" applyBorder="1" applyAlignment="1">
      <alignment horizontal="right" vertical="center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6" fontId="0" fillId="0" borderId="0" xfId="2" applyNumberFormat="1" applyFont="1"/>
    <xf numFmtId="166" fontId="0" fillId="0" borderId="0" xfId="0" applyNumberFormat="1"/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 wrapText="1"/>
    </xf>
    <xf numFmtId="1" fontId="5" fillId="0" borderId="0" xfId="0" applyNumberFormat="1" applyFont="1" applyBorder="1" applyAlignment="1">
      <alignment horizontal="right" vertical="center" wrapText="1"/>
    </xf>
    <xf numFmtId="165" fontId="5" fillId="0" borderId="0" xfId="1" applyNumberFormat="1" applyFont="1" applyBorder="1" applyAlignment="1">
      <alignment horizontal="right" vertical="center" wrapText="1"/>
    </xf>
    <xf numFmtId="165" fontId="6" fillId="0" borderId="0" xfId="1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center" wrapText="1"/>
    </xf>
    <xf numFmtId="165" fontId="7" fillId="0" borderId="0" xfId="1" applyNumberFormat="1" applyFont="1" applyFill="1" applyBorder="1" applyAlignment="1">
      <alignment horizontal="right" vertical="center" wrapText="1"/>
    </xf>
    <xf numFmtId="165" fontId="1" fillId="0" borderId="0" xfId="1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166" fontId="6" fillId="0" borderId="0" xfId="0" applyNumberFormat="1" applyFont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10" fillId="0" borderId="0" xfId="0" applyFont="1"/>
    <xf numFmtId="0" fontId="0" fillId="0" borderId="10" xfId="0" applyBorder="1" applyAlignment="1">
      <alignment horizontal="center"/>
    </xf>
    <xf numFmtId="166" fontId="0" fillId="0" borderId="10" xfId="2" applyNumberFormat="1" applyFont="1" applyBorder="1"/>
    <xf numFmtId="0" fontId="0" fillId="0" borderId="0" xfId="0" applyAlignment="1">
      <alignment horizontal="left" wrapText="1"/>
    </xf>
    <xf numFmtId="0" fontId="10" fillId="0" borderId="11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eterknorth/Documents/MATLAB/2605%20May%20Files/03%20Excel%20Analysis%20Files/260712%20Sink%20Mixing%20v2.0.xlsx" TargetMode="External"/><Relationship Id="rId1" Type="http://schemas.openxmlformats.org/officeDocument/2006/relationships/externalLinkPath" Target="03%20Excel%20Analysis%20Files/260712%20Sink%20Mixing%20v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Winter"/>
      <sheetName val="Spring_Autumn"/>
      <sheetName val="Summer"/>
    </sheetNames>
    <sheetDataSet>
      <sheetData sheetId="0" refreshError="1"/>
      <sheetData sheetId="1">
        <row r="18">
          <cell r="F18">
            <v>184618.53824577612</v>
          </cell>
          <cell r="L18">
            <v>21976.821620531027</v>
          </cell>
        </row>
      </sheetData>
      <sheetData sheetId="2">
        <row r="18">
          <cell r="F18">
            <v>176223.04111953219</v>
          </cell>
          <cell r="L18">
            <v>41473.067361166926</v>
          </cell>
        </row>
      </sheetData>
      <sheetData sheetId="3">
        <row r="18">
          <cell r="F18">
            <v>161425.35185486282</v>
          </cell>
          <cell r="L18">
            <v>66602.791636310401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4028-6BCB-8242-B15F-BB6E1ED95F5A}">
  <dimension ref="B2:P26"/>
  <sheetViews>
    <sheetView tabSelected="1" zoomScale="130" zoomScaleNormal="130" workbookViewId="0">
      <selection activeCell="M4" sqref="M4:P26"/>
    </sheetView>
  </sheetViews>
  <sheetFormatPr baseColWidth="10" defaultRowHeight="16" x14ac:dyDescent="0.2"/>
  <cols>
    <col min="2" max="2" width="16.5" customWidth="1"/>
    <col min="3" max="3" width="12" bestFit="1" customWidth="1"/>
    <col min="4" max="4" width="10.83203125" customWidth="1"/>
    <col min="8" max="8" width="19" customWidth="1"/>
    <col min="9" max="9" width="13.1640625" bestFit="1" customWidth="1"/>
    <col min="10" max="10" width="16.1640625" customWidth="1"/>
    <col min="11" max="11" width="13.1640625" bestFit="1" customWidth="1"/>
    <col min="12" max="12" width="13.1640625" customWidth="1"/>
    <col min="13" max="13" width="16.1640625" customWidth="1"/>
    <col min="14" max="14" width="12.33203125" customWidth="1"/>
    <col min="15" max="15" width="14.83203125" customWidth="1"/>
  </cols>
  <sheetData>
    <row r="2" spans="2:16" ht="17" thickBot="1" x14ac:dyDescent="0.25"/>
    <row r="3" spans="2:16" ht="18" customHeight="1" thickBot="1" x14ac:dyDescent="0.25">
      <c r="B3" s="1"/>
      <c r="C3" s="18" t="s">
        <v>0</v>
      </c>
      <c r="D3" s="19"/>
      <c r="E3" s="20"/>
      <c r="H3" s="1"/>
      <c r="I3" s="34" t="s">
        <v>24</v>
      </c>
      <c r="J3" s="35"/>
      <c r="K3" s="36"/>
      <c r="L3" s="39"/>
    </row>
    <row r="4" spans="2:16" ht="35" thickBot="1" x14ac:dyDescent="0.25">
      <c r="B4" s="3"/>
      <c r="C4" s="3" t="s">
        <v>1</v>
      </c>
      <c r="D4" s="4" t="s">
        <v>2</v>
      </c>
      <c r="E4" s="4" t="s">
        <v>3</v>
      </c>
      <c r="H4" s="2"/>
      <c r="I4" s="2" t="s">
        <v>1</v>
      </c>
      <c r="J4" s="33" t="s">
        <v>2</v>
      </c>
      <c r="K4" s="33" t="s">
        <v>3</v>
      </c>
      <c r="L4" s="40"/>
      <c r="N4" s="57" t="str">
        <f>I4</f>
        <v>Winter</v>
      </c>
      <c r="O4" s="57" t="str">
        <f t="shared" ref="O4:P4" si="0">J4</f>
        <v>Spring/autumn</v>
      </c>
      <c r="P4" s="57" t="str">
        <f t="shared" si="0"/>
        <v>Summer</v>
      </c>
    </row>
    <row r="5" spans="2:16" ht="18" thickBot="1" x14ac:dyDescent="0.25">
      <c r="B5" s="5" t="s">
        <v>4</v>
      </c>
      <c r="C5" s="7"/>
      <c r="D5" s="7"/>
      <c r="E5" s="7"/>
      <c r="H5" s="5" t="s">
        <v>4</v>
      </c>
      <c r="I5" s="7"/>
      <c r="J5" s="7"/>
      <c r="K5" s="7"/>
      <c r="L5" s="41"/>
      <c r="M5" s="53" t="str">
        <f>H5</f>
        <v>Heat Network</v>
      </c>
    </row>
    <row r="6" spans="2:16" ht="35" thickBot="1" x14ac:dyDescent="0.25">
      <c r="B6" s="8" t="s">
        <v>5</v>
      </c>
      <c r="C6" s="7"/>
      <c r="D6" s="7"/>
      <c r="E6" s="7"/>
      <c r="H6" s="8" t="s">
        <v>5</v>
      </c>
      <c r="I6" s="7"/>
      <c r="J6" s="7"/>
      <c r="K6" s="7"/>
      <c r="L6" s="41"/>
      <c r="M6" s="52" t="str">
        <f>H6</f>
        <v>DC condenser heat transfer</v>
      </c>
    </row>
    <row r="7" spans="2:16" ht="18" thickBot="1" x14ac:dyDescent="0.25">
      <c r="B7" s="9" t="s">
        <v>6</v>
      </c>
      <c r="C7" s="7">
        <v>41.7</v>
      </c>
      <c r="D7" s="7">
        <v>39.799999999999997</v>
      </c>
      <c r="E7" s="7">
        <v>36.5</v>
      </c>
      <c r="H7" s="9" t="s">
        <v>6</v>
      </c>
      <c r="I7" s="7">
        <v>41.7</v>
      </c>
      <c r="J7" s="7">
        <v>39.799999999999997</v>
      </c>
      <c r="K7" s="7">
        <v>36.5</v>
      </c>
      <c r="L7" s="41"/>
      <c r="M7" s="51" t="str">
        <f>H7</f>
        <v>Hot</v>
      </c>
      <c r="N7" s="37">
        <f>I7/$I$19</f>
        <v>6.4345691030096866E-2</v>
      </c>
      <c r="O7" s="37">
        <f>J7/$J$19</f>
        <v>7.3274353293460132E-2</v>
      </c>
      <c r="P7" s="37">
        <f>K7/$K$19</f>
        <v>8.9467278070502476E-2</v>
      </c>
    </row>
    <row r="8" spans="2:16" ht="18" thickBot="1" x14ac:dyDescent="0.25">
      <c r="B8" s="9" t="s">
        <v>7</v>
      </c>
      <c r="C8" s="7">
        <v>13.2</v>
      </c>
      <c r="D8" s="7">
        <v>25</v>
      </c>
      <c r="E8" s="7">
        <v>40.1</v>
      </c>
      <c r="H8" s="9" t="s">
        <v>7</v>
      </c>
      <c r="I8" s="7">
        <v>13.2</v>
      </c>
      <c r="J8" s="7">
        <v>25</v>
      </c>
      <c r="K8" s="7">
        <v>40.1</v>
      </c>
      <c r="L8" s="41"/>
      <c r="M8" s="51" t="str">
        <f>H8</f>
        <v>Cold</v>
      </c>
      <c r="N8" s="37">
        <f>I8/$I$19</f>
        <v>2.0368420182188932E-2</v>
      </c>
      <c r="O8" s="37">
        <f>J8/$J$19</f>
        <v>4.6026603827550333E-2</v>
      </c>
      <c r="P8" s="37">
        <f>K8/$K$19</f>
        <v>9.829144796238766E-2</v>
      </c>
    </row>
    <row r="9" spans="2:16" ht="38" customHeight="1" thickBot="1" x14ac:dyDescent="0.25">
      <c r="B9" s="8" t="s">
        <v>8</v>
      </c>
      <c r="C9" s="7"/>
      <c r="D9" s="7"/>
      <c r="E9" s="7"/>
      <c r="H9" s="8" t="s">
        <v>16</v>
      </c>
      <c r="I9" s="7"/>
      <c r="J9" s="7"/>
      <c r="K9" s="7"/>
      <c r="L9" s="41"/>
      <c r="M9" t="str">
        <f>H9</f>
        <v>Sink</v>
      </c>
      <c r="N9" s="37"/>
      <c r="O9" s="37"/>
      <c r="P9" s="37"/>
    </row>
    <row r="10" spans="2:16" ht="18" thickBot="1" x14ac:dyDescent="0.25">
      <c r="B10" s="9" t="s">
        <v>6</v>
      </c>
      <c r="C10" s="7">
        <v>284</v>
      </c>
      <c r="D10" s="7">
        <v>222</v>
      </c>
      <c r="E10" s="7">
        <v>161</v>
      </c>
      <c r="H10" s="9" t="s">
        <v>17</v>
      </c>
      <c r="I10" s="29">
        <f>[1]Winter!$F$18/1000</f>
        <v>184.61853824577611</v>
      </c>
      <c r="J10" s="29">
        <f>[1]Spring_Autumn!$F$18/1000</f>
        <v>176.22304111953218</v>
      </c>
      <c r="K10" s="29">
        <f>[1]Summer!$F$18/1000</f>
        <v>161.42535185486281</v>
      </c>
      <c r="L10" s="42"/>
      <c r="M10" s="51" t="str">
        <f>H10</f>
        <v>Hot mixing</v>
      </c>
      <c r="N10" s="37">
        <f>I10/$I$19</f>
        <v>0.2848778757887489</v>
      </c>
      <c r="O10" s="37">
        <f>J10/$J$19</f>
        <v>0.3244379239557928</v>
      </c>
      <c r="P10" s="37">
        <f>K10/$K$19</f>
        <v>0.39567909156240316</v>
      </c>
    </row>
    <row r="11" spans="2:16" ht="18" thickBot="1" x14ac:dyDescent="0.25">
      <c r="B11" s="9" t="s">
        <v>7</v>
      </c>
      <c r="C11" s="7">
        <v>31</v>
      </c>
      <c r="D11" s="7">
        <v>49</v>
      </c>
      <c r="E11" s="7">
        <v>68</v>
      </c>
      <c r="H11" s="9" t="s">
        <v>18</v>
      </c>
      <c r="I11" s="29">
        <f>[1]Winter!$L$18/1000</f>
        <v>21.976821620531027</v>
      </c>
      <c r="J11" s="29">
        <f>[1]Spring_Autumn!$L$18/1000</f>
        <v>41.473067361166926</v>
      </c>
      <c r="K11" s="29">
        <f>[1]Summer!$L$18/1000</f>
        <v>66.6027916363104</v>
      </c>
      <c r="L11" s="42"/>
      <c r="M11" s="51" t="str">
        <f>H11</f>
        <v>Cold mixing</v>
      </c>
      <c r="N11" s="37">
        <f>I11/$I$19</f>
        <v>3.3911601290605324E-2</v>
      </c>
      <c r="O11" s="37">
        <f>J11/$J$19</f>
        <v>7.6354577637829546E-2</v>
      </c>
      <c r="P11" s="37">
        <f>K11/$K$19</f>
        <v>0.1632539857423978</v>
      </c>
    </row>
    <row r="12" spans="2:16" ht="18" thickBot="1" x14ac:dyDescent="0.25">
      <c r="B12" s="9"/>
      <c r="C12" s="7"/>
      <c r="D12" s="7"/>
      <c r="E12" s="7"/>
      <c r="H12" s="10" t="s">
        <v>19</v>
      </c>
      <c r="I12" s="21">
        <f>-43166.683332442/-1000</f>
        <v>43.166683332441998</v>
      </c>
      <c r="J12" s="22">
        <f>-82668.0166341686/-1000</f>
        <v>82.668016634168595</v>
      </c>
      <c r="K12" s="22">
        <f>-79342.2428576445/-1000</f>
        <v>79.342242857644493</v>
      </c>
      <c r="L12" s="43"/>
      <c r="M12" s="51" t="str">
        <f>H12</f>
        <v>Sink cooling*</v>
      </c>
      <c r="N12" s="37">
        <f>I12/$I$19</f>
        <v>6.6608874544444724E-2</v>
      </c>
      <c r="O12" s="37">
        <f>J12/$J$19</f>
        <v>0.15219712203320876</v>
      </c>
      <c r="P12" s="37">
        <f>K12/$K$19</f>
        <v>0.19448039738307449</v>
      </c>
    </row>
    <row r="13" spans="2:16" ht="43" customHeight="1" thickBot="1" x14ac:dyDescent="0.25">
      <c r="B13" s="8" t="s">
        <v>9</v>
      </c>
      <c r="C13" s="7"/>
      <c r="D13" s="7"/>
      <c r="E13" s="7"/>
      <c r="H13" s="8" t="s">
        <v>9</v>
      </c>
      <c r="I13" s="7"/>
      <c r="J13" s="7"/>
      <c r="K13" s="7"/>
      <c r="L13" s="41"/>
      <c r="M13" t="str">
        <f>H13</f>
        <v>WSHP</v>
      </c>
      <c r="N13" s="37"/>
      <c r="O13" s="37"/>
      <c r="P13" s="37"/>
    </row>
    <row r="14" spans="2:16" ht="18" thickBot="1" x14ac:dyDescent="0.25">
      <c r="B14" s="9" t="s">
        <v>6</v>
      </c>
      <c r="C14" s="7">
        <v>301</v>
      </c>
      <c r="D14" s="7">
        <v>139</v>
      </c>
      <c r="E14" s="7">
        <v>0</v>
      </c>
      <c r="H14" s="9" t="s">
        <v>6</v>
      </c>
      <c r="I14" s="7">
        <v>301</v>
      </c>
      <c r="J14" s="7">
        <v>139</v>
      </c>
      <c r="K14" s="7">
        <v>0</v>
      </c>
      <c r="L14" s="41"/>
      <c r="M14" s="51" t="str">
        <f>H14</f>
        <v>Hot</v>
      </c>
      <c r="N14" s="37">
        <f>I14/$I$19</f>
        <v>0.4644617026393083</v>
      </c>
      <c r="O14" s="37">
        <f>J14/$J$19</f>
        <v>0.25590791728117984</v>
      </c>
      <c r="P14" s="37">
        <f>K14/$K$19</f>
        <v>0</v>
      </c>
    </row>
    <row r="15" spans="2:16" ht="18" thickBot="1" x14ac:dyDescent="0.25">
      <c r="B15" s="9" t="s">
        <v>7</v>
      </c>
      <c r="C15" s="7">
        <v>39</v>
      </c>
      <c r="D15" s="7">
        <v>39</v>
      </c>
      <c r="E15" s="7">
        <v>24</v>
      </c>
      <c r="H15" s="9" t="s">
        <v>7</v>
      </c>
      <c r="I15" s="7">
        <v>39</v>
      </c>
      <c r="J15" s="7">
        <v>39</v>
      </c>
      <c r="K15" s="7">
        <v>24</v>
      </c>
      <c r="L15" s="41"/>
      <c r="M15" s="51" t="str">
        <f>H15</f>
        <v>Cold</v>
      </c>
      <c r="N15" s="37">
        <f>I15/$I$19</f>
        <v>6.0179423265558217E-2</v>
      </c>
      <c r="O15" s="37">
        <f>J15/$J$19</f>
        <v>7.1801501970978523E-2</v>
      </c>
      <c r="P15" s="37">
        <f>K15/$K$19</f>
        <v>5.8827799279234511E-2</v>
      </c>
    </row>
    <row r="16" spans="2:16" ht="45" customHeight="1" thickBot="1" x14ac:dyDescent="0.25">
      <c r="B16" s="8" t="s">
        <v>10</v>
      </c>
      <c r="C16" s="7"/>
      <c r="D16" s="7"/>
      <c r="E16" s="7"/>
      <c r="H16" s="8" t="s">
        <v>21</v>
      </c>
      <c r="I16" s="7"/>
      <c r="J16" s="7"/>
      <c r="K16" s="7"/>
      <c r="L16" s="41"/>
      <c r="M16" t="str">
        <f>H16</f>
        <v xml:space="preserve">Large-scale ASHP </v>
      </c>
      <c r="N16" s="37"/>
      <c r="O16" s="37"/>
      <c r="P16" s="37"/>
    </row>
    <row r="17" spans="2:16" ht="20" thickBot="1" x14ac:dyDescent="0.25">
      <c r="B17" s="9" t="s">
        <v>6</v>
      </c>
      <c r="C17" s="7">
        <v>0.6</v>
      </c>
      <c r="D17" s="7">
        <v>0</v>
      </c>
      <c r="E17" s="7">
        <v>0</v>
      </c>
      <c r="H17" s="9" t="s">
        <v>22</v>
      </c>
      <c r="I17" s="7">
        <v>0.6</v>
      </c>
      <c r="J17" s="7">
        <v>0</v>
      </c>
      <c r="K17" s="7">
        <v>0</v>
      </c>
      <c r="L17" s="41"/>
      <c r="M17" s="51" t="str">
        <f>H17</f>
        <v>Hot (Qh)</v>
      </c>
      <c r="N17" s="37">
        <f>I17/$I$19</f>
        <v>9.2583728100858792E-4</v>
      </c>
      <c r="O17" s="37">
        <f>J17/$J$19</f>
        <v>0</v>
      </c>
      <c r="P17" s="37">
        <f>K17/$K$19</f>
        <v>0</v>
      </c>
    </row>
    <row r="18" spans="2:16" ht="20" thickBot="1" x14ac:dyDescent="0.25">
      <c r="B18" s="10" t="s">
        <v>7</v>
      </c>
      <c r="C18" s="11">
        <v>2.8</v>
      </c>
      <c r="D18" s="11">
        <v>0</v>
      </c>
      <c r="E18" s="11">
        <v>0</v>
      </c>
      <c r="H18" s="10" t="s">
        <v>23</v>
      </c>
      <c r="I18" s="11">
        <v>2.8</v>
      </c>
      <c r="J18" s="11">
        <v>0</v>
      </c>
      <c r="K18" s="11">
        <v>0</v>
      </c>
      <c r="L18" s="41"/>
      <c r="M18" s="51" t="str">
        <f>H18</f>
        <v>Cold (Qc)</v>
      </c>
      <c r="N18" s="37">
        <f>I18/$I$19</f>
        <v>4.3205739780400772E-3</v>
      </c>
      <c r="O18" s="37">
        <f>J18/$J$19</f>
        <v>0</v>
      </c>
      <c r="P18" s="37">
        <f>K18/$K$19</f>
        <v>0</v>
      </c>
    </row>
    <row r="19" spans="2:16" ht="19" thickTop="1" thickBot="1" x14ac:dyDescent="0.25">
      <c r="B19" s="12" t="s">
        <v>11</v>
      </c>
      <c r="C19" s="13">
        <f>SUM(C7:C18)</f>
        <v>713.3</v>
      </c>
      <c r="D19" s="13">
        <f>SUM(D7:D18)</f>
        <v>513.79999999999995</v>
      </c>
      <c r="E19" s="13">
        <f>SUM(E7:E18)</f>
        <v>329.6</v>
      </c>
      <c r="H19" s="12" t="s">
        <v>11</v>
      </c>
      <c r="I19" s="23">
        <f>SUM(I7:I18)</f>
        <v>648.06204319874917</v>
      </c>
      <c r="J19" s="23">
        <f>SUM(J7:J18)</f>
        <v>543.16412511486772</v>
      </c>
      <c r="K19" s="23">
        <f>SUM(K7:K18)</f>
        <v>407.97038634881767</v>
      </c>
      <c r="L19" s="44"/>
      <c r="M19" s="54" t="str">
        <f>H19</f>
        <v>Total</v>
      </c>
      <c r="N19" s="55">
        <f>I19/$I$19</f>
        <v>1</v>
      </c>
      <c r="O19" s="55">
        <f>J19/$J$19</f>
        <v>1</v>
      </c>
      <c r="P19" s="55">
        <f>K19/$K$19</f>
        <v>1</v>
      </c>
    </row>
    <row r="20" spans="2:16" ht="19" thickTop="1" thickBot="1" x14ac:dyDescent="0.25">
      <c r="B20" s="5" t="s">
        <v>12</v>
      </c>
      <c r="C20" s="14"/>
      <c r="D20" s="14"/>
      <c r="E20" s="2"/>
      <c r="H20" s="5" t="s">
        <v>12</v>
      </c>
      <c r="I20" s="14"/>
      <c r="J20" s="14"/>
      <c r="K20" s="2"/>
      <c r="L20" s="40"/>
    </row>
    <row r="21" spans="2:16" ht="18" thickBot="1" x14ac:dyDescent="0.25">
      <c r="B21" s="15" t="s">
        <v>13</v>
      </c>
      <c r="C21" s="16">
        <v>936.6</v>
      </c>
      <c r="D21" s="16">
        <v>299.51</v>
      </c>
      <c r="E21" s="16">
        <v>48.07</v>
      </c>
      <c r="H21" s="15" t="s">
        <v>13</v>
      </c>
      <c r="I21" s="16">
        <v>936.6</v>
      </c>
      <c r="J21" s="16">
        <v>299.51</v>
      </c>
      <c r="K21" s="16">
        <v>48.07</v>
      </c>
      <c r="L21" s="45"/>
      <c r="M21" s="53" t="str">
        <f>H20</f>
        <v>Counterfactual</v>
      </c>
      <c r="N21" s="38"/>
      <c r="O21" s="38"/>
      <c r="P21" s="38"/>
    </row>
    <row r="22" spans="2:16" ht="18" thickBot="1" x14ac:dyDescent="0.25">
      <c r="B22" s="12" t="s">
        <v>14</v>
      </c>
      <c r="C22" s="25">
        <v>0</v>
      </c>
      <c r="D22" s="17">
        <v>0</v>
      </c>
      <c r="E22" s="17">
        <v>0</v>
      </c>
      <c r="H22" s="27" t="s">
        <v>14</v>
      </c>
      <c r="I22" s="28">
        <f>194315/1000</f>
        <v>194.315</v>
      </c>
      <c r="J22" s="28">
        <f>129668.538037768/1000</f>
        <v>129.668538037768</v>
      </c>
      <c r="K22" s="28">
        <f>93090.2563277358/1000</f>
        <v>93.090256327735801</v>
      </c>
      <c r="L22" s="46"/>
      <c r="M22" s="51" t="str">
        <f>H21</f>
        <v>Individual ASHP</v>
      </c>
      <c r="N22" s="37">
        <f>I21/$I$23</f>
        <v>0.82817895244116491</v>
      </c>
      <c r="O22" s="37">
        <f>J21/$J$23</f>
        <v>0.69786807459986011</v>
      </c>
      <c r="P22" s="37">
        <f>K21/$K$23</f>
        <v>0.34053494411624269</v>
      </c>
    </row>
    <row r="23" spans="2:16" ht="19" thickTop="1" thickBot="1" x14ac:dyDescent="0.25">
      <c r="B23" s="15" t="s">
        <v>11</v>
      </c>
      <c r="C23" s="24">
        <f>SUM(C21:C22)</f>
        <v>936.6</v>
      </c>
      <c r="D23" s="2">
        <f t="shared" ref="D23:E23" si="1">SUM(D21:D22)</f>
        <v>299.51</v>
      </c>
      <c r="E23" s="2">
        <f t="shared" si="1"/>
        <v>48.07</v>
      </c>
      <c r="H23" s="15" t="s">
        <v>11</v>
      </c>
      <c r="I23" s="24">
        <f>SUM(I21:I22)</f>
        <v>1130.915</v>
      </c>
      <c r="J23" s="24">
        <f t="shared" ref="J23:K23" si="2">SUM(J21:J22)</f>
        <v>429.17853803776802</v>
      </c>
      <c r="K23" s="24">
        <f t="shared" si="2"/>
        <v>141.16025632773579</v>
      </c>
      <c r="L23" s="47"/>
      <c r="M23" s="51" t="str">
        <f>H22</f>
        <v>DC chiller</v>
      </c>
      <c r="N23" s="37">
        <f>I22/$I$23</f>
        <v>0.17182104755883509</v>
      </c>
      <c r="O23" s="37">
        <f>J22/$J$23</f>
        <v>0.30213192540013983</v>
      </c>
      <c r="P23" s="37">
        <f>K22/$K$23</f>
        <v>0.65946505588375737</v>
      </c>
    </row>
    <row r="24" spans="2:16" ht="17" thickBot="1" x14ac:dyDescent="0.25">
      <c r="B24" s="15"/>
      <c r="C24" s="6"/>
      <c r="D24" s="6"/>
      <c r="E24" s="6"/>
      <c r="H24" s="15"/>
      <c r="I24" s="6"/>
      <c r="J24" s="6"/>
      <c r="K24" s="6"/>
      <c r="L24" s="48"/>
      <c r="M24" s="54" t="str">
        <f>H23</f>
        <v>Total</v>
      </c>
      <c r="N24" s="55">
        <f>I23/$I$23</f>
        <v>1</v>
      </c>
      <c r="O24" s="55">
        <f>J23/$J$23</f>
        <v>1</v>
      </c>
      <c r="P24" s="55">
        <f>K23/$K$23</f>
        <v>1</v>
      </c>
    </row>
    <row r="25" spans="2:16" ht="18" thickBot="1" x14ac:dyDescent="0.25">
      <c r="B25" s="15" t="s">
        <v>15</v>
      </c>
      <c r="C25" s="26">
        <f>(C23-C19)/C23</f>
        <v>0.23841554559043354</v>
      </c>
      <c r="D25" s="26">
        <f t="shared" ref="D25:E25" si="3">(D23-D19)/D23</f>
        <v>-0.71546859871122825</v>
      </c>
      <c r="E25" s="26">
        <f t="shared" si="3"/>
        <v>-5.8566673600998547</v>
      </c>
      <c r="H25" s="30" t="s">
        <v>15</v>
      </c>
      <c r="I25" s="31">
        <f>(I23-I19)/I23</f>
        <v>0.42695777914454297</v>
      </c>
      <c r="J25" s="31">
        <f t="shared" ref="J25:K25" si="4">(J23-J19)/J23</f>
        <v>-0.26559013784391261</v>
      </c>
      <c r="K25" s="31">
        <f t="shared" si="4"/>
        <v>-1.8901221700931259</v>
      </c>
      <c r="L25" s="49"/>
    </row>
    <row r="26" spans="2:16" ht="36" customHeight="1" x14ac:dyDescent="0.2">
      <c r="H26" s="32" t="s">
        <v>20</v>
      </c>
      <c r="I26" s="32"/>
      <c r="J26" s="32"/>
      <c r="K26" s="32"/>
      <c r="L26" s="50"/>
      <c r="M26" s="56" t="str">
        <f>H26</f>
        <v>* Sink cooling represents the exergy destruction associated with the 'unutilsed' DC chiller condenser heat</v>
      </c>
      <c r="N26" s="56"/>
      <c r="O26" s="56"/>
      <c r="P26" s="56"/>
    </row>
  </sheetData>
  <mergeCells count="4">
    <mergeCell ref="C3:E3"/>
    <mergeCell ref="I3:K3"/>
    <mergeCell ref="H26:K26"/>
    <mergeCell ref="M26:P2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DC Chiller Comparison</vt:lpstr>
      <vt:lpstr>'DC Chiller Comparison'!OLE_LINK11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north</dc:creator>
  <cp:lastModifiedBy>peter north</cp:lastModifiedBy>
  <dcterms:created xsi:type="dcterms:W3CDTF">2026-07-07T14:26:56Z</dcterms:created>
  <dcterms:modified xsi:type="dcterms:W3CDTF">2026-07-27T11:02:49Z</dcterms:modified>
</cp:coreProperties>
</file>