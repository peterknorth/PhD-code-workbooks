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knorth/Documents/MATLAB/2605 May Files/03 Excel Analysis Files/"/>
    </mc:Choice>
  </mc:AlternateContent>
  <xr:revisionPtr revIDLastSave="0" documentId="13_ncr:1_{E1ADDE09-6035-BB48-9280-7B601DB69782}" xr6:coauthVersionLast="47" xr6:coauthVersionMax="47" xr10:uidLastSave="{00000000-0000-0000-0000-000000000000}"/>
  <bookViews>
    <workbookView xWindow="0" yWindow="500" windowWidth="40960" windowHeight="20860" activeTab="3" xr2:uid="{CF8FC07B-699B-9049-9621-30AAD7BBD687}"/>
  </bookViews>
  <sheets>
    <sheet name="Dashboard" sheetId="7" r:id="rId1"/>
    <sheet name="Winter" sheetId="1" r:id="rId2"/>
    <sheet name="Spring_Autumn" sheetId="5" r:id="rId3"/>
    <sheet name="Summer" sheetId="6" r:id="rId4"/>
  </sheets>
  <definedNames>
    <definedName name="_xlnm.Print_Area" localSheetId="2">Spring_Autumn!$D$14:$O$18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6" l="1"/>
  <c r="F19" i="6"/>
  <c r="M19" i="5" l="1"/>
  <c r="G19" i="5"/>
  <c r="M19" i="1"/>
  <c r="G19" i="1"/>
  <c r="E22" i="7" l="1"/>
  <c r="D22" i="7"/>
  <c r="C22" i="7"/>
  <c r="F21" i="7"/>
  <c r="E6" i="7"/>
  <c r="C6" i="7"/>
  <c r="F5" i="7"/>
  <c r="E5" i="7"/>
  <c r="D5" i="7"/>
  <c r="C5" i="7"/>
  <c r="E18" i="6" l="1"/>
  <c r="H18" i="6"/>
  <c r="I18" i="6"/>
  <c r="J18" i="6"/>
  <c r="E7" i="7" s="1"/>
  <c r="K18" i="6"/>
  <c r="N18" i="6"/>
  <c r="O18" i="6"/>
  <c r="D18" i="6"/>
  <c r="C7" i="7" s="1"/>
  <c r="K18" i="5"/>
  <c r="E18" i="5"/>
  <c r="G18" i="5"/>
  <c r="H18" i="5"/>
  <c r="I18" i="5"/>
  <c r="J18" i="5"/>
  <c r="M18" i="5"/>
  <c r="N18" i="5"/>
  <c r="O18" i="5"/>
  <c r="D18" i="5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20" i="1"/>
  <c r="F18" i="1" s="1"/>
  <c r="C10" i="1"/>
  <c r="J18" i="1"/>
  <c r="D18" i="1"/>
  <c r="B20" i="1"/>
  <c r="O5" i="1"/>
  <c r="O2" i="1"/>
  <c r="N7" i="1"/>
  <c r="N5" i="1"/>
  <c r="N4" i="1"/>
  <c r="O3" i="1"/>
  <c r="O4" i="1" s="1"/>
  <c r="N3" i="1"/>
  <c r="N2" i="1"/>
  <c r="C8" i="1"/>
  <c r="O6" i="1" l="1"/>
  <c r="O7" i="1" s="1"/>
  <c r="F8" i="5"/>
  <c r="C3" i="5"/>
  <c r="C4" i="5"/>
  <c r="C5" i="5"/>
  <c r="C6" i="5"/>
  <c r="D6" i="5" s="1"/>
  <c r="C7" i="5"/>
  <c r="C9" i="5"/>
  <c r="D9" i="5" s="1"/>
  <c r="C2" i="5"/>
  <c r="F9" i="6"/>
  <c r="F10" i="6"/>
  <c r="F11" i="6"/>
  <c r="F8" i="6"/>
  <c r="C3" i="6"/>
  <c r="C4" i="6"/>
  <c r="C5" i="6"/>
  <c r="C6" i="6"/>
  <c r="C7" i="6"/>
  <c r="C11" i="6"/>
  <c r="D11" i="6" s="1"/>
  <c r="C2" i="6"/>
  <c r="M18" i="1"/>
  <c r="C11" i="1"/>
  <c r="D11" i="1" s="1"/>
  <c r="D10" i="1"/>
  <c r="C9" i="1"/>
  <c r="C9" i="6" s="1"/>
  <c r="D8" i="1"/>
  <c r="D7" i="1"/>
  <c r="D6" i="1"/>
  <c r="D9" i="6" l="1"/>
  <c r="D6" i="6"/>
  <c r="D7" i="6"/>
  <c r="D7" i="5"/>
  <c r="D9" i="1"/>
  <c r="C10" i="6"/>
  <c r="C11" i="5"/>
  <c r="D11" i="5" s="1"/>
  <c r="C8" i="6"/>
  <c r="C8" i="5"/>
  <c r="D8" i="5" s="1"/>
  <c r="F597" i="5" s="1"/>
  <c r="C10" i="5"/>
  <c r="D10" i="5" s="1"/>
  <c r="L50" i="5" s="1"/>
  <c r="D10" i="6" l="1"/>
  <c r="L22" i="6" s="1"/>
  <c r="M22" i="6"/>
  <c r="M23" i="6" s="1"/>
  <c r="D8" i="6"/>
  <c r="G22" i="6"/>
  <c r="M21" i="6"/>
  <c r="F661" i="5"/>
  <c r="F645" i="5"/>
  <c r="F25" i="5"/>
  <c r="F41" i="5"/>
  <c r="F57" i="5"/>
  <c r="F73" i="5"/>
  <c r="F89" i="5"/>
  <c r="F105" i="5"/>
  <c r="F121" i="5"/>
  <c r="F137" i="5"/>
  <c r="F153" i="5"/>
  <c r="F169" i="5"/>
  <c r="F185" i="5"/>
  <c r="F201" i="5"/>
  <c r="F217" i="5"/>
  <c r="F233" i="5"/>
  <c r="F249" i="5"/>
  <c r="F265" i="5"/>
  <c r="F281" i="5"/>
  <c r="F297" i="5"/>
  <c r="F313" i="5"/>
  <c r="F329" i="5"/>
  <c r="F345" i="5"/>
  <c r="F361" i="5"/>
  <c r="F377" i="5"/>
  <c r="F393" i="5"/>
  <c r="F409" i="5"/>
  <c r="F425" i="5"/>
  <c r="F441" i="5"/>
  <c r="F34" i="5"/>
  <c r="F50" i="5"/>
  <c r="F66" i="5"/>
  <c r="F82" i="5"/>
  <c r="F98" i="5"/>
  <c r="F114" i="5"/>
  <c r="F130" i="5"/>
  <c r="F146" i="5"/>
  <c r="F162" i="5"/>
  <c r="F178" i="5"/>
  <c r="F194" i="5"/>
  <c r="F210" i="5"/>
  <c r="F226" i="5"/>
  <c r="F242" i="5"/>
  <c r="F258" i="5"/>
  <c r="F274" i="5"/>
  <c r="F290" i="5"/>
  <c r="F306" i="5"/>
  <c r="F322" i="5"/>
  <c r="F338" i="5"/>
  <c r="F354" i="5"/>
  <c r="F370" i="5"/>
  <c r="F386" i="5"/>
  <c r="F402" i="5"/>
  <c r="F27" i="5"/>
  <c r="F43" i="5"/>
  <c r="F59" i="5"/>
  <c r="F75" i="5"/>
  <c r="F91" i="5"/>
  <c r="F107" i="5"/>
  <c r="F123" i="5"/>
  <c r="F139" i="5"/>
  <c r="F155" i="5"/>
  <c r="F171" i="5"/>
  <c r="F187" i="5"/>
  <c r="F203" i="5"/>
  <c r="F219" i="5"/>
  <c r="F235" i="5"/>
  <c r="F251" i="5"/>
  <c r="F267" i="5"/>
  <c r="F283" i="5"/>
  <c r="F299" i="5"/>
  <c r="F315" i="5"/>
  <c r="F331" i="5"/>
  <c r="F347" i="5"/>
  <c r="F363" i="5"/>
  <c r="F28" i="5"/>
  <c r="F44" i="5"/>
  <c r="F60" i="5"/>
  <c r="F76" i="5"/>
  <c r="F92" i="5"/>
  <c r="F108" i="5"/>
  <c r="F124" i="5"/>
  <c r="F140" i="5"/>
  <c r="F156" i="5"/>
  <c r="F172" i="5"/>
  <c r="F188" i="5"/>
  <c r="F204" i="5"/>
  <c r="F220" i="5"/>
  <c r="F236" i="5"/>
  <c r="F252" i="5"/>
  <c r="F268" i="5"/>
  <c r="F284" i="5"/>
  <c r="F348" i="5"/>
  <c r="F392" i="5"/>
  <c r="F420" i="5"/>
  <c r="F442" i="5"/>
  <c r="F458" i="5"/>
  <c r="F474" i="5"/>
  <c r="F490" i="5"/>
  <c r="F506" i="5"/>
  <c r="F522" i="5"/>
  <c r="F538" i="5"/>
  <c r="F554" i="5"/>
  <c r="F570" i="5"/>
  <c r="F586" i="5"/>
  <c r="F602" i="5"/>
  <c r="F618" i="5"/>
  <c r="F634" i="5"/>
  <c r="F650" i="5"/>
  <c r="F666" i="5"/>
  <c r="F682" i="5"/>
  <c r="F304" i="5"/>
  <c r="F368" i="5"/>
  <c r="F403" i="5"/>
  <c r="F427" i="5"/>
  <c r="F447" i="5"/>
  <c r="F463" i="5"/>
  <c r="F479" i="5"/>
  <c r="F495" i="5"/>
  <c r="F511" i="5"/>
  <c r="F527" i="5"/>
  <c r="F543" i="5"/>
  <c r="F559" i="5"/>
  <c r="F575" i="5"/>
  <c r="F591" i="5"/>
  <c r="F607" i="5"/>
  <c r="F623" i="5"/>
  <c r="F639" i="5"/>
  <c r="F655" i="5"/>
  <c r="F671" i="5"/>
  <c r="F687" i="5"/>
  <c r="F324" i="5"/>
  <c r="F380" i="5"/>
  <c r="F412" i="5"/>
  <c r="F434" i="5"/>
  <c r="F452" i="5"/>
  <c r="F468" i="5"/>
  <c r="F484" i="5"/>
  <c r="F500" i="5"/>
  <c r="F516" i="5"/>
  <c r="F532" i="5"/>
  <c r="F548" i="5"/>
  <c r="F564" i="5"/>
  <c r="F580" i="5"/>
  <c r="F596" i="5"/>
  <c r="F612" i="5"/>
  <c r="F628" i="5"/>
  <c r="F644" i="5"/>
  <c r="F660" i="5"/>
  <c r="F676" i="5"/>
  <c r="F20" i="5"/>
  <c r="F344" i="5"/>
  <c r="F391" i="5"/>
  <c r="F419" i="5"/>
  <c r="F440" i="5"/>
  <c r="F457" i="5"/>
  <c r="F473" i="5"/>
  <c r="F489" i="5"/>
  <c r="F505" i="5"/>
  <c r="F521" i="5"/>
  <c r="F537" i="5"/>
  <c r="F553" i="5"/>
  <c r="F569" i="5"/>
  <c r="F585" i="5"/>
  <c r="F601" i="5"/>
  <c r="F617" i="5"/>
  <c r="F633" i="5"/>
  <c r="F649" i="5"/>
  <c r="F665" i="5"/>
  <c r="F681" i="5"/>
  <c r="F493" i="5"/>
  <c r="F573" i="5"/>
  <c r="F605" i="5"/>
  <c r="F637" i="5"/>
  <c r="F669" i="5"/>
  <c r="F685" i="5"/>
  <c r="F673" i="5"/>
  <c r="F29" i="5"/>
  <c r="F45" i="5"/>
  <c r="F61" i="5"/>
  <c r="F77" i="5"/>
  <c r="F93" i="5"/>
  <c r="F109" i="5"/>
  <c r="F125" i="5"/>
  <c r="F141" i="5"/>
  <c r="F157" i="5"/>
  <c r="F173" i="5"/>
  <c r="F189" i="5"/>
  <c r="F205" i="5"/>
  <c r="F221" i="5"/>
  <c r="F237" i="5"/>
  <c r="F253" i="5"/>
  <c r="F269" i="5"/>
  <c r="F285" i="5"/>
  <c r="F301" i="5"/>
  <c r="F317" i="5"/>
  <c r="F333" i="5"/>
  <c r="F349" i="5"/>
  <c r="F365" i="5"/>
  <c r="F381" i="5"/>
  <c r="F397" i="5"/>
  <c r="F413" i="5"/>
  <c r="F429" i="5"/>
  <c r="F22" i="5"/>
  <c r="F38" i="5"/>
  <c r="F54" i="5"/>
  <c r="F70" i="5"/>
  <c r="F86" i="5"/>
  <c r="F102" i="5"/>
  <c r="F118" i="5"/>
  <c r="F134" i="5"/>
  <c r="F150" i="5"/>
  <c r="F166" i="5"/>
  <c r="F182" i="5"/>
  <c r="F198" i="5"/>
  <c r="F214" i="5"/>
  <c r="F230" i="5"/>
  <c r="F246" i="5"/>
  <c r="F262" i="5"/>
  <c r="F278" i="5"/>
  <c r="F294" i="5"/>
  <c r="F310" i="5"/>
  <c r="F326" i="5"/>
  <c r="F342" i="5"/>
  <c r="F358" i="5"/>
  <c r="F374" i="5"/>
  <c r="F390" i="5"/>
  <c r="F406" i="5"/>
  <c r="F31" i="5"/>
  <c r="F47" i="5"/>
  <c r="F63" i="5"/>
  <c r="F79" i="5"/>
  <c r="F95" i="5"/>
  <c r="F111" i="5"/>
  <c r="F127" i="5"/>
  <c r="F143" i="5"/>
  <c r="F159" i="5"/>
  <c r="F175" i="5"/>
  <c r="F191" i="5"/>
  <c r="F207" i="5"/>
  <c r="F223" i="5"/>
  <c r="F239" i="5"/>
  <c r="F255" i="5"/>
  <c r="F271" i="5"/>
  <c r="F287" i="5"/>
  <c r="F303" i="5"/>
  <c r="F319" i="5"/>
  <c r="F335" i="5"/>
  <c r="F351" i="5"/>
  <c r="F367" i="5"/>
  <c r="F32" i="5"/>
  <c r="F48" i="5"/>
  <c r="F64" i="5"/>
  <c r="F80" i="5"/>
  <c r="F96" i="5"/>
  <c r="F112" i="5"/>
  <c r="F128" i="5"/>
  <c r="F144" i="5"/>
  <c r="F160" i="5"/>
  <c r="F176" i="5"/>
  <c r="F192" i="5"/>
  <c r="F208" i="5"/>
  <c r="F224" i="5"/>
  <c r="F240" i="5"/>
  <c r="F256" i="5"/>
  <c r="F272" i="5"/>
  <c r="F300" i="5"/>
  <c r="F364" i="5"/>
  <c r="F400" i="5"/>
  <c r="F426" i="5"/>
  <c r="F446" i="5"/>
  <c r="F462" i="5"/>
  <c r="F478" i="5"/>
  <c r="F494" i="5"/>
  <c r="F510" i="5"/>
  <c r="F526" i="5"/>
  <c r="F542" i="5"/>
  <c r="F558" i="5"/>
  <c r="F574" i="5"/>
  <c r="F590" i="5"/>
  <c r="F606" i="5"/>
  <c r="F622" i="5"/>
  <c r="F638" i="5"/>
  <c r="F654" i="5"/>
  <c r="F670" i="5"/>
  <c r="F686" i="5"/>
  <c r="F320" i="5"/>
  <c r="F379" i="5"/>
  <c r="F411" i="5"/>
  <c r="F432" i="5"/>
  <c r="F451" i="5"/>
  <c r="F467" i="5"/>
  <c r="F483" i="5"/>
  <c r="F499" i="5"/>
  <c r="F515" i="5"/>
  <c r="F531" i="5"/>
  <c r="F547" i="5"/>
  <c r="F563" i="5"/>
  <c r="F579" i="5"/>
  <c r="F595" i="5"/>
  <c r="F611" i="5"/>
  <c r="F627" i="5"/>
  <c r="F643" i="5"/>
  <c r="F659" i="5"/>
  <c r="F675" i="5"/>
  <c r="F691" i="5"/>
  <c r="F340" i="5"/>
  <c r="F388" i="5"/>
  <c r="F418" i="5"/>
  <c r="F439" i="5"/>
  <c r="F456" i="5"/>
  <c r="F472" i="5"/>
  <c r="F488" i="5"/>
  <c r="F504" i="5"/>
  <c r="F520" i="5"/>
  <c r="F536" i="5"/>
  <c r="F552" i="5"/>
  <c r="F568" i="5"/>
  <c r="F584" i="5"/>
  <c r="F600" i="5"/>
  <c r="F616" i="5"/>
  <c r="F632" i="5"/>
  <c r="F648" i="5"/>
  <c r="F664" i="5"/>
  <c r="F680" i="5"/>
  <c r="F296" i="5"/>
  <c r="F360" i="5"/>
  <c r="F399" i="5"/>
  <c r="F424" i="5"/>
  <c r="F445" i="5"/>
  <c r="F461" i="5"/>
  <c r="F477" i="5"/>
  <c r="F509" i="5"/>
  <c r="F525" i="5"/>
  <c r="F541" i="5"/>
  <c r="F557" i="5"/>
  <c r="F589" i="5"/>
  <c r="F621" i="5"/>
  <c r="F653" i="5"/>
  <c r="F33" i="5"/>
  <c r="F49" i="5"/>
  <c r="F65" i="5"/>
  <c r="F81" i="5"/>
  <c r="F97" i="5"/>
  <c r="F113" i="5"/>
  <c r="F129" i="5"/>
  <c r="F145" i="5"/>
  <c r="F161" i="5"/>
  <c r="F177" i="5"/>
  <c r="F193" i="5"/>
  <c r="F209" i="5"/>
  <c r="F225" i="5"/>
  <c r="F241" i="5"/>
  <c r="F257" i="5"/>
  <c r="F273" i="5"/>
  <c r="F289" i="5"/>
  <c r="F305" i="5"/>
  <c r="F321" i="5"/>
  <c r="F337" i="5"/>
  <c r="F353" i="5"/>
  <c r="F369" i="5"/>
  <c r="F385" i="5"/>
  <c r="F401" i="5"/>
  <c r="F417" i="5"/>
  <c r="F433" i="5"/>
  <c r="F26" i="5"/>
  <c r="F42" i="5"/>
  <c r="F58" i="5"/>
  <c r="F74" i="5"/>
  <c r="F90" i="5"/>
  <c r="F106" i="5"/>
  <c r="F122" i="5"/>
  <c r="F138" i="5"/>
  <c r="F154" i="5"/>
  <c r="F170" i="5"/>
  <c r="F186" i="5"/>
  <c r="F202" i="5"/>
  <c r="F218" i="5"/>
  <c r="F234" i="5"/>
  <c r="F250" i="5"/>
  <c r="F266" i="5"/>
  <c r="F282" i="5"/>
  <c r="F298" i="5"/>
  <c r="F314" i="5"/>
  <c r="F330" i="5"/>
  <c r="F346" i="5"/>
  <c r="F362" i="5"/>
  <c r="F378" i="5"/>
  <c r="F394" i="5"/>
  <c r="F410" i="5"/>
  <c r="F35" i="5"/>
  <c r="F51" i="5"/>
  <c r="F67" i="5"/>
  <c r="F83" i="5"/>
  <c r="F99" i="5"/>
  <c r="F115" i="5"/>
  <c r="F131" i="5"/>
  <c r="F147" i="5"/>
  <c r="F163" i="5"/>
  <c r="F179" i="5"/>
  <c r="F195" i="5"/>
  <c r="F211" i="5"/>
  <c r="F227" i="5"/>
  <c r="F243" i="5"/>
  <c r="F259" i="5"/>
  <c r="F275" i="5"/>
  <c r="F291" i="5"/>
  <c r="F307" i="5"/>
  <c r="F323" i="5"/>
  <c r="F339" i="5"/>
  <c r="F355" i="5"/>
  <c r="F371" i="5"/>
  <c r="F36" i="5"/>
  <c r="F52" i="5"/>
  <c r="F68" i="5"/>
  <c r="F84" i="5"/>
  <c r="F100" i="5"/>
  <c r="F116" i="5"/>
  <c r="F132" i="5"/>
  <c r="F148" i="5"/>
  <c r="F164" i="5"/>
  <c r="F180" i="5"/>
  <c r="F196" i="5"/>
  <c r="F212" i="5"/>
  <c r="F228" i="5"/>
  <c r="F244" i="5"/>
  <c r="F260" i="5"/>
  <c r="F276" i="5"/>
  <c r="F316" i="5"/>
  <c r="F376" i="5"/>
  <c r="F408" i="5"/>
  <c r="F431" i="5"/>
  <c r="F450" i="5"/>
  <c r="F466" i="5"/>
  <c r="F482" i="5"/>
  <c r="F498" i="5"/>
  <c r="F514" i="5"/>
  <c r="F530" i="5"/>
  <c r="F546" i="5"/>
  <c r="F562" i="5"/>
  <c r="F578" i="5"/>
  <c r="F594" i="5"/>
  <c r="F610" i="5"/>
  <c r="F626" i="5"/>
  <c r="F642" i="5"/>
  <c r="F658" i="5"/>
  <c r="F674" i="5"/>
  <c r="F690" i="5"/>
  <c r="F336" i="5"/>
  <c r="F387" i="5"/>
  <c r="F416" i="5"/>
  <c r="F438" i="5"/>
  <c r="F455" i="5"/>
  <c r="F471" i="5"/>
  <c r="F487" i="5"/>
  <c r="F503" i="5"/>
  <c r="F519" i="5"/>
  <c r="F535" i="5"/>
  <c r="F551" i="5"/>
  <c r="F567" i="5"/>
  <c r="F583" i="5"/>
  <c r="F599" i="5"/>
  <c r="F615" i="5"/>
  <c r="F631" i="5"/>
  <c r="F647" i="5"/>
  <c r="F663" i="5"/>
  <c r="F679" i="5"/>
  <c r="F292" i="5"/>
  <c r="F356" i="5"/>
  <c r="F396" i="5"/>
  <c r="F423" i="5"/>
  <c r="F444" i="5"/>
  <c r="F460" i="5"/>
  <c r="F476" i="5"/>
  <c r="F492" i="5"/>
  <c r="F508" i="5"/>
  <c r="F524" i="5"/>
  <c r="F540" i="5"/>
  <c r="F556" i="5"/>
  <c r="F572" i="5"/>
  <c r="F588" i="5"/>
  <c r="F604" i="5"/>
  <c r="F620" i="5"/>
  <c r="F636" i="5"/>
  <c r="F652" i="5"/>
  <c r="F668" i="5"/>
  <c r="F684" i="5"/>
  <c r="F312" i="5"/>
  <c r="F375" i="5"/>
  <c r="F407" i="5"/>
  <c r="F430" i="5"/>
  <c r="F449" i="5"/>
  <c r="F465" i="5"/>
  <c r="F481" i="5"/>
  <c r="F497" i="5"/>
  <c r="F513" i="5"/>
  <c r="F529" i="5"/>
  <c r="F545" i="5"/>
  <c r="F561" i="5"/>
  <c r="F577" i="5"/>
  <c r="F593" i="5"/>
  <c r="F609" i="5"/>
  <c r="F625" i="5"/>
  <c r="F641" i="5"/>
  <c r="F657" i="5"/>
  <c r="F689" i="5"/>
  <c r="F21" i="5"/>
  <c r="F37" i="5"/>
  <c r="F53" i="5"/>
  <c r="F69" i="5"/>
  <c r="F85" i="5"/>
  <c r="F101" i="5"/>
  <c r="F117" i="5"/>
  <c r="F133" i="5"/>
  <c r="F149" i="5"/>
  <c r="F165" i="5"/>
  <c r="F181" i="5"/>
  <c r="F197" i="5"/>
  <c r="F213" i="5"/>
  <c r="F229" i="5"/>
  <c r="F245" i="5"/>
  <c r="F261" i="5"/>
  <c r="F277" i="5"/>
  <c r="F293" i="5"/>
  <c r="F309" i="5"/>
  <c r="F325" i="5"/>
  <c r="F341" i="5"/>
  <c r="F357" i="5"/>
  <c r="F373" i="5"/>
  <c r="F389" i="5"/>
  <c r="F405" i="5"/>
  <c r="F421" i="5"/>
  <c r="F437" i="5"/>
  <c r="F30" i="5"/>
  <c r="F46" i="5"/>
  <c r="F62" i="5"/>
  <c r="F78" i="5"/>
  <c r="F94" i="5"/>
  <c r="F110" i="5"/>
  <c r="F126" i="5"/>
  <c r="F142" i="5"/>
  <c r="F158" i="5"/>
  <c r="F174" i="5"/>
  <c r="F190" i="5"/>
  <c r="F206" i="5"/>
  <c r="F222" i="5"/>
  <c r="F238" i="5"/>
  <c r="F254" i="5"/>
  <c r="F270" i="5"/>
  <c r="F286" i="5"/>
  <c r="F302" i="5"/>
  <c r="F318" i="5"/>
  <c r="F334" i="5"/>
  <c r="F350" i="5"/>
  <c r="F366" i="5"/>
  <c r="F382" i="5"/>
  <c r="F398" i="5"/>
  <c r="F23" i="5"/>
  <c r="F39" i="5"/>
  <c r="F55" i="5"/>
  <c r="F71" i="5"/>
  <c r="F87" i="5"/>
  <c r="F103" i="5"/>
  <c r="F119" i="5"/>
  <c r="F135" i="5"/>
  <c r="F151" i="5"/>
  <c r="F167" i="5"/>
  <c r="F183" i="5"/>
  <c r="F199" i="5"/>
  <c r="F215" i="5"/>
  <c r="F231" i="5"/>
  <c r="F247" i="5"/>
  <c r="F263" i="5"/>
  <c r="F279" i="5"/>
  <c r="F295" i="5"/>
  <c r="F311" i="5"/>
  <c r="F327" i="5"/>
  <c r="F343" i="5"/>
  <c r="F359" i="5"/>
  <c r="F24" i="5"/>
  <c r="F40" i="5"/>
  <c r="F56" i="5"/>
  <c r="F72" i="5"/>
  <c r="F88" i="5"/>
  <c r="F104" i="5"/>
  <c r="F120" i="5"/>
  <c r="F136" i="5"/>
  <c r="F152" i="5"/>
  <c r="F168" i="5"/>
  <c r="F184" i="5"/>
  <c r="F200" i="5"/>
  <c r="F216" i="5"/>
  <c r="F232" i="5"/>
  <c r="F248" i="5"/>
  <c r="F264" i="5"/>
  <c r="F280" i="5"/>
  <c r="F332" i="5"/>
  <c r="F384" i="5"/>
  <c r="F415" i="5"/>
  <c r="F436" i="5"/>
  <c r="F454" i="5"/>
  <c r="F470" i="5"/>
  <c r="F486" i="5"/>
  <c r="F502" i="5"/>
  <c r="F518" i="5"/>
  <c r="F534" i="5"/>
  <c r="F550" i="5"/>
  <c r="F566" i="5"/>
  <c r="F582" i="5"/>
  <c r="F598" i="5"/>
  <c r="F614" i="5"/>
  <c r="F630" i="5"/>
  <c r="F646" i="5"/>
  <c r="F662" i="5"/>
  <c r="F678" i="5"/>
  <c r="F288" i="5"/>
  <c r="F352" i="5"/>
  <c r="F395" i="5"/>
  <c r="F422" i="5"/>
  <c r="F443" i="5"/>
  <c r="F459" i="5"/>
  <c r="F475" i="5"/>
  <c r="F491" i="5"/>
  <c r="F507" i="5"/>
  <c r="F523" i="5"/>
  <c r="F539" i="5"/>
  <c r="F555" i="5"/>
  <c r="F571" i="5"/>
  <c r="F587" i="5"/>
  <c r="F603" i="5"/>
  <c r="F619" i="5"/>
  <c r="F635" i="5"/>
  <c r="F651" i="5"/>
  <c r="F667" i="5"/>
  <c r="F683" i="5"/>
  <c r="F308" i="5"/>
  <c r="F372" i="5"/>
  <c r="F404" i="5"/>
  <c r="F428" i="5"/>
  <c r="F448" i="5"/>
  <c r="F464" i="5"/>
  <c r="F480" i="5"/>
  <c r="F496" i="5"/>
  <c r="F512" i="5"/>
  <c r="F528" i="5"/>
  <c r="F544" i="5"/>
  <c r="F560" i="5"/>
  <c r="F576" i="5"/>
  <c r="F592" i="5"/>
  <c r="F608" i="5"/>
  <c r="F624" i="5"/>
  <c r="F640" i="5"/>
  <c r="F656" i="5"/>
  <c r="F672" i="5"/>
  <c r="F688" i="5"/>
  <c r="F328" i="5"/>
  <c r="F383" i="5"/>
  <c r="F414" i="5"/>
  <c r="F435" i="5"/>
  <c r="F453" i="5"/>
  <c r="F469" i="5"/>
  <c r="F485" i="5"/>
  <c r="F501" i="5"/>
  <c r="F517" i="5"/>
  <c r="F533" i="5"/>
  <c r="F549" i="5"/>
  <c r="F565" i="5"/>
  <c r="F581" i="5"/>
  <c r="F629" i="5"/>
  <c r="F28" i="6"/>
  <c r="F44" i="6"/>
  <c r="F23" i="6"/>
  <c r="F45" i="6"/>
  <c r="F61" i="6"/>
  <c r="F77" i="6"/>
  <c r="F93" i="6"/>
  <c r="F109" i="6"/>
  <c r="F125" i="6"/>
  <c r="F141" i="6"/>
  <c r="F157" i="6"/>
  <c r="F173" i="6"/>
  <c r="F189" i="6"/>
  <c r="F205" i="6"/>
  <c r="F221" i="6"/>
  <c r="F237" i="6"/>
  <c r="F253" i="6"/>
  <c r="F269" i="6"/>
  <c r="F285" i="6"/>
  <c r="F301" i="6"/>
  <c r="F317" i="6"/>
  <c r="F333" i="6"/>
  <c r="F349" i="6"/>
  <c r="F365" i="6"/>
  <c r="F381" i="6"/>
  <c r="F397" i="6"/>
  <c r="F413" i="6"/>
  <c r="F32" i="6"/>
  <c r="F29" i="6"/>
  <c r="F36" i="6"/>
  <c r="F34" i="6"/>
  <c r="F24" i="6"/>
  <c r="F40" i="6"/>
  <c r="F53" i="6"/>
  <c r="F73" i="6"/>
  <c r="F97" i="6"/>
  <c r="F117" i="6"/>
  <c r="F137" i="6"/>
  <c r="F161" i="6"/>
  <c r="F181" i="6"/>
  <c r="F201" i="6"/>
  <c r="F225" i="6"/>
  <c r="F245" i="6"/>
  <c r="F265" i="6"/>
  <c r="F289" i="6"/>
  <c r="F309" i="6"/>
  <c r="F329" i="6"/>
  <c r="F353" i="6"/>
  <c r="F373" i="6"/>
  <c r="F393" i="6"/>
  <c r="F417" i="6"/>
  <c r="F433" i="6"/>
  <c r="F449" i="6"/>
  <c r="F465" i="6"/>
  <c r="F481" i="6"/>
  <c r="F35" i="6"/>
  <c r="F54" i="6"/>
  <c r="F70" i="6"/>
  <c r="F86" i="6"/>
  <c r="F102" i="6"/>
  <c r="F118" i="6"/>
  <c r="F134" i="6"/>
  <c r="F150" i="6"/>
  <c r="F166" i="6"/>
  <c r="F182" i="6"/>
  <c r="F198" i="6"/>
  <c r="F214" i="6"/>
  <c r="F230" i="6"/>
  <c r="F246" i="6"/>
  <c r="F262" i="6"/>
  <c r="F278" i="6"/>
  <c r="F294" i="6"/>
  <c r="F310" i="6"/>
  <c r="F326" i="6"/>
  <c r="F342" i="6"/>
  <c r="F358" i="6"/>
  <c r="F374" i="6"/>
  <c r="F390" i="6"/>
  <c r="F406" i="6"/>
  <c r="F422" i="6"/>
  <c r="F438" i="6"/>
  <c r="F454" i="6"/>
  <c r="F470" i="6"/>
  <c r="F31" i="6"/>
  <c r="F51" i="6"/>
  <c r="F67" i="6"/>
  <c r="F83" i="6"/>
  <c r="F99" i="6"/>
  <c r="F115" i="6"/>
  <c r="F131" i="6"/>
  <c r="F147" i="6"/>
  <c r="F163" i="6"/>
  <c r="F179" i="6"/>
  <c r="F195" i="6"/>
  <c r="F211" i="6"/>
  <c r="F227" i="6"/>
  <c r="F243" i="6"/>
  <c r="F259" i="6"/>
  <c r="F275" i="6"/>
  <c r="F291" i="6"/>
  <c r="F307" i="6"/>
  <c r="F323" i="6"/>
  <c r="F339" i="6"/>
  <c r="F355" i="6"/>
  <c r="F371" i="6"/>
  <c r="F387" i="6"/>
  <c r="F403" i="6"/>
  <c r="F27" i="6"/>
  <c r="F48" i="6"/>
  <c r="F64" i="6"/>
  <c r="F80" i="6"/>
  <c r="F96" i="6"/>
  <c r="F112" i="6"/>
  <c r="F128" i="6"/>
  <c r="F144" i="6"/>
  <c r="F160" i="6"/>
  <c r="F176" i="6"/>
  <c r="F192" i="6"/>
  <c r="F208" i="6"/>
  <c r="F224" i="6"/>
  <c r="F240" i="6"/>
  <c r="F256" i="6"/>
  <c r="F272" i="6"/>
  <c r="F288" i="6"/>
  <c r="F304" i="6"/>
  <c r="F320" i="6"/>
  <c r="F336" i="6"/>
  <c r="F352" i="6"/>
  <c r="F384" i="6"/>
  <c r="F428" i="6"/>
  <c r="F460" i="6"/>
  <c r="F486" i="6"/>
  <c r="F502" i="6"/>
  <c r="F518" i="6"/>
  <c r="F534" i="6"/>
  <c r="F550" i="6"/>
  <c r="F566" i="6"/>
  <c r="F582" i="6"/>
  <c r="F598" i="6"/>
  <c r="F614" i="6"/>
  <c r="F630" i="6"/>
  <c r="F646" i="6"/>
  <c r="F662" i="6"/>
  <c r="F678" i="6"/>
  <c r="F372" i="6"/>
  <c r="F423" i="6"/>
  <c r="F455" i="6"/>
  <c r="F483" i="6"/>
  <c r="F499" i="6"/>
  <c r="F515" i="6"/>
  <c r="F531" i="6"/>
  <c r="F547" i="6"/>
  <c r="F563" i="6"/>
  <c r="F579" i="6"/>
  <c r="F595" i="6"/>
  <c r="F611" i="6"/>
  <c r="F627" i="6"/>
  <c r="F643" i="6"/>
  <c r="F659" i="6"/>
  <c r="F675" i="6"/>
  <c r="F691" i="6"/>
  <c r="F416" i="6"/>
  <c r="F448" i="6"/>
  <c r="F479" i="6"/>
  <c r="F496" i="6"/>
  <c r="F512" i="6"/>
  <c r="F528" i="6"/>
  <c r="F544" i="6"/>
  <c r="F560" i="6"/>
  <c r="F576" i="6"/>
  <c r="F592" i="6"/>
  <c r="F608" i="6"/>
  <c r="F624" i="6"/>
  <c r="F640" i="6"/>
  <c r="F656" i="6"/>
  <c r="F672" i="6"/>
  <c r="F688" i="6"/>
  <c r="F396" i="6"/>
  <c r="F435" i="6"/>
  <c r="F467" i="6"/>
  <c r="F489" i="6"/>
  <c r="F505" i="6"/>
  <c r="F521" i="6"/>
  <c r="F537" i="6"/>
  <c r="F553" i="6"/>
  <c r="F569" i="6"/>
  <c r="F585" i="6"/>
  <c r="F601" i="6"/>
  <c r="F617" i="6"/>
  <c r="F633" i="6"/>
  <c r="F649" i="6"/>
  <c r="F665" i="6"/>
  <c r="F681" i="6"/>
  <c r="F57" i="6"/>
  <c r="F81" i="6"/>
  <c r="F101" i="6"/>
  <c r="F121" i="6"/>
  <c r="F145" i="6"/>
  <c r="F165" i="6"/>
  <c r="F185" i="6"/>
  <c r="F209" i="6"/>
  <c r="F229" i="6"/>
  <c r="F249" i="6"/>
  <c r="F273" i="6"/>
  <c r="F293" i="6"/>
  <c r="F313" i="6"/>
  <c r="F337" i="6"/>
  <c r="F357" i="6"/>
  <c r="F377" i="6"/>
  <c r="F401" i="6"/>
  <c r="F421" i="6"/>
  <c r="F437" i="6"/>
  <c r="F453" i="6"/>
  <c r="F469" i="6"/>
  <c r="F41" i="6"/>
  <c r="F58" i="6"/>
  <c r="F74" i="6"/>
  <c r="F90" i="6"/>
  <c r="F106" i="6"/>
  <c r="F122" i="6"/>
  <c r="F138" i="6"/>
  <c r="F154" i="6"/>
  <c r="F170" i="6"/>
  <c r="F186" i="6"/>
  <c r="F202" i="6"/>
  <c r="F218" i="6"/>
  <c r="F234" i="6"/>
  <c r="F250" i="6"/>
  <c r="F266" i="6"/>
  <c r="F282" i="6"/>
  <c r="F298" i="6"/>
  <c r="F314" i="6"/>
  <c r="F330" i="6"/>
  <c r="F346" i="6"/>
  <c r="F362" i="6"/>
  <c r="F378" i="6"/>
  <c r="F394" i="6"/>
  <c r="F410" i="6"/>
  <c r="F426" i="6"/>
  <c r="F442" i="6"/>
  <c r="F458" i="6"/>
  <c r="F474" i="6"/>
  <c r="F37" i="6"/>
  <c r="F55" i="6"/>
  <c r="F71" i="6"/>
  <c r="F87" i="6"/>
  <c r="F103" i="6"/>
  <c r="F119" i="6"/>
  <c r="F135" i="6"/>
  <c r="F151" i="6"/>
  <c r="F167" i="6"/>
  <c r="F183" i="6"/>
  <c r="F199" i="6"/>
  <c r="F215" i="6"/>
  <c r="F231" i="6"/>
  <c r="F247" i="6"/>
  <c r="F263" i="6"/>
  <c r="F279" i="6"/>
  <c r="F295" i="6"/>
  <c r="F311" i="6"/>
  <c r="F327" i="6"/>
  <c r="F343" i="6"/>
  <c r="F359" i="6"/>
  <c r="F375" i="6"/>
  <c r="F391" i="6"/>
  <c r="F407" i="6"/>
  <c r="F33" i="6"/>
  <c r="F52" i="6"/>
  <c r="F68" i="6"/>
  <c r="F84" i="6"/>
  <c r="F100" i="6"/>
  <c r="F116" i="6"/>
  <c r="F132" i="6"/>
  <c r="F148" i="6"/>
  <c r="F164" i="6"/>
  <c r="F180" i="6"/>
  <c r="F196" i="6"/>
  <c r="F212" i="6"/>
  <c r="F228" i="6"/>
  <c r="F244" i="6"/>
  <c r="F260" i="6"/>
  <c r="F276" i="6"/>
  <c r="F292" i="6"/>
  <c r="F308" i="6"/>
  <c r="F324" i="6"/>
  <c r="F340" i="6"/>
  <c r="F356" i="6"/>
  <c r="F400" i="6"/>
  <c r="F436" i="6"/>
  <c r="F468" i="6"/>
  <c r="F490" i="6"/>
  <c r="F506" i="6"/>
  <c r="F522" i="6"/>
  <c r="F538" i="6"/>
  <c r="F554" i="6"/>
  <c r="F570" i="6"/>
  <c r="F586" i="6"/>
  <c r="F602" i="6"/>
  <c r="F618" i="6"/>
  <c r="F634" i="6"/>
  <c r="F650" i="6"/>
  <c r="F666" i="6"/>
  <c r="F682" i="6"/>
  <c r="F388" i="6"/>
  <c r="F431" i="6"/>
  <c r="F463" i="6"/>
  <c r="F487" i="6"/>
  <c r="F503" i="6"/>
  <c r="F519" i="6"/>
  <c r="F535" i="6"/>
  <c r="F551" i="6"/>
  <c r="F567" i="6"/>
  <c r="F583" i="6"/>
  <c r="F599" i="6"/>
  <c r="F615" i="6"/>
  <c r="F631" i="6"/>
  <c r="F647" i="6"/>
  <c r="F663" i="6"/>
  <c r="F679" i="6"/>
  <c r="F376" i="6"/>
  <c r="F424" i="6"/>
  <c r="F456" i="6"/>
  <c r="F484" i="6"/>
  <c r="F500" i="6"/>
  <c r="F516" i="6"/>
  <c r="F532" i="6"/>
  <c r="F548" i="6"/>
  <c r="F564" i="6"/>
  <c r="F580" i="6"/>
  <c r="F596" i="6"/>
  <c r="F612" i="6"/>
  <c r="F628" i="6"/>
  <c r="F644" i="6"/>
  <c r="F660" i="6"/>
  <c r="F676" i="6"/>
  <c r="F692" i="6"/>
  <c r="F411" i="6"/>
  <c r="F443" i="6"/>
  <c r="F475" i="6"/>
  <c r="F493" i="6"/>
  <c r="F509" i="6"/>
  <c r="F525" i="6"/>
  <c r="F541" i="6"/>
  <c r="F557" i="6"/>
  <c r="F573" i="6"/>
  <c r="F589" i="6"/>
  <c r="F605" i="6"/>
  <c r="F621" i="6"/>
  <c r="F637" i="6"/>
  <c r="F653" i="6"/>
  <c r="F669" i="6"/>
  <c r="F685" i="6"/>
  <c r="F39" i="6"/>
  <c r="F65" i="6"/>
  <c r="F85" i="6"/>
  <c r="F105" i="6"/>
  <c r="F129" i="6"/>
  <c r="F149" i="6"/>
  <c r="F169" i="6"/>
  <c r="F193" i="6"/>
  <c r="F213" i="6"/>
  <c r="F233" i="6"/>
  <c r="F257" i="6"/>
  <c r="F277" i="6"/>
  <c r="F297" i="6"/>
  <c r="F321" i="6"/>
  <c r="F341" i="6"/>
  <c r="F361" i="6"/>
  <c r="F385" i="6"/>
  <c r="F405" i="6"/>
  <c r="F425" i="6"/>
  <c r="F441" i="6"/>
  <c r="F457" i="6"/>
  <c r="F473" i="6"/>
  <c r="F25" i="6"/>
  <c r="F46" i="6"/>
  <c r="F62" i="6"/>
  <c r="F78" i="6"/>
  <c r="F94" i="6"/>
  <c r="F110" i="6"/>
  <c r="F126" i="6"/>
  <c r="F142" i="6"/>
  <c r="F158" i="6"/>
  <c r="F174" i="6"/>
  <c r="F190" i="6"/>
  <c r="F206" i="6"/>
  <c r="F222" i="6"/>
  <c r="F238" i="6"/>
  <c r="F254" i="6"/>
  <c r="F270" i="6"/>
  <c r="F286" i="6"/>
  <c r="F302" i="6"/>
  <c r="F318" i="6"/>
  <c r="F334" i="6"/>
  <c r="F350" i="6"/>
  <c r="F366" i="6"/>
  <c r="F382" i="6"/>
  <c r="F398" i="6"/>
  <c r="F414" i="6"/>
  <c r="F430" i="6"/>
  <c r="F446" i="6"/>
  <c r="F462" i="6"/>
  <c r="F42" i="6"/>
  <c r="F59" i="6"/>
  <c r="F75" i="6"/>
  <c r="F91" i="6"/>
  <c r="F107" i="6"/>
  <c r="F123" i="6"/>
  <c r="F139" i="6"/>
  <c r="F155" i="6"/>
  <c r="F171" i="6"/>
  <c r="F187" i="6"/>
  <c r="F203" i="6"/>
  <c r="F219" i="6"/>
  <c r="F235" i="6"/>
  <c r="F251" i="6"/>
  <c r="F267" i="6"/>
  <c r="F283" i="6"/>
  <c r="F299" i="6"/>
  <c r="F315" i="6"/>
  <c r="F331" i="6"/>
  <c r="F347" i="6"/>
  <c r="F363" i="6"/>
  <c r="F379" i="6"/>
  <c r="F395" i="6"/>
  <c r="F38" i="6"/>
  <c r="F56" i="6"/>
  <c r="F72" i="6"/>
  <c r="F88" i="6"/>
  <c r="F104" i="6"/>
  <c r="F120" i="6"/>
  <c r="F136" i="6"/>
  <c r="F152" i="6"/>
  <c r="F168" i="6"/>
  <c r="F184" i="6"/>
  <c r="F200" i="6"/>
  <c r="F216" i="6"/>
  <c r="F232" i="6"/>
  <c r="F248" i="6"/>
  <c r="F264" i="6"/>
  <c r="F280" i="6"/>
  <c r="F296" i="6"/>
  <c r="F312" i="6"/>
  <c r="F328" i="6"/>
  <c r="F344" i="6"/>
  <c r="F360" i="6"/>
  <c r="F412" i="6"/>
  <c r="F444" i="6"/>
  <c r="F476" i="6"/>
  <c r="F494" i="6"/>
  <c r="F510" i="6"/>
  <c r="F526" i="6"/>
  <c r="F542" i="6"/>
  <c r="F558" i="6"/>
  <c r="F574" i="6"/>
  <c r="F590" i="6"/>
  <c r="F606" i="6"/>
  <c r="F622" i="6"/>
  <c r="F638" i="6"/>
  <c r="F654" i="6"/>
  <c r="F670" i="6"/>
  <c r="F686" i="6"/>
  <c r="F404" i="6"/>
  <c r="F439" i="6"/>
  <c r="F471" i="6"/>
  <c r="F491" i="6"/>
  <c r="F507" i="6"/>
  <c r="F523" i="6"/>
  <c r="F539" i="6"/>
  <c r="F555" i="6"/>
  <c r="F571" i="6"/>
  <c r="F587" i="6"/>
  <c r="F603" i="6"/>
  <c r="F619" i="6"/>
  <c r="F635" i="6"/>
  <c r="F651" i="6"/>
  <c r="F667" i="6"/>
  <c r="F683" i="6"/>
  <c r="F392" i="6"/>
  <c r="F432" i="6"/>
  <c r="F464" i="6"/>
  <c r="F488" i="6"/>
  <c r="F504" i="6"/>
  <c r="F520" i="6"/>
  <c r="F536" i="6"/>
  <c r="F552" i="6"/>
  <c r="F568" i="6"/>
  <c r="F584" i="6"/>
  <c r="F600" i="6"/>
  <c r="F616" i="6"/>
  <c r="F632" i="6"/>
  <c r="F648" i="6"/>
  <c r="F664" i="6"/>
  <c r="F680" i="6"/>
  <c r="F364" i="6"/>
  <c r="F419" i="6"/>
  <c r="F451" i="6"/>
  <c r="F480" i="6"/>
  <c r="F497" i="6"/>
  <c r="F513" i="6"/>
  <c r="F529" i="6"/>
  <c r="F545" i="6"/>
  <c r="F561" i="6"/>
  <c r="F577" i="6"/>
  <c r="F593" i="6"/>
  <c r="F609" i="6"/>
  <c r="F625" i="6"/>
  <c r="F641" i="6"/>
  <c r="F657" i="6"/>
  <c r="F673" i="6"/>
  <c r="F689" i="6"/>
  <c r="F49" i="6"/>
  <c r="F69" i="6"/>
  <c r="F89" i="6"/>
  <c r="F113" i="6"/>
  <c r="F133" i="6"/>
  <c r="F153" i="6"/>
  <c r="F177" i="6"/>
  <c r="F197" i="6"/>
  <c r="F217" i="6"/>
  <c r="F241" i="6"/>
  <c r="F261" i="6"/>
  <c r="F281" i="6"/>
  <c r="F305" i="6"/>
  <c r="F325" i="6"/>
  <c r="F345" i="6"/>
  <c r="F369" i="6"/>
  <c r="F389" i="6"/>
  <c r="F409" i="6"/>
  <c r="F429" i="6"/>
  <c r="F445" i="6"/>
  <c r="F461" i="6"/>
  <c r="F477" i="6"/>
  <c r="F30" i="6"/>
  <c r="F50" i="6"/>
  <c r="F66" i="6"/>
  <c r="F82" i="6"/>
  <c r="F98" i="6"/>
  <c r="F114" i="6"/>
  <c r="F130" i="6"/>
  <c r="F146" i="6"/>
  <c r="F162" i="6"/>
  <c r="F178" i="6"/>
  <c r="F194" i="6"/>
  <c r="F210" i="6"/>
  <c r="F226" i="6"/>
  <c r="F242" i="6"/>
  <c r="F258" i="6"/>
  <c r="F274" i="6"/>
  <c r="F290" i="6"/>
  <c r="F306" i="6"/>
  <c r="F322" i="6"/>
  <c r="F338" i="6"/>
  <c r="F354" i="6"/>
  <c r="F370" i="6"/>
  <c r="F386" i="6"/>
  <c r="F402" i="6"/>
  <c r="F418" i="6"/>
  <c r="F434" i="6"/>
  <c r="F450" i="6"/>
  <c r="F466" i="6"/>
  <c r="F26" i="6"/>
  <c r="F47" i="6"/>
  <c r="F63" i="6"/>
  <c r="F79" i="6"/>
  <c r="F95" i="6"/>
  <c r="F111" i="6"/>
  <c r="F127" i="6"/>
  <c r="F143" i="6"/>
  <c r="F159" i="6"/>
  <c r="F175" i="6"/>
  <c r="F191" i="6"/>
  <c r="F207" i="6"/>
  <c r="F223" i="6"/>
  <c r="F239" i="6"/>
  <c r="F255" i="6"/>
  <c r="F271" i="6"/>
  <c r="F287" i="6"/>
  <c r="F303" i="6"/>
  <c r="F319" i="6"/>
  <c r="F335" i="6"/>
  <c r="F351" i="6"/>
  <c r="F367" i="6"/>
  <c r="F383" i="6"/>
  <c r="F399" i="6"/>
  <c r="F22" i="6"/>
  <c r="F43" i="6"/>
  <c r="F60" i="6"/>
  <c r="F76" i="6"/>
  <c r="F92" i="6"/>
  <c r="F108" i="6"/>
  <c r="F124" i="6"/>
  <c r="F140" i="6"/>
  <c r="F156" i="6"/>
  <c r="F172" i="6"/>
  <c r="F188" i="6"/>
  <c r="F204" i="6"/>
  <c r="F220" i="6"/>
  <c r="F236" i="6"/>
  <c r="F252" i="6"/>
  <c r="F268" i="6"/>
  <c r="F284" i="6"/>
  <c r="F300" i="6"/>
  <c r="F316" i="6"/>
  <c r="F332" i="6"/>
  <c r="F348" i="6"/>
  <c r="F368" i="6"/>
  <c r="F420" i="6"/>
  <c r="F452" i="6"/>
  <c r="F482" i="6"/>
  <c r="F498" i="6"/>
  <c r="F514" i="6"/>
  <c r="F530" i="6"/>
  <c r="F546" i="6"/>
  <c r="F562" i="6"/>
  <c r="F578" i="6"/>
  <c r="F594" i="6"/>
  <c r="F610" i="6"/>
  <c r="F626" i="6"/>
  <c r="F642" i="6"/>
  <c r="F658" i="6"/>
  <c r="F674" i="6"/>
  <c r="F690" i="6"/>
  <c r="F415" i="6"/>
  <c r="F447" i="6"/>
  <c r="F478" i="6"/>
  <c r="F495" i="6"/>
  <c r="F511" i="6"/>
  <c r="F527" i="6"/>
  <c r="F543" i="6"/>
  <c r="F559" i="6"/>
  <c r="F575" i="6"/>
  <c r="F591" i="6"/>
  <c r="F607" i="6"/>
  <c r="F623" i="6"/>
  <c r="F639" i="6"/>
  <c r="F655" i="6"/>
  <c r="F671" i="6"/>
  <c r="F687" i="6"/>
  <c r="F408" i="6"/>
  <c r="F440" i="6"/>
  <c r="F472" i="6"/>
  <c r="F492" i="6"/>
  <c r="F508" i="6"/>
  <c r="F524" i="6"/>
  <c r="F540" i="6"/>
  <c r="F556" i="6"/>
  <c r="F572" i="6"/>
  <c r="F588" i="6"/>
  <c r="F604" i="6"/>
  <c r="F620" i="6"/>
  <c r="F636" i="6"/>
  <c r="F652" i="6"/>
  <c r="F668" i="6"/>
  <c r="F684" i="6"/>
  <c r="F380" i="6"/>
  <c r="F427" i="6"/>
  <c r="F459" i="6"/>
  <c r="F485" i="6"/>
  <c r="F501" i="6"/>
  <c r="F517" i="6"/>
  <c r="F581" i="6"/>
  <c r="F645" i="6"/>
  <c r="F533" i="6"/>
  <c r="F597" i="6"/>
  <c r="F661" i="6"/>
  <c r="F549" i="6"/>
  <c r="F613" i="6"/>
  <c r="F677" i="6"/>
  <c r="F565" i="6"/>
  <c r="F629" i="6"/>
  <c r="F677" i="5"/>
  <c r="F613" i="5"/>
  <c r="L680" i="5"/>
  <c r="L664" i="5"/>
  <c r="L648" i="5"/>
  <c r="L632" i="5"/>
  <c r="L616" i="5"/>
  <c r="L600" i="5"/>
  <c r="L584" i="5"/>
  <c r="L568" i="5"/>
  <c r="L552" i="5"/>
  <c r="L536" i="5"/>
  <c r="L520" i="5"/>
  <c r="L504" i="5"/>
  <c r="L488" i="5"/>
  <c r="L472" i="5"/>
  <c r="L456" i="5"/>
  <c r="L440" i="5"/>
  <c r="L679" i="5"/>
  <c r="L663" i="5"/>
  <c r="L647" i="5"/>
  <c r="L631" i="5"/>
  <c r="L615" i="5"/>
  <c r="L599" i="5"/>
  <c r="L583" i="5"/>
  <c r="L567" i="5"/>
  <c r="L551" i="5"/>
  <c r="L535" i="5"/>
  <c r="L519" i="5"/>
  <c r="L503" i="5"/>
  <c r="L487" i="5"/>
  <c r="L471" i="5"/>
  <c r="L455" i="5"/>
  <c r="L439" i="5"/>
  <c r="L686" i="5"/>
  <c r="L670" i="5"/>
  <c r="L654" i="5"/>
  <c r="L638" i="5"/>
  <c r="L622" i="5"/>
  <c r="L606" i="5"/>
  <c r="L590" i="5"/>
  <c r="L574" i="5"/>
  <c r="L558" i="5"/>
  <c r="L542" i="5"/>
  <c r="L526" i="5"/>
  <c r="L510" i="5"/>
  <c r="L494" i="5"/>
  <c r="L478" i="5"/>
  <c r="L462" i="5"/>
  <c r="L446" i="5"/>
  <c r="L677" i="5"/>
  <c r="L661" i="5"/>
  <c r="L645" i="5"/>
  <c r="L629" i="5"/>
  <c r="L613" i="5"/>
  <c r="L597" i="5"/>
  <c r="L581" i="5"/>
  <c r="L565" i="5"/>
  <c r="L549" i="5"/>
  <c r="L533" i="5"/>
  <c r="L517" i="5"/>
  <c r="L501" i="5"/>
  <c r="L485" i="5"/>
  <c r="L469" i="5"/>
  <c r="L453" i="5"/>
  <c r="L437" i="5"/>
  <c r="L421" i="5"/>
  <c r="L405" i="5"/>
  <c r="L389" i="5"/>
  <c r="L373" i="5"/>
  <c r="L357" i="5"/>
  <c r="L341" i="5"/>
  <c r="L325" i="5"/>
  <c r="L309" i="5"/>
  <c r="L293" i="5"/>
  <c r="L277" i="5"/>
  <c r="L261" i="5"/>
  <c r="L245" i="5"/>
  <c r="L229" i="5"/>
  <c r="L213" i="5"/>
  <c r="L197" i="5"/>
  <c r="L181" i="5"/>
  <c r="L165" i="5"/>
  <c r="L149" i="5"/>
  <c r="L133" i="5"/>
  <c r="L117" i="5"/>
  <c r="L101" i="5"/>
  <c r="L85" i="5"/>
  <c r="L69" i="5"/>
  <c r="L53" i="5"/>
  <c r="L37" i="5"/>
  <c r="L21" i="5"/>
  <c r="L424" i="5"/>
  <c r="L408" i="5"/>
  <c r="L392" i="5"/>
  <c r="L376" i="5"/>
  <c r="L360" i="5"/>
  <c r="L344" i="5"/>
  <c r="L328" i="5"/>
  <c r="L312" i="5"/>
  <c r="L296" i="5"/>
  <c r="L280" i="5"/>
  <c r="L264" i="5"/>
  <c r="L248" i="5"/>
  <c r="L232" i="5"/>
  <c r="L216" i="5"/>
  <c r="L200" i="5"/>
  <c r="L184" i="5"/>
  <c r="L168" i="5"/>
  <c r="L152" i="5"/>
  <c r="L136" i="5"/>
  <c r="L120" i="5"/>
  <c r="L104" i="5"/>
  <c r="L88" i="5"/>
  <c r="L72" i="5"/>
  <c r="L56" i="5"/>
  <c r="L40" i="5"/>
  <c r="L24" i="5"/>
  <c r="L423" i="5"/>
  <c r="L407" i="5"/>
  <c r="L391" i="5"/>
  <c r="L375" i="5"/>
  <c r="L359" i="5"/>
  <c r="L343" i="5"/>
  <c r="L327" i="5"/>
  <c r="L311" i="5"/>
  <c r="L295" i="5"/>
  <c r="L279" i="5"/>
  <c r="L263" i="5"/>
  <c r="L247" i="5"/>
  <c r="L231" i="5"/>
  <c r="L215" i="5"/>
  <c r="L199" i="5"/>
  <c r="L183" i="5"/>
  <c r="L167" i="5"/>
  <c r="L151" i="5"/>
  <c r="L135" i="5"/>
  <c r="L119" i="5"/>
  <c r="L103" i="5"/>
  <c r="L87" i="5"/>
  <c r="L71" i="5"/>
  <c r="L55" i="5"/>
  <c r="L39" i="5"/>
  <c r="L23" i="5"/>
  <c r="L422" i="5"/>
  <c r="L406" i="5"/>
  <c r="L390" i="5"/>
  <c r="L374" i="5"/>
  <c r="L358" i="5"/>
  <c r="L342" i="5"/>
  <c r="L326" i="5"/>
  <c r="L310" i="5"/>
  <c r="L294" i="5"/>
  <c r="L278" i="5"/>
  <c r="L262" i="5"/>
  <c r="L246" i="5"/>
  <c r="L230" i="5"/>
  <c r="L210" i="5"/>
  <c r="L186" i="5"/>
  <c r="L166" i="5"/>
  <c r="L146" i="5"/>
  <c r="L122" i="5"/>
  <c r="L98" i="5"/>
  <c r="L66" i="5"/>
  <c r="L34" i="5"/>
  <c r="L20" i="5"/>
  <c r="L676" i="5"/>
  <c r="L660" i="5"/>
  <c r="L644" i="5"/>
  <c r="L628" i="5"/>
  <c r="L612" i="5"/>
  <c r="L596" i="5"/>
  <c r="L580" i="5"/>
  <c r="L564" i="5"/>
  <c r="L548" i="5"/>
  <c r="L532" i="5"/>
  <c r="L516" i="5"/>
  <c r="L500" i="5"/>
  <c r="L484" i="5"/>
  <c r="L468" i="5"/>
  <c r="L452" i="5"/>
  <c r="L691" i="5"/>
  <c r="L675" i="5"/>
  <c r="L659" i="5"/>
  <c r="L643" i="5"/>
  <c r="L627" i="5"/>
  <c r="L611" i="5"/>
  <c r="L595" i="5"/>
  <c r="L579" i="5"/>
  <c r="L563" i="5"/>
  <c r="L547" i="5"/>
  <c r="L531" i="5"/>
  <c r="L515" i="5"/>
  <c r="L499" i="5"/>
  <c r="L483" i="5"/>
  <c r="L467" i="5"/>
  <c r="L451" i="5"/>
  <c r="L682" i="5"/>
  <c r="L666" i="5"/>
  <c r="L650" i="5"/>
  <c r="L634" i="5"/>
  <c r="L618" i="5"/>
  <c r="L602" i="5"/>
  <c r="L586" i="5"/>
  <c r="L570" i="5"/>
  <c r="L554" i="5"/>
  <c r="L538" i="5"/>
  <c r="L522" i="5"/>
  <c r="L506" i="5"/>
  <c r="L490" i="5"/>
  <c r="L474" i="5"/>
  <c r="L458" i="5"/>
  <c r="L442" i="5"/>
  <c r="L689" i="5"/>
  <c r="L673" i="5"/>
  <c r="L657" i="5"/>
  <c r="L641" i="5"/>
  <c r="L625" i="5"/>
  <c r="L609" i="5"/>
  <c r="L593" i="5"/>
  <c r="L577" i="5"/>
  <c r="L561" i="5"/>
  <c r="L545" i="5"/>
  <c r="L529" i="5"/>
  <c r="L513" i="5"/>
  <c r="L497" i="5"/>
  <c r="L481" i="5"/>
  <c r="L465" i="5"/>
  <c r="L449" i="5"/>
  <c r="L433" i="5"/>
  <c r="L417" i="5"/>
  <c r="L401" i="5"/>
  <c r="L385" i="5"/>
  <c r="L369" i="5"/>
  <c r="L353" i="5"/>
  <c r="L337" i="5"/>
  <c r="L321" i="5"/>
  <c r="L305" i="5"/>
  <c r="L289" i="5"/>
  <c r="L273" i="5"/>
  <c r="L257" i="5"/>
  <c r="L241" i="5"/>
  <c r="L225" i="5"/>
  <c r="L209" i="5"/>
  <c r="L193" i="5"/>
  <c r="L177" i="5"/>
  <c r="L161" i="5"/>
  <c r="L145" i="5"/>
  <c r="L129" i="5"/>
  <c r="L113" i="5"/>
  <c r="L97" i="5"/>
  <c r="L81" i="5"/>
  <c r="L65" i="5"/>
  <c r="L49" i="5"/>
  <c r="L33" i="5"/>
  <c r="L436" i="5"/>
  <c r="L420" i="5"/>
  <c r="L404" i="5"/>
  <c r="L388" i="5"/>
  <c r="L372" i="5"/>
  <c r="L356" i="5"/>
  <c r="L340" i="5"/>
  <c r="L324" i="5"/>
  <c r="L308" i="5"/>
  <c r="L292" i="5"/>
  <c r="L276" i="5"/>
  <c r="L260" i="5"/>
  <c r="L244" i="5"/>
  <c r="L228" i="5"/>
  <c r="L212" i="5"/>
  <c r="L196" i="5"/>
  <c r="L180" i="5"/>
  <c r="L164" i="5"/>
  <c r="L148" i="5"/>
  <c r="L132" i="5"/>
  <c r="L116" i="5"/>
  <c r="L100" i="5"/>
  <c r="L84" i="5"/>
  <c r="L68" i="5"/>
  <c r="L52" i="5"/>
  <c r="L36" i="5"/>
  <c r="L435" i="5"/>
  <c r="L419" i="5"/>
  <c r="L403" i="5"/>
  <c r="L387" i="5"/>
  <c r="L371" i="5"/>
  <c r="L355" i="5"/>
  <c r="L339" i="5"/>
  <c r="L323" i="5"/>
  <c r="L307" i="5"/>
  <c r="L291" i="5"/>
  <c r="L275" i="5"/>
  <c r="L259" i="5"/>
  <c r="L243" i="5"/>
  <c r="L227" i="5"/>
  <c r="L211" i="5"/>
  <c r="L195" i="5"/>
  <c r="L179" i="5"/>
  <c r="L163" i="5"/>
  <c r="L147" i="5"/>
  <c r="L131" i="5"/>
  <c r="L115" i="5"/>
  <c r="L99" i="5"/>
  <c r="L83" i="5"/>
  <c r="L67" i="5"/>
  <c r="L51" i="5"/>
  <c r="L35" i="5"/>
  <c r="L434" i="5"/>
  <c r="L418" i="5"/>
  <c r="L402" i="5"/>
  <c r="L386" i="5"/>
  <c r="L370" i="5"/>
  <c r="L354" i="5"/>
  <c r="L338" i="5"/>
  <c r="L322" i="5"/>
  <c r="L306" i="5"/>
  <c r="L290" i="5"/>
  <c r="L274" i="5"/>
  <c r="L258" i="5"/>
  <c r="L242" i="5"/>
  <c r="L226" i="5"/>
  <c r="L202" i="5"/>
  <c r="L182" i="5"/>
  <c r="L162" i="5"/>
  <c r="L138" i="5"/>
  <c r="L118" i="5"/>
  <c r="L90" i="5"/>
  <c r="L58" i="5"/>
  <c r="L26" i="5"/>
  <c r="L688" i="5"/>
  <c r="L672" i="5"/>
  <c r="L656" i="5"/>
  <c r="L640" i="5"/>
  <c r="L624" i="5"/>
  <c r="L608" i="5"/>
  <c r="L592" i="5"/>
  <c r="L576" i="5"/>
  <c r="L560" i="5"/>
  <c r="L544" i="5"/>
  <c r="L528" i="5"/>
  <c r="L512" i="5"/>
  <c r="L496" i="5"/>
  <c r="L480" i="5"/>
  <c r="L464" i="5"/>
  <c r="L448" i="5"/>
  <c r="L687" i="5"/>
  <c r="L671" i="5"/>
  <c r="L655" i="5"/>
  <c r="L639" i="5"/>
  <c r="L623" i="5"/>
  <c r="L607" i="5"/>
  <c r="L591" i="5"/>
  <c r="L575" i="5"/>
  <c r="L559" i="5"/>
  <c r="L543" i="5"/>
  <c r="L527" i="5"/>
  <c r="L511" i="5"/>
  <c r="L495" i="5"/>
  <c r="L479" i="5"/>
  <c r="L463" i="5"/>
  <c r="L447" i="5"/>
  <c r="L678" i="5"/>
  <c r="L662" i="5"/>
  <c r="L646" i="5"/>
  <c r="L630" i="5"/>
  <c r="L614" i="5"/>
  <c r="L598" i="5"/>
  <c r="L582" i="5"/>
  <c r="L566" i="5"/>
  <c r="L550" i="5"/>
  <c r="L534" i="5"/>
  <c r="L518" i="5"/>
  <c r="L502" i="5"/>
  <c r="L486" i="5"/>
  <c r="L470" i="5"/>
  <c r="L454" i="5"/>
  <c r="L438" i="5"/>
  <c r="L685" i="5"/>
  <c r="L669" i="5"/>
  <c r="L653" i="5"/>
  <c r="L637" i="5"/>
  <c r="L621" i="5"/>
  <c r="L605" i="5"/>
  <c r="L589" i="5"/>
  <c r="L573" i="5"/>
  <c r="L557" i="5"/>
  <c r="L541" i="5"/>
  <c r="L525" i="5"/>
  <c r="L509" i="5"/>
  <c r="L493" i="5"/>
  <c r="L477" i="5"/>
  <c r="L461" i="5"/>
  <c r="L445" i="5"/>
  <c r="L429" i="5"/>
  <c r="L413" i="5"/>
  <c r="L397" i="5"/>
  <c r="L381" i="5"/>
  <c r="L365" i="5"/>
  <c r="L349" i="5"/>
  <c r="L333" i="5"/>
  <c r="L317" i="5"/>
  <c r="L301" i="5"/>
  <c r="L285" i="5"/>
  <c r="L269" i="5"/>
  <c r="L253" i="5"/>
  <c r="L237" i="5"/>
  <c r="L221" i="5"/>
  <c r="L205" i="5"/>
  <c r="L189" i="5"/>
  <c r="L173" i="5"/>
  <c r="L157" i="5"/>
  <c r="L141" i="5"/>
  <c r="L125" i="5"/>
  <c r="L109" i="5"/>
  <c r="L93" i="5"/>
  <c r="L77" i="5"/>
  <c r="L61" i="5"/>
  <c r="L45" i="5"/>
  <c r="L29" i="5"/>
  <c r="L432" i="5"/>
  <c r="L416" i="5"/>
  <c r="L400" i="5"/>
  <c r="L384" i="5"/>
  <c r="L368" i="5"/>
  <c r="L352" i="5"/>
  <c r="L336" i="5"/>
  <c r="L320" i="5"/>
  <c r="L304" i="5"/>
  <c r="L288" i="5"/>
  <c r="L272" i="5"/>
  <c r="L256" i="5"/>
  <c r="L240" i="5"/>
  <c r="L224" i="5"/>
  <c r="L208" i="5"/>
  <c r="L192" i="5"/>
  <c r="L176" i="5"/>
  <c r="L160" i="5"/>
  <c r="L144" i="5"/>
  <c r="L128" i="5"/>
  <c r="L112" i="5"/>
  <c r="L96" i="5"/>
  <c r="L80" i="5"/>
  <c r="L64" i="5"/>
  <c r="L48" i="5"/>
  <c r="L32" i="5"/>
  <c r="L431" i="5"/>
  <c r="L415" i="5"/>
  <c r="L399" i="5"/>
  <c r="L383" i="5"/>
  <c r="L367" i="5"/>
  <c r="L351" i="5"/>
  <c r="L335" i="5"/>
  <c r="L319" i="5"/>
  <c r="L303" i="5"/>
  <c r="L287" i="5"/>
  <c r="L271" i="5"/>
  <c r="L255" i="5"/>
  <c r="L239" i="5"/>
  <c r="L223" i="5"/>
  <c r="L207" i="5"/>
  <c r="L191" i="5"/>
  <c r="L175" i="5"/>
  <c r="L159" i="5"/>
  <c r="L143" i="5"/>
  <c r="L127" i="5"/>
  <c r="L111" i="5"/>
  <c r="L95" i="5"/>
  <c r="L79" i="5"/>
  <c r="L63" i="5"/>
  <c r="L47" i="5"/>
  <c r="L31" i="5"/>
  <c r="L430" i="5"/>
  <c r="L414" i="5"/>
  <c r="L398" i="5"/>
  <c r="L382" i="5"/>
  <c r="L366" i="5"/>
  <c r="L350" i="5"/>
  <c r="L334" i="5"/>
  <c r="L318" i="5"/>
  <c r="L302" i="5"/>
  <c r="L286" i="5"/>
  <c r="L270" i="5"/>
  <c r="L254" i="5"/>
  <c r="L238" i="5"/>
  <c r="L218" i="5"/>
  <c r="L198" i="5"/>
  <c r="L178" i="5"/>
  <c r="L154" i="5"/>
  <c r="L134" i="5"/>
  <c r="L114" i="5"/>
  <c r="L82" i="5"/>
  <c r="L30" i="5"/>
  <c r="L46" i="5"/>
  <c r="L62" i="5"/>
  <c r="L78" i="5"/>
  <c r="L94" i="5"/>
  <c r="L110" i="5"/>
  <c r="L126" i="5"/>
  <c r="L142" i="5"/>
  <c r="L158" i="5"/>
  <c r="L174" i="5"/>
  <c r="L190" i="5"/>
  <c r="L206" i="5"/>
  <c r="L222" i="5"/>
  <c r="L22" i="5"/>
  <c r="L38" i="5"/>
  <c r="L54" i="5"/>
  <c r="L70" i="5"/>
  <c r="L86" i="5"/>
  <c r="L102" i="5"/>
  <c r="L34" i="6"/>
  <c r="L50" i="6"/>
  <c r="L66" i="6"/>
  <c r="L82" i="6"/>
  <c r="L98" i="6"/>
  <c r="L114" i="6"/>
  <c r="L130" i="6"/>
  <c r="L146" i="6"/>
  <c r="L162" i="6"/>
  <c r="L178" i="6"/>
  <c r="L194" i="6"/>
  <c r="L210" i="6"/>
  <c r="L226" i="6"/>
  <c r="L242" i="6"/>
  <c r="L258" i="6"/>
  <c r="L274" i="6"/>
  <c r="L290" i="6"/>
  <c r="L306" i="6"/>
  <c r="L322" i="6"/>
  <c r="L338" i="6"/>
  <c r="L354" i="6"/>
  <c r="L31" i="6"/>
  <c r="L47" i="6"/>
  <c r="L63" i="6"/>
  <c r="L79" i="6"/>
  <c r="L95" i="6"/>
  <c r="L111" i="6"/>
  <c r="L127" i="6"/>
  <c r="L143" i="6"/>
  <c r="L159" i="6"/>
  <c r="L175" i="6"/>
  <c r="L191" i="6"/>
  <c r="L207" i="6"/>
  <c r="L223" i="6"/>
  <c r="L239" i="6"/>
  <c r="L255" i="6"/>
  <c r="L271" i="6"/>
  <c r="L287" i="6"/>
  <c r="L303" i="6"/>
  <c r="L319" i="6"/>
  <c r="L335" i="6"/>
  <c r="L351" i="6"/>
  <c r="L28" i="6"/>
  <c r="L44" i="6"/>
  <c r="L60" i="6"/>
  <c r="L76" i="6"/>
  <c r="L92" i="6"/>
  <c r="L108" i="6"/>
  <c r="L124" i="6"/>
  <c r="L140" i="6"/>
  <c r="L156" i="6"/>
  <c r="L172" i="6"/>
  <c r="L188" i="6"/>
  <c r="L204" i="6"/>
  <c r="L220" i="6"/>
  <c r="L236" i="6"/>
  <c r="L252" i="6"/>
  <c r="L268" i="6"/>
  <c r="L284" i="6"/>
  <c r="L300" i="6"/>
  <c r="L316" i="6"/>
  <c r="L332" i="6"/>
  <c r="L348" i="6"/>
  <c r="L33" i="6"/>
  <c r="L49" i="6"/>
  <c r="L65" i="6"/>
  <c r="L81" i="6"/>
  <c r="L97" i="6"/>
  <c r="L113" i="6"/>
  <c r="L129" i="6"/>
  <c r="L145" i="6"/>
  <c r="L161" i="6"/>
  <c r="L177" i="6"/>
  <c r="L193" i="6"/>
  <c r="L209" i="6"/>
  <c r="L225" i="6"/>
  <c r="L241" i="6"/>
  <c r="L257" i="6"/>
  <c r="L273" i="6"/>
  <c r="L289" i="6"/>
  <c r="L305" i="6"/>
  <c r="L321" i="6"/>
  <c r="L337" i="6"/>
  <c r="L362" i="6"/>
  <c r="L378" i="6"/>
  <c r="L394" i="6"/>
  <c r="L410" i="6"/>
  <c r="L426" i="6"/>
  <c r="L442" i="6"/>
  <c r="L458" i="6"/>
  <c r="L474" i="6"/>
  <c r="L490" i="6"/>
  <c r="L506" i="6"/>
  <c r="L522" i="6"/>
  <c r="L538" i="6"/>
  <c r="L554" i="6"/>
  <c r="L570" i="6"/>
  <c r="L586" i="6"/>
  <c r="L602" i="6"/>
  <c r="L618" i="6"/>
  <c r="L634" i="6"/>
  <c r="L650" i="6"/>
  <c r="L666" i="6"/>
  <c r="L682" i="6"/>
  <c r="L371" i="6"/>
  <c r="L387" i="6"/>
  <c r="L403" i="6"/>
  <c r="L419" i="6"/>
  <c r="L435" i="6"/>
  <c r="L451" i="6"/>
  <c r="L467" i="6"/>
  <c r="L483" i="6"/>
  <c r="L499" i="6"/>
  <c r="L515" i="6"/>
  <c r="L531" i="6"/>
  <c r="L547" i="6"/>
  <c r="L563" i="6"/>
  <c r="L579" i="6"/>
  <c r="L595" i="6"/>
  <c r="L611" i="6"/>
  <c r="L627" i="6"/>
  <c r="L643" i="6"/>
  <c r="L659" i="6"/>
  <c r="L675" i="6"/>
  <c r="L691" i="6"/>
  <c r="L368" i="6"/>
  <c r="L384" i="6"/>
  <c r="L400" i="6"/>
  <c r="L416" i="6"/>
  <c r="L432" i="6"/>
  <c r="L448" i="6"/>
  <c r="L464" i="6"/>
  <c r="L480" i="6"/>
  <c r="L496" i="6"/>
  <c r="L512" i="6"/>
  <c r="L528" i="6"/>
  <c r="L544" i="6"/>
  <c r="L560" i="6"/>
  <c r="L576" i="6"/>
  <c r="L592" i="6"/>
  <c r="L608" i="6"/>
  <c r="L624" i="6"/>
  <c r="L640" i="6"/>
  <c r="L656" i="6"/>
  <c r="L672" i="6"/>
  <c r="L688" i="6"/>
  <c r="L365" i="6"/>
  <c r="L381" i="6"/>
  <c r="L397" i="6"/>
  <c r="L413" i="6"/>
  <c r="L429" i="6"/>
  <c r="L445" i="6"/>
  <c r="L461" i="6"/>
  <c r="L477" i="6"/>
  <c r="L493" i="6"/>
  <c r="L509" i="6"/>
  <c r="L525" i="6"/>
  <c r="L541" i="6"/>
  <c r="L557" i="6"/>
  <c r="L573" i="6"/>
  <c r="L589" i="6"/>
  <c r="L605" i="6"/>
  <c r="L621" i="6"/>
  <c r="L637" i="6"/>
  <c r="L653" i="6"/>
  <c r="L669" i="6"/>
  <c r="L38" i="6"/>
  <c r="L54" i="6"/>
  <c r="L70" i="6"/>
  <c r="L86" i="6"/>
  <c r="L102" i="6"/>
  <c r="L118" i="6"/>
  <c r="L134" i="6"/>
  <c r="L150" i="6"/>
  <c r="L166" i="6"/>
  <c r="L182" i="6"/>
  <c r="L198" i="6"/>
  <c r="L214" i="6"/>
  <c r="L230" i="6"/>
  <c r="L246" i="6"/>
  <c r="L262" i="6"/>
  <c r="L278" i="6"/>
  <c r="L294" i="6"/>
  <c r="L310" i="6"/>
  <c r="L326" i="6"/>
  <c r="L342" i="6"/>
  <c r="L358" i="6"/>
  <c r="L35" i="6"/>
  <c r="L51" i="6"/>
  <c r="L67" i="6"/>
  <c r="L83" i="6"/>
  <c r="L99" i="6"/>
  <c r="L115" i="6"/>
  <c r="L131" i="6"/>
  <c r="L147" i="6"/>
  <c r="L163" i="6"/>
  <c r="L179" i="6"/>
  <c r="L195" i="6"/>
  <c r="L211" i="6"/>
  <c r="L227" i="6"/>
  <c r="L243" i="6"/>
  <c r="L259" i="6"/>
  <c r="L275" i="6"/>
  <c r="L291" i="6"/>
  <c r="L307" i="6"/>
  <c r="L323" i="6"/>
  <c r="L339" i="6"/>
  <c r="L355" i="6"/>
  <c r="L32" i="6"/>
  <c r="L48" i="6"/>
  <c r="L64" i="6"/>
  <c r="L80" i="6"/>
  <c r="L96" i="6"/>
  <c r="L112" i="6"/>
  <c r="L128" i="6"/>
  <c r="L144" i="6"/>
  <c r="L160" i="6"/>
  <c r="L176" i="6"/>
  <c r="L192" i="6"/>
  <c r="L208" i="6"/>
  <c r="L224" i="6"/>
  <c r="L240" i="6"/>
  <c r="L256" i="6"/>
  <c r="L272" i="6"/>
  <c r="L288" i="6"/>
  <c r="L304" i="6"/>
  <c r="L320" i="6"/>
  <c r="L336" i="6"/>
  <c r="L352" i="6"/>
  <c r="L37" i="6"/>
  <c r="L53" i="6"/>
  <c r="L69" i="6"/>
  <c r="L85" i="6"/>
  <c r="L101" i="6"/>
  <c r="L117" i="6"/>
  <c r="L133" i="6"/>
  <c r="L149" i="6"/>
  <c r="L165" i="6"/>
  <c r="L181" i="6"/>
  <c r="L197" i="6"/>
  <c r="L213" i="6"/>
  <c r="L229" i="6"/>
  <c r="L245" i="6"/>
  <c r="L261" i="6"/>
  <c r="L277" i="6"/>
  <c r="L293" i="6"/>
  <c r="L309" i="6"/>
  <c r="L325" i="6"/>
  <c r="L341" i="6"/>
  <c r="L366" i="6"/>
  <c r="L382" i="6"/>
  <c r="L398" i="6"/>
  <c r="L414" i="6"/>
  <c r="L430" i="6"/>
  <c r="L446" i="6"/>
  <c r="L462" i="6"/>
  <c r="L478" i="6"/>
  <c r="L494" i="6"/>
  <c r="L510" i="6"/>
  <c r="L526" i="6"/>
  <c r="L542" i="6"/>
  <c r="L558" i="6"/>
  <c r="L574" i="6"/>
  <c r="L590" i="6"/>
  <c r="L606" i="6"/>
  <c r="L622" i="6"/>
  <c r="L638" i="6"/>
  <c r="L654" i="6"/>
  <c r="L670" i="6"/>
  <c r="L686" i="6"/>
  <c r="L357" i="6"/>
  <c r="L375" i="6"/>
  <c r="L391" i="6"/>
  <c r="L407" i="6"/>
  <c r="L423" i="6"/>
  <c r="L439" i="6"/>
  <c r="L455" i="6"/>
  <c r="L471" i="6"/>
  <c r="L487" i="6"/>
  <c r="L503" i="6"/>
  <c r="L519" i="6"/>
  <c r="L535" i="6"/>
  <c r="L551" i="6"/>
  <c r="L567" i="6"/>
  <c r="L583" i="6"/>
  <c r="L599" i="6"/>
  <c r="L615" i="6"/>
  <c r="L631" i="6"/>
  <c r="L647" i="6"/>
  <c r="L663" i="6"/>
  <c r="L679" i="6"/>
  <c r="L349" i="6"/>
  <c r="L372" i="6"/>
  <c r="L388" i="6"/>
  <c r="L404" i="6"/>
  <c r="L420" i="6"/>
  <c r="L436" i="6"/>
  <c r="L452" i="6"/>
  <c r="L468" i="6"/>
  <c r="L484" i="6"/>
  <c r="L500" i="6"/>
  <c r="L516" i="6"/>
  <c r="L532" i="6"/>
  <c r="L548" i="6"/>
  <c r="L564" i="6"/>
  <c r="L580" i="6"/>
  <c r="L596" i="6"/>
  <c r="L612" i="6"/>
  <c r="L628" i="6"/>
  <c r="L644" i="6"/>
  <c r="L660" i="6"/>
  <c r="L676" i="6"/>
  <c r="L692" i="6"/>
  <c r="L369" i="6"/>
  <c r="L385" i="6"/>
  <c r="L401" i="6"/>
  <c r="L417" i="6"/>
  <c r="L433" i="6"/>
  <c r="L449" i="6"/>
  <c r="L465" i="6"/>
  <c r="L481" i="6"/>
  <c r="L497" i="6"/>
  <c r="L513" i="6"/>
  <c r="L529" i="6"/>
  <c r="L545" i="6"/>
  <c r="L561" i="6"/>
  <c r="L577" i="6"/>
  <c r="L593" i="6"/>
  <c r="L609" i="6"/>
  <c r="L625" i="6"/>
  <c r="L641" i="6"/>
  <c r="L657" i="6"/>
  <c r="L673" i="6"/>
  <c r="L26" i="6"/>
  <c r="L42" i="6"/>
  <c r="L58" i="6"/>
  <c r="L74" i="6"/>
  <c r="L90" i="6"/>
  <c r="L106" i="6"/>
  <c r="L122" i="6"/>
  <c r="L138" i="6"/>
  <c r="L154" i="6"/>
  <c r="L170" i="6"/>
  <c r="L186" i="6"/>
  <c r="L202" i="6"/>
  <c r="L218" i="6"/>
  <c r="L234" i="6"/>
  <c r="L250" i="6"/>
  <c r="L266" i="6"/>
  <c r="L282" i="6"/>
  <c r="L298" i="6"/>
  <c r="L314" i="6"/>
  <c r="L330" i="6"/>
  <c r="L346" i="6"/>
  <c r="L23" i="6"/>
  <c r="L39" i="6"/>
  <c r="L55" i="6"/>
  <c r="L71" i="6"/>
  <c r="L87" i="6"/>
  <c r="L103" i="6"/>
  <c r="L119" i="6"/>
  <c r="L135" i="6"/>
  <c r="L151" i="6"/>
  <c r="L167" i="6"/>
  <c r="L183" i="6"/>
  <c r="L199" i="6"/>
  <c r="L215" i="6"/>
  <c r="L231" i="6"/>
  <c r="L247" i="6"/>
  <c r="L263" i="6"/>
  <c r="L279" i="6"/>
  <c r="L295" i="6"/>
  <c r="L311" i="6"/>
  <c r="L327" i="6"/>
  <c r="L343" i="6"/>
  <c r="L359" i="6"/>
  <c r="L36" i="6"/>
  <c r="L52" i="6"/>
  <c r="L68" i="6"/>
  <c r="L84" i="6"/>
  <c r="L100" i="6"/>
  <c r="L116" i="6"/>
  <c r="L132" i="6"/>
  <c r="L148" i="6"/>
  <c r="L164" i="6"/>
  <c r="L180" i="6"/>
  <c r="L196" i="6"/>
  <c r="L212" i="6"/>
  <c r="L228" i="6"/>
  <c r="L244" i="6"/>
  <c r="L260" i="6"/>
  <c r="L276" i="6"/>
  <c r="L292" i="6"/>
  <c r="L308" i="6"/>
  <c r="L324" i="6"/>
  <c r="L340" i="6"/>
  <c r="L25" i="6"/>
  <c r="L41" i="6"/>
  <c r="L57" i="6"/>
  <c r="L73" i="6"/>
  <c r="L89" i="6"/>
  <c r="L105" i="6"/>
  <c r="L121" i="6"/>
  <c r="L137" i="6"/>
  <c r="L153" i="6"/>
  <c r="L169" i="6"/>
  <c r="L185" i="6"/>
  <c r="L201" i="6"/>
  <c r="L217" i="6"/>
  <c r="L233" i="6"/>
  <c r="L249" i="6"/>
  <c r="L265" i="6"/>
  <c r="L281" i="6"/>
  <c r="L297" i="6"/>
  <c r="L313" i="6"/>
  <c r="L329" i="6"/>
  <c r="L345" i="6"/>
  <c r="L370" i="6"/>
  <c r="L386" i="6"/>
  <c r="L402" i="6"/>
  <c r="L418" i="6"/>
  <c r="L434" i="6"/>
  <c r="L450" i="6"/>
  <c r="L466" i="6"/>
  <c r="L482" i="6"/>
  <c r="L498" i="6"/>
  <c r="L514" i="6"/>
  <c r="L530" i="6"/>
  <c r="L546" i="6"/>
  <c r="L562" i="6"/>
  <c r="L578" i="6"/>
  <c r="L594" i="6"/>
  <c r="L610" i="6"/>
  <c r="L626" i="6"/>
  <c r="L642" i="6"/>
  <c r="L658" i="6"/>
  <c r="L674" i="6"/>
  <c r="L690" i="6"/>
  <c r="L363" i="6"/>
  <c r="L379" i="6"/>
  <c r="L395" i="6"/>
  <c r="L411" i="6"/>
  <c r="L427" i="6"/>
  <c r="L443" i="6"/>
  <c r="L459" i="6"/>
  <c r="L475" i="6"/>
  <c r="L491" i="6"/>
  <c r="L507" i="6"/>
  <c r="L523" i="6"/>
  <c r="L539" i="6"/>
  <c r="L555" i="6"/>
  <c r="L571" i="6"/>
  <c r="L587" i="6"/>
  <c r="L603" i="6"/>
  <c r="L619" i="6"/>
  <c r="L635" i="6"/>
  <c r="L651" i="6"/>
  <c r="L667" i="6"/>
  <c r="L683" i="6"/>
  <c r="L360" i="6"/>
  <c r="L376" i="6"/>
  <c r="L392" i="6"/>
  <c r="L408" i="6"/>
  <c r="L424" i="6"/>
  <c r="L440" i="6"/>
  <c r="L456" i="6"/>
  <c r="L472" i="6"/>
  <c r="L488" i="6"/>
  <c r="L504" i="6"/>
  <c r="L520" i="6"/>
  <c r="L536" i="6"/>
  <c r="L552" i="6"/>
  <c r="L568" i="6"/>
  <c r="L584" i="6"/>
  <c r="L600" i="6"/>
  <c r="L616" i="6"/>
  <c r="L632" i="6"/>
  <c r="L648" i="6"/>
  <c r="L664" i="6"/>
  <c r="L680" i="6"/>
  <c r="L353" i="6"/>
  <c r="L373" i="6"/>
  <c r="L389" i="6"/>
  <c r="L405" i="6"/>
  <c r="L421" i="6"/>
  <c r="L437" i="6"/>
  <c r="L453" i="6"/>
  <c r="L469" i="6"/>
  <c r="L485" i="6"/>
  <c r="L501" i="6"/>
  <c r="L517" i="6"/>
  <c r="L533" i="6"/>
  <c r="L549" i="6"/>
  <c r="L565" i="6"/>
  <c r="L581" i="6"/>
  <c r="L597" i="6"/>
  <c r="L613" i="6"/>
  <c r="L629" i="6"/>
  <c r="L645" i="6"/>
  <c r="L661" i="6"/>
  <c r="L677" i="6"/>
  <c r="L30" i="6"/>
  <c r="L46" i="6"/>
  <c r="L62" i="6"/>
  <c r="L78" i="6"/>
  <c r="L94" i="6"/>
  <c r="L110" i="6"/>
  <c r="L126" i="6"/>
  <c r="L142" i="6"/>
  <c r="L158" i="6"/>
  <c r="L174" i="6"/>
  <c r="L190" i="6"/>
  <c r="L206" i="6"/>
  <c r="L222" i="6"/>
  <c r="L238" i="6"/>
  <c r="L254" i="6"/>
  <c r="L270" i="6"/>
  <c r="L286" i="6"/>
  <c r="L302" i="6"/>
  <c r="L318" i="6"/>
  <c r="L334" i="6"/>
  <c r="L350" i="6"/>
  <c r="L27" i="6"/>
  <c r="L43" i="6"/>
  <c r="L59" i="6"/>
  <c r="L75" i="6"/>
  <c r="L91" i="6"/>
  <c r="L107" i="6"/>
  <c r="L123" i="6"/>
  <c r="L139" i="6"/>
  <c r="L155" i="6"/>
  <c r="L171" i="6"/>
  <c r="L187" i="6"/>
  <c r="L203" i="6"/>
  <c r="L219" i="6"/>
  <c r="L235" i="6"/>
  <c r="L251" i="6"/>
  <c r="L267" i="6"/>
  <c r="L283" i="6"/>
  <c r="L299" i="6"/>
  <c r="L315" i="6"/>
  <c r="L331" i="6"/>
  <c r="L347" i="6"/>
  <c r="L24" i="6"/>
  <c r="L40" i="6"/>
  <c r="L56" i="6"/>
  <c r="L72" i="6"/>
  <c r="L88" i="6"/>
  <c r="L104" i="6"/>
  <c r="L120" i="6"/>
  <c r="L136" i="6"/>
  <c r="L152" i="6"/>
  <c r="L168" i="6"/>
  <c r="L184" i="6"/>
  <c r="L200" i="6"/>
  <c r="L216" i="6"/>
  <c r="L232" i="6"/>
  <c r="L248" i="6"/>
  <c r="L264" i="6"/>
  <c r="L280" i="6"/>
  <c r="L296" i="6"/>
  <c r="L312" i="6"/>
  <c r="L328" i="6"/>
  <c r="L344" i="6"/>
  <c r="L29" i="6"/>
  <c r="L45" i="6"/>
  <c r="L61" i="6"/>
  <c r="L77" i="6"/>
  <c r="L93" i="6"/>
  <c r="L109" i="6"/>
  <c r="L125" i="6"/>
  <c r="L141" i="6"/>
  <c r="L157" i="6"/>
  <c r="L173" i="6"/>
  <c r="L189" i="6"/>
  <c r="L205" i="6"/>
  <c r="L221" i="6"/>
  <c r="L237" i="6"/>
  <c r="L253" i="6"/>
  <c r="L269" i="6"/>
  <c r="L285" i="6"/>
  <c r="L301" i="6"/>
  <c r="L317" i="6"/>
  <c r="L333" i="6"/>
  <c r="L356" i="6"/>
  <c r="L374" i="6"/>
  <c r="L390" i="6"/>
  <c r="L406" i="6"/>
  <c r="L422" i="6"/>
  <c r="L438" i="6"/>
  <c r="L454" i="6"/>
  <c r="L470" i="6"/>
  <c r="L486" i="6"/>
  <c r="L502" i="6"/>
  <c r="L518" i="6"/>
  <c r="L534" i="6"/>
  <c r="L550" i="6"/>
  <c r="L566" i="6"/>
  <c r="L582" i="6"/>
  <c r="L598" i="6"/>
  <c r="L614" i="6"/>
  <c r="L630" i="6"/>
  <c r="L646" i="6"/>
  <c r="L662" i="6"/>
  <c r="L678" i="6"/>
  <c r="L367" i="6"/>
  <c r="L383" i="6"/>
  <c r="L399" i="6"/>
  <c r="L415" i="6"/>
  <c r="L431" i="6"/>
  <c r="L447" i="6"/>
  <c r="L463" i="6"/>
  <c r="L479" i="6"/>
  <c r="L495" i="6"/>
  <c r="L511" i="6"/>
  <c r="L527" i="6"/>
  <c r="L543" i="6"/>
  <c r="L559" i="6"/>
  <c r="L575" i="6"/>
  <c r="L591" i="6"/>
  <c r="L607" i="6"/>
  <c r="L623" i="6"/>
  <c r="L639" i="6"/>
  <c r="L655" i="6"/>
  <c r="L671" i="6"/>
  <c r="L687" i="6"/>
  <c r="L364" i="6"/>
  <c r="L380" i="6"/>
  <c r="L396" i="6"/>
  <c r="L412" i="6"/>
  <c r="L428" i="6"/>
  <c r="L444" i="6"/>
  <c r="L460" i="6"/>
  <c r="L476" i="6"/>
  <c r="L492" i="6"/>
  <c r="L508" i="6"/>
  <c r="L524" i="6"/>
  <c r="L540" i="6"/>
  <c r="L556" i="6"/>
  <c r="L572" i="6"/>
  <c r="L588" i="6"/>
  <c r="L604" i="6"/>
  <c r="L620" i="6"/>
  <c r="L636" i="6"/>
  <c r="L652" i="6"/>
  <c r="L668" i="6"/>
  <c r="L684" i="6"/>
  <c r="L361" i="6"/>
  <c r="L377" i="6"/>
  <c r="L393" i="6"/>
  <c r="L409" i="6"/>
  <c r="L425" i="6"/>
  <c r="L441" i="6"/>
  <c r="L457" i="6"/>
  <c r="L473" i="6"/>
  <c r="L537" i="6"/>
  <c r="L601" i="6"/>
  <c r="L665" i="6"/>
  <c r="L489" i="6"/>
  <c r="L553" i="6"/>
  <c r="L617" i="6"/>
  <c r="L689" i="6"/>
  <c r="L21" i="6"/>
  <c r="L505" i="6"/>
  <c r="L569" i="6"/>
  <c r="L633" i="6"/>
  <c r="L681" i="6"/>
  <c r="L685" i="6"/>
  <c r="L521" i="6"/>
  <c r="L585" i="6"/>
  <c r="L649" i="6"/>
  <c r="L684" i="5"/>
  <c r="L668" i="5"/>
  <c r="L652" i="5"/>
  <c r="L636" i="5"/>
  <c r="L620" i="5"/>
  <c r="L604" i="5"/>
  <c r="L588" i="5"/>
  <c r="L572" i="5"/>
  <c r="L556" i="5"/>
  <c r="L540" i="5"/>
  <c r="L524" i="5"/>
  <c r="L508" i="5"/>
  <c r="L492" i="5"/>
  <c r="L476" i="5"/>
  <c r="L460" i="5"/>
  <c r="L444" i="5"/>
  <c r="L683" i="5"/>
  <c r="L667" i="5"/>
  <c r="L651" i="5"/>
  <c r="L635" i="5"/>
  <c r="L619" i="5"/>
  <c r="L603" i="5"/>
  <c r="L587" i="5"/>
  <c r="L571" i="5"/>
  <c r="L555" i="5"/>
  <c r="L539" i="5"/>
  <c r="L523" i="5"/>
  <c r="L507" i="5"/>
  <c r="L491" i="5"/>
  <c r="L475" i="5"/>
  <c r="L459" i="5"/>
  <c r="L443" i="5"/>
  <c r="L690" i="5"/>
  <c r="L674" i="5"/>
  <c r="L658" i="5"/>
  <c r="L642" i="5"/>
  <c r="L626" i="5"/>
  <c r="L610" i="5"/>
  <c r="L594" i="5"/>
  <c r="L578" i="5"/>
  <c r="L562" i="5"/>
  <c r="L546" i="5"/>
  <c r="L530" i="5"/>
  <c r="L514" i="5"/>
  <c r="L498" i="5"/>
  <c r="L482" i="5"/>
  <c r="L466" i="5"/>
  <c r="L450" i="5"/>
  <c r="L681" i="5"/>
  <c r="L665" i="5"/>
  <c r="L649" i="5"/>
  <c r="L633" i="5"/>
  <c r="L617" i="5"/>
  <c r="L601" i="5"/>
  <c r="L585" i="5"/>
  <c r="L569" i="5"/>
  <c r="L553" i="5"/>
  <c r="L537" i="5"/>
  <c r="L521" i="5"/>
  <c r="L505" i="5"/>
  <c r="L489" i="5"/>
  <c r="L473" i="5"/>
  <c r="L457" i="5"/>
  <c r="L441" i="5"/>
  <c r="L425" i="5"/>
  <c r="L409" i="5"/>
  <c r="L393" i="5"/>
  <c r="L377" i="5"/>
  <c r="L361" i="5"/>
  <c r="L345" i="5"/>
  <c r="L329" i="5"/>
  <c r="L313" i="5"/>
  <c r="L297" i="5"/>
  <c r="L281" i="5"/>
  <c r="L265" i="5"/>
  <c r="L249" i="5"/>
  <c r="L233" i="5"/>
  <c r="L217" i="5"/>
  <c r="L201" i="5"/>
  <c r="L185" i="5"/>
  <c r="L169" i="5"/>
  <c r="L153" i="5"/>
  <c r="L137" i="5"/>
  <c r="L121" i="5"/>
  <c r="L105" i="5"/>
  <c r="L89" i="5"/>
  <c r="L73" i="5"/>
  <c r="L57" i="5"/>
  <c r="L41" i="5"/>
  <c r="L25" i="5"/>
  <c r="L428" i="5"/>
  <c r="L412" i="5"/>
  <c r="L396" i="5"/>
  <c r="L380" i="5"/>
  <c r="L364" i="5"/>
  <c r="L348" i="5"/>
  <c r="L332" i="5"/>
  <c r="L316" i="5"/>
  <c r="L300" i="5"/>
  <c r="L284" i="5"/>
  <c r="L268" i="5"/>
  <c r="L252" i="5"/>
  <c r="L236" i="5"/>
  <c r="L220" i="5"/>
  <c r="L204" i="5"/>
  <c r="L188" i="5"/>
  <c r="L172" i="5"/>
  <c r="L156" i="5"/>
  <c r="L140" i="5"/>
  <c r="L124" i="5"/>
  <c r="L108" i="5"/>
  <c r="L92" i="5"/>
  <c r="L76" i="5"/>
  <c r="L60" i="5"/>
  <c r="L44" i="5"/>
  <c r="L28" i="5"/>
  <c r="L427" i="5"/>
  <c r="L411" i="5"/>
  <c r="L395" i="5"/>
  <c r="L379" i="5"/>
  <c r="L363" i="5"/>
  <c r="L347" i="5"/>
  <c r="L331" i="5"/>
  <c r="L315" i="5"/>
  <c r="L299" i="5"/>
  <c r="L283" i="5"/>
  <c r="L267" i="5"/>
  <c r="L251" i="5"/>
  <c r="L235" i="5"/>
  <c r="L219" i="5"/>
  <c r="L203" i="5"/>
  <c r="L187" i="5"/>
  <c r="L171" i="5"/>
  <c r="L155" i="5"/>
  <c r="L139" i="5"/>
  <c r="L123" i="5"/>
  <c r="L107" i="5"/>
  <c r="L91" i="5"/>
  <c r="L75" i="5"/>
  <c r="L59" i="5"/>
  <c r="L43" i="5"/>
  <c r="L27" i="5"/>
  <c r="L426" i="5"/>
  <c r="L410" i="5"/>
  <c r="L394" i="5"/>
  <c r="L378" i="5"/>
  <c r="L362" i="5"/>
  <c r="L346" i="5"/>
  <c r="L330" i="5"/>
  <c r="L314" i="5"/>
  <c r="L298" i="5"/>
  <c r="L282" i="5"/>
  <c r="L266" i="5"/>
  <c r="L250" i="5"/>
  <c r="L234" i="5"/>
  <c r="L214" i="5"/>
  <c r="L194" i="5"/>
  <c r="L170" i="5"/>
  <c r="L150" i="5"/>
  <c r="L130" i="5"/>
  <c r="L106" i="5"/>
  <c r="L74" i="5"/>
  <c r="L42" i="5"/>
  <c r="L18" i="1"/>
  <c r="O18" i="1"/>
  <c r="G21" i="6" l="1"/>
  <c r="F21" i="6"/>
  <c r="G23" i="6"/>
  <c r="M18" i="6"/>
  <c r="L18" i="5"/>
  <c r="F18" i="6"/>
  <c r="L18" i="6"/>
  <c r="F18" i="5"/>
  <c r="P18" i="1"/>
  <c r="G18" i="6" l="1"/>
  <c r="D7" i="7"/>
  <c r="F6" i="7"/>
  <c r="D6" i="7"/>
  <c r="F7" i="7"/>
  <c r="P18" i="5"/>
  <c r="P1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North</author>
  </authors>
  <commentList>
    <comment ref="C8" authorId="0" shapeId="0" xr:uid="{E3BF1464-E3B9-9A4C-AAB8-205431A15116}">
      <text>
        <r>
          <rPr>
            <b/>
            <sz val="10"/>
            <color rgb="FF000000"/>
            <rFont val="Tahoma"/>
            <family val="2"/>
          </rPr>
          <t>Peter North: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(Sat-Toutlet = 2 to 5K) Condenser refrig sat temp (30ºC) minus 2ºC approach temp. Needs to be written-up and justified. Sat temp - outlet temp btw 2 to 5K. 2K taken to max deltaT and min mass flowrate.</t>
        </r>
      </text>
    </comment>
    <comment ref="C9" authorId="0" shapeId="0" xr:uid="{9EA181A5-DF89-2449-A7D1-503B144CD3E0}">
      <text>
        <r>
          <rPr>
            <b/>
            <sz val="10"/>
            <color rgb="FF000000"/>
            <rFont val="Tahoma"/>
            <family val="2"/>
          </rPr>
          <t>Peter North: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(Toutlet - sat = 5K) Evaporator refrig sat temp (5ºC) plus 5K or 2K approach temp. Needs to be written-up and justified.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North</author>
  </authors>
  <commentList>
    <comment ref="C8" authorId="0" shapeId="0" xr:uid="{837D8097-CD36-B94F-B974-E0AA9194717F}">
      <text>
        <r>
          <rPr>
            <b/>
            <sz val="10"/>
            <color rgb="FF000000"/>
            <rFont val="Tahoma"/>
            <family val="2"/>
          </rPr>
          <t>Peter North: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(Sat-Toutlet = 2 to 5K) Condenser refrig sat temp (30ºC) minus 2ºC approach temp. Needs to be written-up and justified. Sat temp - outlet temp btw 2 to 5K. 2K taken to max deltaT and min mass flowrate.</t>
        </r>
      </text>
    </comment>
    <comment ref="C9" authorId="0" shapeId="0" xr:uid="{C772216C-D758-DA47-B0B8-65C6B7F057A1}">
      <text>
        <r>
          <rPr>
            <b/>
            <sz val="10"/>
            <color rgb="FF000000"/>
            <rFont val="Tahoma"/>
            <family val="2"/>
          </rPr>
          <t>Peter North: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(Toutlet - sat = 5K) Evaporator refrig sat temp (5ºC) plus 5K or 2K approach temp. Needs to be written-up and justified.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North</author>
  </authors>
  <commentList>
    <comment ref="C8" authorId="0" shapeId="0" xr:uid="{CAEEF819-FF9F-DF4A-9F28-D3E65632FCF2}">
      <text>
        <r>
          <rPr>
            <b/>
            <sz val="10"/>
            <color rgb="FF000000"/>
            <rFont val="Tahoma"/>
            <family val="2"/>
          </rPr>
          <t>Peter North: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(Sat-Toutlet = 2 to 5K) Condenser refrig sat temp (30ºC) minus 2ºC approach temp. Needs to be written-up and justified. Sat temp - outlet temp btw 2 to 5K. 2K taken to max deltaT and min mass flowrate.</t>
        </r>
      </text>
    </comment>
    <comment ref="C9" authorId="0" shapeId="0" xr:uid="{46B52DA9-3782-CF41-AD1B-FAAF53D2BC49}">
      <text>
        <r>
          <rPr>
            <b/>
            <sz val="10"/>
            <color rgb="FF000000"/>
            <rFont val="Tahoma"/>
            <family val="2"/>
          </rPr>
          <t>Peter North: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(Toutlet - sat = 5K) Evaporator refrig sat temp (5ºC) plus 5K or 2K approach temp. Needs to be written-up and justified.
</t>
        </r>
      </text>
    </comment>
  </commentList>
</comments>
</file>

<file path=xl/sharedStrings.xml><?xml version="1.0" encoding="utf-8"?>
<sst xmlns="http://schemas.openxmlformats.org/spreadsheetml/2006/main" count="216" uniqueCount="51">
  <si>
    <t>Hot Sink</t>
  </si>
  <si>
    <t>Cold Sink</t>
  </si>
  <si>
    <t>Winter</t>
  </si>
  <si>
    <t>Spring/Autumn</t>
  </si>
  <si>
    <t>Summer</t>
  </si>
  <si>
    <t>kg/s</t>
  </si>
  <si>
    <t>kJ/kg.K</t>
  </si>
  <si>
    <t>K</t>
  </si>
  <si>
    <r>
      <rPr>
        <i/>
        <sz val="12"/>
        <color theme="1"/>
        <rFont val="Aptos Narrow (Body)"/>
      </rPr>
      <t>T</t>
    </r>
    <r>
      <rPr>
        <i/>
        <vertAlign val="subscript"/>
        <sz val="12"/>
        <color theme="1"/>
        <rFont val="Aptos Narrow"/>
        <family val="2"/>
        <scheme val="minor"/>
      </rPr>
      <t>0</t>
    </r>
  </si>
  <si>
    <r>
      <t>c</t>
    </r>
    <r>
      <rPr>
        <i/>
        <vertAlign val="subscript"/>
        <sz val="12"/>
        <color theme="1"/>
        <rFont val="Aptos Narrow (Body)"/>
      </rPr>
      <t>p water</t>
    </r>
  </si>
  <si>
    <t>Hours</t>
  </si>
  <si>
    <t>ºC</t>
  </si>
  <si>
    <t>kW</t>
  </si>
  <si>
    <r>
      <t>ṁ</t>
    </r>
    <r>
      <rPr>
        <i/>
        <vertAlign val="subscript"/>
        <sz val="12"/>
        <color theme="1"/>
        <rFont val="Aptos Narrow"/>
        <scheme val="minor"/>
      </rPr>
      <t>cond, hot</t>
    </r>
  </si>
  <si>
    <r>
      <t>ṁ</t>
    </r>
    <r>
      <rPr>
        <i/>
        <vertAlign val="subscript"/>
        <sz val="12"/>
        <color theme="1"/>
        <rFont val="Aptos Narrow (Body)"/>
      </rPr>
      <t xml:space="preserve">hp, </t>
    </r>
    <r>
      <rPr>
        <i/>
        <vertAlign val="subscript"/>
        <sz val="12"/>
        <color theme="1"/>
        <rFont val="Aptos Narrow"/>
        <scheme val="minor"/>
      </rPr>
      <t>hot</t>
    </r>
  </si>
  <si>
    <r>
      <t>ṁ</t>
    </r>
    <r>
      <rPr>
        <i/>
        <vertAlign val="subscript"/>
        <sz val="12"/>
        <color theme="1"/>
        <rFont val="Aptos Narrow"/>
        <scheme val="minor"/>
      </rPr>
      <t>cond, cold</t>
    </r>
  </si>
  <si>
    <r>
      <t>ṁ</t>
    </r>
    <r>
      <rPr>
        <i/>
        <vertAlign val="subscript"/>
        <sz val="12"/>
        <color theme="1"/>
        <rFont val="Aptos Narrow (Body)"/>
      </rPr>
      <t xml:space="preserve">hp, </t>
    </r>
    <r>
      <rPr>
        <i/>
        <vertAlign val="subscript"/>
        <sz val="12"/>
        <color theme="1"/>
        <rFont val="Aptos Narrow"/>
        <scheme val="minor"/>
      </rPr>
      <t>cold</t>
    </r>
  </si>
  <si>
    <r>
      <t>E</t>
    </r>
    <r>
      <rPr>
        <i/>
        <vertAlign val="subscript"/>
        <sz val="12"/>
        <color theme="1"/>
        <rFont val="Aptos Narrow (Body)"/>
      </rPr>
      <t>dest cond, hot</t>
    </r>
  </si>
  <si>
    <r>
      <t>Q</t>
    </r>
    <r>
      <rPr>
        <vertAlign val="subscript"/>
        <sz val="12"/>
        <color theme="1"/>
        <rFont val="Aptos Narrow (Body)"/>
      </rPr>
      <t>cond, hot</t>
    </r>
  </si>
  <si>
    <r>
      <t>Q</t>
    </r>
    <r>
      <rPr>
        <vertAlign val="subscript"/>
        <sz val="12"/>
        <color theme="1"/>
        <rFont val="Aptos Narrow"/>
        <family val="2"/>
        <scheme val="minor"/>
      </rPr>
      <t>hp</t>
    </r>
    <r>
      <rPr>
        <vertAlign val="subscript"/>
        <sz val="12"/>
        <color theme="1"/>
        <rFont val="Aptos Narrow (Body)"/>
      </rPr>
      <t>, hot</t>
    </r>
  </si>
  <si>
    <r>
      <t>E</t>
    </r>
    <r>
      <rPr>
        <i/>
        <vertAlign val="subscript"/>
        <sz val="12"/>
        <color theme="1"/>
        <rFont val="Aptos Narrow (Body)"/>
      </rPr>
      <t>dest hp, hot</t>
    </r>
  </si>
  <si>
    <r>
      <t>Q</t>
    </r>
    <r>
      <rPr>
        <i/>
        <vertAlign val="subscript"/>
        <sz val="12"/>
        <color theme="1"/>
        <rFont val="Aptos Narrow (Body)"/>
      </rPr>
      <t>cond, cold</t>
    </r>
  </si>
  <si>
    <r>
      <t>E</t>
    </r>
    <r>
      <rPr>
        <i/>
        <vertAlign val="subscript"/>
        <sz val="12"/>
        <color theme="1"/>
        <rFont val="Aptos Narrow (Body)"/>
      </rPr>
      <t>dest cond, cold</t>
    </r>
  </si>
  <si>
    <r>
      <t>Q</t>
    </r>
    <r>
      <rPr>
        <i/>
        <vertAlign val="subscript"/>
        <sz val="12"/>
        <color theme="1"/>
        <rFont val="Aptos Narrow (Body)"/>
      </rPr>
      <t>hp, cold</t>
    </r>
  </si>
  <si>
    <r>
      <t>T</t>
    </r>
    <r>
      <rPr>
        <i/>
        <vertAlign val="subscript"/>
        <sz val="12"/>
        <color theme="1"/>
        <rFont val="Aptos Narrow (Body)"/>
      </rPr>
      <t>hot sink</t>
    </r>
  </si>
  <si>
    <r>
      <t>T</t>
    </r>
    <r>
      <rPr>
        <i/>
        <vertAlign val="subscript"/>
        <sz val="12"/>
        <color theme="1"/>
        <rFont val="Aptos Narrow (Body)"/>
      </rPr>
      <t>cold sink</t>
    </r>
  </si>
  <si>
    <r>
      <t>T</t>
    </r>
    <r>
      <rPr>
        <i/>
        <vertAlign val="subscript"/>
        <sz val="12"/>
        <color theme="1"/>
        <rFont val="Aptos Narrow (Body)"/>
      </rPr>
      <t>cond.hot, out</t>
    </r>
  </si>
  <si>
    <r>
      <t>T</t>
    </r>
    <r>
      <rPr>
        <i/>
        <vertAlign val="subscript"/>
        <sz val="12"/>
        <color theme="1"/>
        <rFont val="Aptos Narrow (Body)"/>
      </rPr>
      <t>hp.hot, out</t>
    </r>
  </si>
  <si>
    <r>
      <t>T</t>
    </r>
    <r>
      <rPr>
        <i/>
        <vertAlign val="subscript"/>
        <sz val="12"/>
        <color theme="1"/>
        <rFont val="Aptos Narrow (Body)"/>
      </rPr>
      <t>cond.cold, out</t>
    </r>
  </si>
  <si>
    <r>
      <t>T</t>
    </r>
    <r>
      <rPr>
        <i/>
        <vertAlign val="subscript"/>
        <sz val="12"/>
        <color theme="1"/>
        <rFont val="Aptos Narrow (Body)"/>
      </rPr>
      <t>hp.cold, out</t>
    </r>
  </si>
  <si>
    <r>
      <t>T</t>
    </r>
    <r>
      <rPr>
        <i/>
        <vertAlign val="subscript"/>
        <sz val="12"/>
        <color theme="1"/>
        <rFont val="Aptos Narrow (Body)"/>
      </rPr>
      <t>cond.sat</t>
    </r>
  </si>
  <si>
    <r>
      <t>T</t>
    </r>
    <r>
      <rPr>
        <i/>
        <vertAlign val="subscript"/>
        <sz val="12"/>
        <color theme="1"/>
        <rFont val="Aptos Narrow (Body)"/>
      </rPr>
      <t xml:space="preserve"> evap.sat</t>
    </r>
  </si>
  <si>
    <t>Condenser</t>
  </si>
  <si>
    <t>HP Evaporator</t>
  </si>
  <si>
    <t>Approach Temp</t>
  </si>
  <si>
    <t>Total</t>
  </si>
  <si>
    <r>
      <t>E</t>
    </r>
    <r>
      <rPr>
        <i/>
        <vertAlign val="subscript"/>
        <sz val="12"/>
        <color theme="1"/>
        <rFont val="Aptos Narrow (Body)"/>
      </rPr>
      <t>dest hp, cold</t>
    </r>
  </si>
  <si>
    <t>total Ex dest</t>
  </si>
  <si>
    <t>T2/T1</t>
  </si>
  <si>
    <t>LN</t>
  </si>
  <si>
    <t>T0</t>
  </si>
  <si>
    <t>T2-T1</t>
  </si>
  <si>
    <t>Spring/autumn</t>
  </si>
  <si>
    <r>
      <t>Q</t>
    </r>
    <r>
      <rPr>
        <vertAlign val="subscript"/>
        <sz val="12"/>
        <color theme="1"/>
        <rFont val="Aptos Narrow (Body)"/>
      </rPr>
      <t>cond, cold</t>
    </r>
  </si>
  <si>
    <r>
      <t>E</t>
    </r>
    <r>
      <rPr>
        <vertAlign val="subscript"/>
        <sz val="12"/>
        <color theme="1"/>
        <rFont val="Aptos Narrow (Body)"/>
      </rPr>
      <t>des cond, cold</t>
    </r>
  </si>
  <si>
    <r>
      <t>E</t>
    </r>
    <r>
      <rPr>
        <vertAlign val="subscript"/>
        <sz val="12"/>
        <color theme="1"/>
        <rFont val="Aptos Narrow (Body)"/>
      </rPr>
      <t>des cond, hot</t>
    </r>
  </si>
  <si>
    <t>kWh</t>
  </si>
  <si>
    <t>1946 to 1980</t>
  </si>
  <si>
    <t>1980 to 2000</t>
  </si>
  <si>
    <t>Post 2000</t>
  </si>
  <si>
    <t>&lt;1946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</si>
</sst>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9" formatCode="0.0%"/>
  </numFmts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vertAlign val="subscript"/>
      <sz val="12"/>
      <color theme="1"/>
      <name val="Aptos Narrow"/>
      <family val="2"/>
      <scheme val="minor"/>
    </font>
    <font>
      <vertAlign val="subscript"/>
      <sz val="12"/>
      <color theme="1"/>
      <name val="Aptos Narrow (Body)"/>
    </font>
    <font>
      <i/>
      <vertAlign val="subscript"/>
      <sz val="12"/>
      <color theme="1"/>
      <name val="Aptos Narrow"/>
      <family val="2"/>
      <scheme val="minor"/>
    </font>
    <font>
      <i/>
      <sz val="12"/>
      <color theme="1"/>
      <name val="Aptos Narrow (Body)"/>
    </font>
    <font>
      <i/>
      <sz val="12"/>
      <color theme="1"/>
      <name val="Aptos Narrow"/>
      <family val="2"/>
      <scheme val="minor"/>
    </font>
    <font>
      <i/>
      <vertAlign val="subscript"/>
      <sz val="12"/>
      <color theme="1"/>
      <name val="Aptos Narrow (Body)"/>
    </font>
    <font>
      <i/>
      <vertAlign val="subscript"/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164" fontId="0" fillId="0" borderId="0" xfId="0" applyNumberFormat="1"/>
    <xf numFmtId="0" fontId="7" fillId="0" borderId="0" xfId="0" applyFont="1" applyAlignment="1">
      <alignment horizontal="left"/>
    </xf>
    <xf numFmtId="165" fontId="0" fillId="0" borderId="0" xfId="1" applyNumberFormat="1" applyFon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65" fontId="0" fillId="0" borderId="0" xfId="0" applyNumberFormat="1"/>
    <xf numFmtId="169" fontId="0" fillId="0" borderId="0" xfId="2" applyNumberFormat="1" applyFont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4.png"/><Relationship Id="rId4" Type="http://schemas.openxmlformats.org/officeDocument/2006/relationships/hyperlink" Target="https://lucid.app/lucidchart/0a9fb61b-692e-4eef-b712-12f7625c999a/edit?crop=content&amp;page=0&amp;signature=742cdea43b0c8fe681556777b3e21b439eba6de6c382b71e54ac504da176715b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6.png"/><Relationship Id="rId1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6.png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601133</xdr:colOff>
      <xdr:row>28</xdr:row>
      <xdr:rowOff>71966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708D12-BE35-5155-84CA-5BBDEB7295A0}"/>
            </a:ext>
          </a:extLst>
        </xdr:cNvPr>
        <xdr:cNvSpPr txBox="1"/>
      </xdr:nvSpPr>
      <xdr:spPr>
        <a:xfrm>
          <a:off x="10507133" y="43137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7</xdr:col>
      <xdr:colOff>0</xdr:colOff>
      <xdr:row>4</xdr:row>
      <xdr:rowOff>0</xdr:rowOff>
    </xdr:from>
    <xdr:to>
      <xdr:col>7</xdr:col>
      <xdr:colOff>660400</xdr:colOff>
      <xdr:row>5</xdr:row>
      <xdr:rowOff>165100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78F9F09-6078-1021-D1D6-50A7F7DEB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889000"/>
          <a:ext cx="6604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9</xdr:col>
      <xdr:colOff>762000</xdr:colOff>
      <xdr:row>3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0E5CB41-ED34-D18F-D663-18E7B14AE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203200"/>
          <a:ext cx="24130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1</xdr:row>
      <xdr:rowOff>0</xdr:rowOff>
    </xdr:from>
    <xdr:to>
      <xdr:col>18</xdr:col>
      <xdr:colOff>254000</xdr:colOff>
      <xdr:row>3</xdr:row>
      <xdr:rowOff>215900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482E3B-3A6B-C11C-8218-A52A308D9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73100" y="203200"/>
          <a:ext cx="1905000" cy="67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783167</xdr:colOff>
      <xdr:row>6</xdr:row>
      <xdr:rowOff>127000</xdr:rowOff>
    </xdr:from>
    <xdr:to>
      <xdr:col>23</xdr:col>
      <xdr:colOff>567267</xdr:colOff>
      <xdr:row>32</xdr:row>
      <xdr:rowOff>16933</xdr:rowOff>
    </xdr:to>
    <xdr:pic>
      <xdr:nvPicPr>
        <xdr:cNvPr id="6" name="Picture 5" title="Sink Diagra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F9EBC9A-1A74-487C-A29D-AEB11CAF97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0500" y="1492250"/>
          <a:ext cx="5562600" cy="5308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4702</xdr:colOff>
      <xdr:row>1</xdr:row>
      <xdr:rowOff>7997</xdr:rowOff>
    </xdr:from>
    <xdr:to>
      <xdr:col>10</xdr:col>
      <xdr:colOff>263769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64DF8-863D-F84B-B8F6-1B858F5DF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8302" y="211197"/>
          <a:ext cx="2735567" cy="44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20</xdr:col>
      <xdr:colOff>601133</xdr:colOff>
      <xdr:row>28</xdr:row>
      <xdr:rowOff>71966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1B8F0CA-E7C8-FB48-A368-6187374507AB}"/>
            </a:ext>
          </a:extLst>
        </xdr:cNvPr>
        <xdr:cNvSpPr txBox="1"/>
      </xdr:nvSpPr>
      <xdr:spPr>
        <a:xfrm>
          <a:off x="17276233" y="60409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twoCellAnchor editAs="oneCell">
    <xdr:from>
      <xdr:col>16</xdr:col>
      <xdr:colOff>564430</xdr:colOff>
      <xdr:row>6</xdr:row>
      <xdr:rowOff>202396</xdr:rowOff>
    </xdr:from>
    <xdr:to>
      <xdr:col>26</xdr:col>
      <xdr:colOff>32984</xdr:colOff>
      <xdr:row>34</xdr:row>
      <xdr:rowOff>181548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F3774A-4128-954F-9F18-3D52D0583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96548" y="1562043"/>
          <a:ext cx="7760907" cy="5806211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7</xdr:col>
      <xdr:colOff>660400</xdr:colOff>
      <xdr:row>5</xdr:row>
      <xdr:rowOff>165100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5318F1-839A-EF47-8EB9-72390DEDC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889000"/>
          <a:ext cx="6604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4702</xdr:colOff>
      <xdr:row>1</xdr:row>
      <xdr:rowOff>7997</xdr:rowOff>
    </xdr:from>
    <xdr:to>
      <xdr:col>10</xdr:col>
      <xdr:colOff>263769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9166BB-9164-8443-A299-47B62FEC5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8302" y="211197"/>
          <a:ext cx="2735567" cy="44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20</xdr:col>
      <xdr:colOff>601133</xdr:colOff>
      <xdr:row>29</xdr:row>
      <xdr:rowOff>71966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85E37A7-43ED-E84F-8166-76443823137D}"/>
            </a:ext>
          </a:extLst>
        </xdr:cNvPr>
        <xdr:cNvSpPr txBox="1"/>
      </xdr:nvSpPr>
      <xdr:spPr>
        <a:xfrm>
          <a:off x="17276233" y="60409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twoCellAnchor editAs="oneCell">
    <xdr:from>
      <xdr:col>16</xdr:col>
      <xdr:colOff>820972</xdr:colOff>
      <xdr:row>6</xdr:row>
      <xdr:rowOff>131673</xdr:rowOff>
    </xdr:from>
    <xdr:to>
      <xdr:col>26</xdr:col>
      <xdr:colOff>289526</xdr:colOff>
      <xdr:row>34</xdr:row>
      <xdr:rowOff>121367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7A6FEA-80F5-F94A-840B-A90DD7F72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91429" y="1466140"/>
          <a:ext cx="7720331" cy="58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7</xdr:col>
      <xdr:colOff>660400</xdr:colOff>
      <xdr:row>5</xdr:row>
      <xdr:rowOff>165100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08FC0-8094-4D49-B9F7-AD1ED9C27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889000"/>
          <a:ext cx="6604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ACBC7-EEC5-B04A-9A6E-589C06196F44}">
  <dimension ref="B2:F22"/>
  <sheetViews>
    <sheetView zoomScale="130" zoomScaleNormal="130" workbookViewId="0">
      <selection activeCell="B21" sqref="B21"/>
    </sheetView>
  </sheetViews>
  <sheetFormatPr baseColWidth="10" defaultRowHeight="16" x14ac:dyDescent="0.2"/>
  <cols>
    <col min="2" max="2" width="15" style="3" customWidth="1"/>
    <col min="3" max="3" width="13.1640625" bestFit="1" customWidth="1"/>
    <col min="4" max="4" width="11.6640625" bestFit="1" customWidth="1"/>
    <col min="5" max="5" width="13" bestFit="1" customWidth="1"/>
    <col min="6" max="6" width="11.1640625" bestFit="1" customWidth="1"/>
  </cols>
  <sheetData>
    <row r="2" spans="2:6" x14ac:dyDescent="0.2">
      <c r="C2" s="13" t="s">
        <v>0</v>
      </c>
      <c r="D2" s="13"/>
      <c r="E2" s="13" t="s">
        <v>1</v>
      </c>
      <c r="F2" s="13"/>
    </row>
    <row r="3" spans="2:6" ht="18" x14ac:dyDescent="0.25">
      <c r="C3" t="s">
        <v>18</v>
      </c>
      <c r="D3" t="s">
        <v>45</v>
      </c>
      <c r="E3" t="s">
        <v>43</v>
      </c>
      <c r="F3" t="s">
        <v>44</v>
      </c>
    </row>
    <row r="4" spans="2:6" x14ac:dyDescent="0.2">
      <c r="C4" s="1" t="s">
        <v>46</v>
      </c>
      <c r="D4" s="1" t="s">
        <v>46</v>
      </c>
      <c r="E4" s="1" t="s">
        <v>46</v>
      </c>
      <c r="F4" s="1" t="s">
        <v>46</v>
      </c>
    </row>
    <row r="5" spans="2:6" x14ac:dyDescent="0.2">
      <c r="B5" s="3" t="s">
        <v>2</v>
      </c>
      <c r="C5" s="15">
        <f>Winter!D18</f>
        <v>2286226.9585540341</v>
      </c>
      <c r="D5" s="15">
        <f>Winter!F18</f>
        <v>184618.53824577612</v>
      </c>
      <c r="E5" s="15">
        <f>Winter!J18</f>
        <v>339293.69968772272</v>
      </c>
      <c r="F5" s="15">
        <f>Winter!L18</f>
        <v>21976.821620531027</v>
      </c>
    </row>
    <row r="6" spans="2:6" x14ac:dyDescent="0.2">
      <c r="B6" s="3" t="s">
        <v>42</v>
      </c>
      <c r="C6" s="9">
        <f>Spring_Autumn!D18</f>
        <v>2182261.1702704765</v>
      </c>
      <c r="D6" s="9">
        <f>Spring_Autumn!F18</f>
        <v>176223.04111953219</v>
      </c>
      <c r="E6" s="9">
        <f>Spring_Autumn!J18</f>
        <v>640290.51631481654</v>
      </c>
      <c r="F6" s="9">
        <f>Spring_Autumn!L18</f>
        <v>41473.067361166926</v>
      </c>
    </row>
    <row r="7" spans="2:6" x14ac:dyDescent="0.2">
      <c r="B7" s="3" t="s">
        <v>4</v>
      </c>
      <c r="C7" s="9">
        <f>Summer!D18</f>
        <v>1999013.7215437628</v>
      </c>
      <c r="D7" s="9">
        <f>Summer!F18</f>
        <v>161425.35185486282</v>
      </c>
      <c r="E7" s="9">
        <f>Summer!J18</f>
        <v>1028260.9548372098</v>
      </c>
      <c r="F7" s="9">
        <f>Summer!L18</f>
        <v>66602.791636310401</v>
      </c>
    </row>
    <row r="20" spans="2:6" x14ac:dyDescent="0.2">
      <c r="B20" s="3" t="s">
        <v>50</v>
      </c>
      <c r="C20" t="s">
        <v>47</v>
      </c>
      <c r="D20" t="s">
        <v>48</v>
      </c>
      <c r="E20" t="s">
        <v>49</v>
      </c>
    </row>
    <row r="21" spans="2:6" x14ac:dyDescent="0.2">
      <c r="B21" s="3">
        <v>37.799999999999997</v>
      </c>
      <c r="C21">
        <v>39.700000000000003</v>
      </c>
      <c r="D21">
        <v>15.6</v>
      </c>
      <c r="E21">
        <v>6.9</v>
      </c>
      <c r="F21">
        <f>SUM(B21:E21)</f>
        <v>100</v>
      </c>
    </row>
    <row r="22" spans="2:6" x14ac:dyDescent="0.2">
      <c r="C22">
        <f>B21+C21</f>
        <v>77.5</v>
      </c>
      <c r="D22">
        <f>D21+C22</f>
        <v>93.1</v>
      </c>
      <c r="E22">
        <f>E21+D22</f>
        <v>100</v>
      </c>
    </row>
  </sheetData>
  <mergeCells count="2">
    <mergeCell ref="C2:D2"/>
    <mergeCell ref="E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1087A-FF59-764B-8F24-C00002C38ADE}">
  <dimension ref="A1:W692"/>
  <sheetViews>
    <sheetView zoomScale="120" zoomScaleNormal="120" workbookViewId="0">
      <selection activeCell="N30" sqref="N30"/>
    </sheetView>
  </sheetViews>
  <sheetFormatPr baseColWidth="10" defaultRowHeight="16" x14ac:dyDescent="0.2"/>
  <cols>
    <col min="4" max="4" width="13" bestFit="1" customWidth="1"/>
  </cols>
  <sheetData>
    <row r="1" spans="1:23" x14ac:dyDescent="0.2">
      <c r="N1" s="1" t="s">
        <v>11</v>
      </c>
      <c r="O1" s="1" t="s">
        <v>7</v>
      </c>
    </row>
    <row r="2" spans="1:23" ht="18" x14ac:dyDescent="0.25">
      <c r="A2" s="4" t="s">
        <v>8</v>
      </c>
      <c r="B2" s="1" t="s">
        <v>7</v>
      </c>
      <c r="C2">
        <v>273</v>
      </c>
      <c r="M2" t="s">
        <v>38</v>
      </c>
      <c r="N2">
        <f>C8/C6</f>
        <v>1.4</v>
      </c>
      <c r="O2">
        <f>D6/D8</f>
        <v>0.97342192691029905</v>
      </c>
    </row>
    <row r="3" spans="1:23" ht="18" x14ac:dyDescent="0.25">
      <c r="A3" s="5" t="s">
        <v>9</v>
      </c>
      <c r="B3" s="1" t="s">
        <v>6</v>
      </c>
      <c r="C3">
        <v>4.18</v>
      </c>
      <c r="M3" t="s">
        <v>39</v>
      </c>
      <c r="N3">
        <f>LN(N2)</f>
        <v>0.33647223662121289</v>
      </c>
      <c r="O3">
        <f>LN(O2)</f>
        <v>-2.6937655731808372E-2</v>
      </c>
    </row>
    <row r="4" spans="1:23" ht="18" x14ac:dyDescent="0.25">
      <c r="A4" s="5" t="s">
        <v>30</v>
      </c>
      <c r="B4" s="6" t="s">
        <v>11</v>
      </c>
      <c r="C4" s="3">
        <v>30</v>
      </c>
      <c r="M4" t="s">
        <v>40</v>
      </c>
      <c r="N4">
        <f>N3*$C$2</f>
        <v>91.856920597591113</v>
      </c>
      <c r="O4">
        <f>O3*$C$2</f>
        <v>-7.3539800147836853</v>
      </c>
    </row>
    <row r="5" spans="1:23" ht="18" x14ac:dyDescent="0.25">
      <c r="A5" s="5" t="s">
        <v>31</v>
      </c>
      <c r="B5" s="6" t="s">
        <v>11</v>
      </c>
      <c r="C5" s="3">
        <v>5</v>
      </c>
      <c r="M5" t="s">
        <v>41</v>
      </c>
      <c r="N5">
        <f>C8-C6</f>
        <v>8</v>
      </c>
      <c r="O5">
        <f>D6-D8</f>
        <v>-8</v>
      </c>
    </row>
    <row r="6" spans="1:23" ht="18" x14ac:dyDescent="0.25">
      <c r="A6" s="5" t="s">
        <v>24</v>
      </c>
      <c r="B6" s="6" t="s">
        <v>11</v>
      </c>
      <c r="C6" s="5">
        <v>20</v>
      </c>
      <c r="D6" s="5">
        <f>C6+$C$2</f>
        <v>293</v>
      </c>
      <c r="E6" t="s">
        <v>7</v>
      </c>
      <c r="F6" s="8"/>
      <c r="H6" s="3"/>
      <c r="I6" s="3"/>
      <c r="J6" s="3"/>
      <c r="O6">
        <f>O5-O4</f>
        <v>-0.64601998521631465</v>
      </c>
    </row>
    <row r="7" spans="1:23" ht="18" x14ac:dyDescent="0.25">
      <c r="A7" s="5" t="s">
        <v>25</v>
      </c>
      <c r="B7" s="1" t="s">
        <v>11</v>
      </c>
      <c r="C7">
        <v>10</v>
      </c>
      <c r="D7" s="5">
        <f t="shared" ref="D7:D9" si="0">C7+$C$2</f>
        <v>283</v>
      </c>
      <c r="E7" s="8" t="s">
        <v>7</v>
      </c>
      <c r="F7" s="8" t="s">
        <v>34</v>
      </c>
      <c r="G7" s="5"/>
      <c r="H7" s="3"/>
      <c r="I7" s="3"/>
      <c r="J7" s="3"/>
      <c r="N7" s="7">
        <f>E20*C3</f>
        <v>0</v>
      </c>
      <c r="O7">
        <f>O6*N7</f>
        <v>0</v>
      </c>
    </row>
    <row r="8" spans="1:23" ht="18" x14ac:dyDescent="0.25">
      <c r="A8" s="5" t="s">
        <v>26</v>
      </c>
      <c r="B8" s="1" t="s">
        <v>11</v>
      </c>
      <c r="C8">
        <f>C4-F8</f>
        <v>28</v>
      </c>
      <c r="D8" s="5">
        <f t="shared" si="0"/>
        <v>301</v>
      </c>
      <c r="E8" s="8" t="s">
        <v>7</v>
      </c>
      <c r="F8" s="5">
        <v>2</v>
      </c>
      <c r="G8" s="8" t="s">
        <v>7</v>
      </c>
      <c r="H8" s="3"/>
      <c r="I8" s="3"/>
      <c r="J8" s="3"/>
    </row>
    <row r="9" spans="1:23" ht="18" x14ac:dyDescent="0.25">
      <c r="A9" s="5" t="s">
        <v>27</v>
      </c>
      <c r="B9" s="1" t="s">
        <v>11</v>
      </c>
      <c r="C9">
        <f>C5+F9</f>
        <v>10</v>
      </c>
      <c r="D9" s="5">
        <f t="shared" si="0"/>
        <v>283</v>
      </c>
      <c r="E9" s="8" t="s">
        <v>7</v>
      </c>
      <c r="F9" s="5">
        <v>5</v>
      </c>
      <c r="G9" s="8" t="s">
        <v>7</v>
      </c>
      <c r="H9" s="3"/>
      <c r="I9" s="3"/>
      <c r="J9" s="3"/>
    </row>
    <row r="10" spans="1:23" ht="18" x14ac:dyDescent="0.25">
      <c r="A10" s="5" t="s">
        <v>28</v>
      </c>
      <c r="B10" s="1" t="s">
        <v>11</v>
      </c>
      <c r="C10">
        <f>C8</f>
        <v>28</v>
      </c>
      <c r="D10" s="5">
        <f>C10+273</f>
        <v>301</v>
      </c>
      <c r="E10" s="8" t="s">
        <v>7</v>
      </c>
      <c r="F10" s="5">
        <v>5</v>
      </c>
      <c r="G10" s="8" t="s">
        <v>7</v>
      </c>
      <c r="H10" s="3"/>
      <c r="I10" s="3"/>
      <c r="J10" s="3"/>
    </row>
    <row r="11" spans="1:23" ht="18" x14ac:dyDescent="0.25">
      <c r="A11" s="5" t="s">
        <v>29</v>
      </c>
      <c r="B11" s="1" t="s">
        <v>11</v>
      </c>
      <c r="C11">
        <f>C5+F11</f>
        <v>7</v>
      </c>
      <c r="D11" s="5">
        <f>C11+273</f>
        <v>280</v>
      </c>
      <c r="E11" s="8" t="s">
        <v>7</v>
      </c>
      <c r="F11" s="5">
        <v>2</v>
      </c>
      <c r="G11" s="8" t="s">
        <v>7</v>
      </c>
      <c r="H11" s="3"/>
      <c r="I11" s="3"/>
      <c r="J11" s="3"/>
    </row>
    <row r="12" spans="1:23" x14ac:dyDescent="0.2">
      <c r="A12" s="5"/>
      <c r="B12" s="1"/>
      <c r="E12" s="5"/>
      <c r="F12" s="5"/>
      <c r="G12" s="5"/>
    </row>
    <row r="13" spans="1:23" x14ac:dyDescent="0.2">
      <c r="D13" s="12" t="s">
        <v>2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23" s="1" customFormat="1" x14ac:dyDescent="0.2">
      <c r="D14" s="14" t="s">
        <v>0</v>
      </c>
      <c r="E14" s="14"/>
      <c r="F14" s="14"/>
      <c r="G14" s="14"/>
      <c r="H14" s="14"/>
      <c r="I14" s="14"/>
      <c r="J14" s="12" t="s">
        <v>1</v>
      </c>
      <c r="K14" s="12"/>
      <c r="L14" s="12"/>
      <c r="M14" s="12"/>
      <c r="N14" s="12"/>
      <c r="O14" s="12"/>
      <c r="P14" s="13"/>
      <c r="Q14" s="13"/>
      <c r="R14" s="13"/>
      <c r="S14" s="13"/>
      <c r="T14" s="13"/>
      <c r="U14" s="13"/>
      <c r="V14" s="13"/>
      <c r="W14" s="13"/>
    </row>
    <row r="15" spans="1:23" s="1" customFormat="1" x14ac:dyDescent="0.2">
      <c r="D15" s="12" t="s">
        <v>32</v>
      </c>
      <c r="E15" s="12"/>
      <c r="F15" s="12"/>
      <c r="G15" s="12" t="s">
        <v>33</v>
      </c>
      <c r="H15" s="12"/>
      <c r="I15" s="12"/>
      <c r="J15" s="12" t="s">
        <v>32</v>
      </c>
      <c r="K15" s="12"/>
      <c r="L15" s="12"/>
      <c r="M15" s="12" t="s">
        <v>33</v>
      </c>
      <c r="N15" s="12"/>
      <c r="O15" s="12"/>
      <c r="P15" s="1" t="s">
        <v>37</v>
      </c>
    </row>
    <row r="16" spans="1:23" s="1" customFormat="1" ht="18" x14ac:dyDescent="0.25">
      <c r="D16" s="1" t="s">
        <v>18</v>
      </c>
      <c r="E16" s="2" t="s">
        <v>13</v>
      </c>
      <c r="F16" s="2" t="s">
        <v>17</v>
      </c>
      <c r="G16" s="1" t="s">
        <v>19</v>
      </c>
      <c r="H16" s="2" t="s">
        <v>14</v>
      </c>
      <c r="I16" s="2" t="s">
        <v>20</v>
      </c>
      <c r="J16" s="2" t="s">
        <v>21</v>
      </c>
      <c r="K16" s="2" t="s">
        <v>15</v>
      </c>
      <c r="L16" s="2" t="s">
        <v>22</v>
      </c>
      <c r="M16" s="2" t="s">
        <v>23</v>
      </c>
      <c r="N16" s="2" t="s">
        <v>16</v>
      </c>
      <c r="O16" s="2" t="s">
        <v>20</v>
      </c>
      <c r="P16" s="2"/>
      <c r="Q16" s="2"/>
      <c r="R16" s="2"/>
      <c r="S16" s="2"/>
      <c r="T16" s="2"/>
      <c r="U16" s="2"/>
      <c r="V16" s="2"/>
      <c r="W16" s="2"/>
    </row>
    <row r="17" spans="2:23" x14ac:dyDescent="0.2">
      <c r="D17" s="1" t="s">
        <v>12</v>
      </c>
      <c r="E17" s="6" t="s">
        <v>5</v>
      </c>
      <c r="F17" s="6" t="s">
        <v>12</v>
      </c>
      <c r="G17" s="1" t="s">
        <v>12</v>
      </c>
      <c r="H17" s="6" t="s">
        <v>5</v>
      </c>
      <c r="I17" s="6" t="s">
        <v>12</v>
      </c>
      <c r="J17" s="1" t="s">
        <v>12</v>
      </c>
      <c r="K17" s="6" t="s">
        <v>5</v>
      </c>
      <c r="L17" s="6" t="s">
        <v>12</v>
      </c>
      <c r="M17" s="1" t="s">
        <v>12</v>
      </c>
      <c r="N17" s="6" t="s">
        <v>5</v>
      </c>
      <c r="O17" s="6" t="s">
        <v>12</v>
      </c>
      <c r="P17" s="6"/>
      <c r="Q17" s="6"/>
      <c r="R17" s="6"/>
      <c r="S17" s="6"/>
      <c r="T17" s="6"/>
      <c r="U17" s="6"/>
      <c r="V17" s="6"/>
      <c r="W17" s="6"/>
    </row>
    <row r="18" spans="2:23" x14ac:dyDescent="0.2">
      <c r="C18" s="3" t="s">
        <v>35</v>
      </c>
      <c r="D18" s="10">
        <f>SUM(D20:D691)</f>
        <v>2286226.9585540341</v>
      </c>
      <c r="E18" s="10"/>
      <c r="F18" s="10">
        <f t="shared" ref="E18:L18" si="1">SUM(F20:F691)</f>
        <v>184618.53824577612</v>
      </c>
      <c r="H18" s="10"/>
      <c r="I18" s="10"/>
      <c r="J18" s="10">
        <f t="shared" si="1"/>
        <v>339293.69968772272</v>
      </c>
      <c r="K18" s="10"/>
      <c r="L18" s="10">
        <f t="shared" si="1"/>
        <v>21976.821620531027</v>
      </c>
      <c r="M18" s="10">
        <f t="shared" ref="F18:O18" si="2">M692</f>
        <v>0</v>
      </c>
      <c r="N18" s="10"/>
      <c r="O18" s="10">
        <f t="shared" si="2"/>
        <v>0</v>
      </c>
      <c r="P18" s="11">
        <f>O18+L18+I18+F18</f>
        <v>206595.35986630715</v>
      </c>
      <c r="Q18" s="6"/>
      <c r="R18" s="6"/>
      <c r="S18" s="6"/>
      <c r="T18" s="6"/>
      <c r="U18" s="6"/>
      <c r="V18" s="6"/>
      <c r="W18" s="6"/>
    </row>
    <row r="19" spans="2:23" x14ac:dyDescent="0.2">
      <c r="C19" s="1" t="s">
        <v>10</v>
      </c>
      <c r="D19" s="1"/>
      <c r="E19" s="6"/>
      <c r="F19" s="6"/>
      <c r="G19" s="16">
        <f>F18/D18</f>
        <v>8.0752498152038887E-2</v>
      </c>
      <c r="H19" s="6"/>
      <c r="I19" s="6"/>
      <c r="J19" s="1"/>
      <c r="K19" s="6"/>
      <c r="L19" s="6"/>
      <c r="M19" s="16">
        <f>L18/J18</f>
        <v>6.4772265564488618E-2</v>
      </c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2:23" x14ac:dyDescent="0.2">
      <c r="B20">
        <f>D20*0.0125</f>
        <v>31.556250000000002</v>
      </c>
      <c r="C20">
        <v>1</v>
      </c>
      <c r="D20" s="7">
        <v>2524.5</v>
      </c>
      <c r="E20" s="7"/>
      <c r="F20" s="7">
        <f>D20*(1-($C$2/($D$8-$D$6)*LN($D$8/$D$6)))</f>
        <v>203.85968158482189</v>
      </c>
      <c r="G20" s="7"/>
      <c r="H20" s="7"/>
      <c r="I20" s="7"/>
      <c r="J20" s="7">
        <v>0</v>
      </c>
      <c r="K20" s="7"/>
      <c r="L20" s="7">
        <f>J20*(1-$C$2/($D$10-$D$9)*LN($D$10/$D$9))</f>
        <v>0</v>
      </c>
      <c r="M20" s="7"/>
      <c r="N20" s="7"/>
      <c r="O20" s="7"/>
    </row>
    <row r="21" spans="2:23" x14ac:dyDescent="0.2">
      <c r="C21">
        <v>2</v>
      </c>
      <c r="D21" s="7">
        <v>2376</v>
      </c>
      <c r="E21" s="7"/>
      <c r="F21" s="7">
        <f t="shared" ref="F21:F84" si="3">D21*(1-($C$2/($D$8-$D$6)*LN($D$8/$D$6)))</f>
        <v>191.86793560924414</v>
      </c>
      <c r="G21" s="7"/>
      <c r="H21" s="7"/>
      <c r="I21" s="7"/>
      <c r="J21" s="7">
        <v>0</v>
      </c>
      <c r="K21" s="7"/>
      <c r="L21" s="7">
        <f t="shared" ref="L21:L84" si="4">J21*(1-$C$2/($D$10-$D$9)*LN($D$10/$D$9))</f>
        <v>0</v>
      </c>
      <c r="M21" s="7"/>
      <c r="N21" s="7"/>
      <c r="O21" s="7"/>
    </row>
    <row r="22" spans="2:23" x14ac:dyDescent="0.2">
      <c r="C22">
        <v>3</v>
      </c>
      <c r="D22" s="7">
        <v>2524.5</v>
      </c>
      <c r="E22" s="7"/>
      <c r="F22" s="7">
        <f t="shared" si="3"/>
        <v>203.85968158482189</v>
      </c>
      <c r="G22" s="7"/>
      <c r="H22" s="7"/>
      <c r="I22" s="7"/>
      <c r="J22" s="7">
        <v>0</v>
      </c>
      <c r="K22" s="7"/>
      <c r="L22" s="7">
        <f t="shared" si="4"/>
        <v>0</v>
      </c>
      <c r="M22" s="7"/>
      <c r="N22" s="7"/>
      <c r="O22" s="7"/>
    </row>
    <row r="23" spans="2:23" x14ac:dyDescent="0.2">
      <c r="C23">
        <v>4</v>
      </c>
      <c r="D23" s="7">
        <v>2673</v>
      </c>
      <c r="E23" s="7"/>
      <c r="F23" s="7">
        <f t="shared" si="3"/>
        <v>215.85142756039966</v>
      </c>
      <c r="G23" s="7"/>
      <c r="H23" s="7"/>
      <c r="I23" s="7"/>
      <c r="J23" s="7">
        <v>0</v>
      </c>
      <c r="K23" s="7"/>
      <c r="L23" s="7">
        <f t="shared" si="4"/>
        <v>0</v>
      </c>
      <c r="M23" s="7"/>
      <c r="N23" s="7"/>
      <c r="O23" s="7"/>
    </row>
    <row r="24" spans="2:23" x14ac:dyDescent="0.2">
      <c r="C24">
        <v>5</v>
      </c>
      <c r="D24" s="7">
        <v>3044.2499999999995</v>
      </c>
      <c r="E24" s="7"/>
      <c r="F24" s="7">
        <f t="shared" si="3"/>
        <v>245.830792499344</v>
      </c>
      <c r="G24" s="7"/>
      <c r="H24" s="7"/>
      <c r="I24" s="7"/>
      <c r="J24" s="7">
        <v>0</v>
      </c>
      <c r="K24" s="7"/>
      <c r="L24" s="7">
        <f t="shared" si="4"/>
        <v>0</v>
      </c>
      <c r="M24" s="7"/>
      <c r="N24" s="7"/>
      <c r="O24" s="7"/>
    </row>
    <row r="25" spans="2:23" x14ac:dyDescent="0.2">
      <c r="C25">
        <v>6</v>
      </c>
      <c r="D25" s="7">
        <v>3266.9999999999995</v>
      </c>
      <c r="E25" s="7"/>
      <c r="F25" s="7">
        <f t="shared" si="3"/>
        <v>263.81841146271063</v>
      </c>
      <c r="G25" s="7"/>
      <c r="H25" s="7"/>
      <c r="I25" s="7"/>
      <c r="J25" s="7">
        <v>0</v>
      </c>
      <c r="K25" s="7"/>
      <c r="L25" s="7">
        <f t="shared" si="4"/>
        <v>0</v>
      </c>
      <c r="M25" s="7"/>
      <c r="N25" s="7"/>
      <c r="O25" s="7"/>
    </row>
    <row r="26" spans="2:23" x14ac:dyDescent="0.2">
      <c r="C26">
        <v>7</v>
      </c>
      <c r="D26" s="7">
        <v>3489.7499999999995</v>
      </c>
      <c r="E26" s="7"/>
      <c r="F26" s="7">
        <f t="shared" si="3"/>
        <v>281.80603042607726</v>
      </c>
      <c r="G26" s="7"/>
      <c r="H26" s="7"/>
      <c r="I26" s="7"/>
      <c r="J26" s="7">
        <v>0</v>
      </c>
      <c r="K26" s="7"/>
      <c r="L26" s="7">
        <f t="shared" si="4"/>
        <v>0</v>
      </c>
      <c r="M26" s="7"/>
      <c r="N26" s="7"/>
      <c r="O26" s="7"/>
    </row>
    <row r="27" spans="2:23" x14ac:dyDescent="0.2">
      <c r="C27">
        <v>8</v>
      </c>
      <c r="D27" s="7">
        <v>3712.4999999999991</v>
      </c>
      <c r="E27" s="7"/>
      <c r="F27" s="7">
        <f t="shared" si="3"/>
        <v>299.79364938944389</v>
      </c>
      <c r="G27" s="7"/>
      <c r="H27" s="7"/>
      <c r="I27" s="7"/>
      <c r="J27" s="7">
        <v>0</v>
      </c>
      <c r="K27" s="7"/>
      <c r="L27" s="7">
        <f t="shared" si="4"/>
        <v>0</v>
      </c>
      <c r="M27" s="7"/>
      <c r="N27" s="7"/>
      <c r="O27" s="7"/>
    </row>
    <row r="28" spans="2:23" x14ac:dyDescent="0.2">
      <c r="C28">
        <v>9</v>
      </c>
      <c r="D28" s="7">
        <v>3732.661106464072</v>
      </c>
      <c r="E28" s="7"/>
      <c r="F28" s="7">
        <f t="shared" si="3"/>
        <v>301.42170910192698</v>
      </c>
      <c r="G28" s="7"/>
      <c r="H28" s="7"/>
      <c r="I28" s="7"/>
      <c r="J28" s="7">
        <v>202.58889353592713</v>
      </c>
      <c r="K28" s="7"/>
      <c r="L28" s="7">
        <f t="shared" si="4"/>
        <v>13.122141612524995</v>
      </c>
      <c r="M28" s="7"/>
      <c r="N28" s="7"/>
      <c r="O28" s="7"/>
    </row>
    <row r="29" spans="2:23" x14ac:dyDescent="0.2">
      <c r="C29">
        <v>10</v>
      </c>
      <c r="D29" s="7">
        <v>3726.1300151769574</v>
      </c>
      <c r="E29" s="7"/>
      <c r="F29" s="7">
        <f t="shared" si="3"/>
        <v>300.89430716483349</v>
      </c>
      <c r="G29" s="7"/>
      <c r="H29" s="7"/>
      <c r="I29" s="7"/>
      <c r="J29" s="7">
        <v>431.8699848230408</v>
      </c>
      <c r="K29" s="7"/>
      <c r="L29" s="7">
        <f t="shared" si="4"/>
        <v>27.973197346289691</v>
      </c>
      <c r="M29" s="7"/>
      <c r="N29" s="7"/>
      <c r="O29" s="7"/>
    </row>
    <row r="30" spans="2:23" x14ac:dyDescent="0.2">
      <c r="C30">
        <v>11</v>
      </c>
      <c r="D30" s="7">
        <v>3719.6338503395305</v>
      </c>
      <c r="E30" s="7"/>
      <c r="F30" s="7">
        <f t="shared" si="3"/>
        <v>300.36972562580382</v>
      </c>
      <c r="G30" s="7"/>
      <c r="H30" s="7"/>
      <c r="I30" s="7"/>
      <c r="J30" s="7">
        <v>661.11614966046773</v>
      </c>
      <c r="K30" s="7"/>
      <c r="L30" s="7">
        <f t="shared" si="4"/>
        <v>42.821990814780051</v>
      </c>
      <c r="M30" s="7"/>
      <c r="N30" s="7"/>
      <c r="O30" s="7"/>
    </row>
    <row r="31" spans="2:23" x14ac:dyDescent="0.2">
      <c r="C31">
        <v>12</v>
      </c>
      <c r="D31" s="7">
        <v>3713.1724928776325</v>
      </c>
      <c r="E31" s="7"/>
      <c r="F31" s="7">
        <f t="shared" si="3"/>
        <v>299.84795486930221</v>
      </c>
      <c r="G31" s="7"/>
      <c r="H31" s="7"/>
      <c r="I31" s="7"/>
      <c r="J31" s="7">
        <v>890.32750712236566</v>
      </c>
      <c r="K31" s="7"/>
      <c r="L31" s="7">
        <f t="shared" si="4"/>
        <v>57.668529730699049</v>
      </c>
      <c r="M31" s="7"/>
      <c r="N31" s="7"/>
      <c r="O31" s="7"/>
    </row>
    <row r="32" spans="2:23" x14ac:dyDescent="0.2">
      <c r="C32">
        <v>13</v>
      </c>
      <c r="D32" s="7">
        <v>3706.7458240430556</v>
      </c>
      <c r="E32" s="7"/>
      <c r="F32" s="7">
        <f t="shared" si="3"/>
        <v>299.3289853061143</v>
      </c>
      <c r="G32" s="7"/>
      <c r="H32" s="7"/>
      <c r="I32" s="7"/>
      <c r="J32" s="7">
        <v>1119.5041759569444</v>
      </c>
      <c r="K32" s="7"/>
      <c r="L32" s="7">
        <f t="shared" si="4"/>
        <v>72.512821785637257</v>
      </c>
      <c r="M32" s="7"/>
      <c r="N32" s="7"/>
      <c r="O32" s="7"/>
    </row>
    <row r="33" spans="3:15" x14ac:dyDescent="0.2">
      <c r="C33">
        <v>14</v>
      </c>
      <c r="D33" s="7">
        <v>3700.3537254127764</v>
      </c>
      <c r="E33" s="7"/>
      <c r="F33" s="7">
        <f t="shared" si="3"/>
        <v>298.81280737328501</v>
      </c>
      <c r="G33" s="7"/>
      <c r="H33" s="7"/>
      <c r="I33" s="7"/>
      <c r="J33" s="7">
        <v>1348.6462745872236</v>
      </c>
      <c r="K33" s="7"/>
      <c r="L33" s="7">
        <f t="shared" si="4"/>
        <v>87.354874650121957</v>
      </c>
      <c r="M33" s="7"/>
      <c r="N33" s="7"/>
      <c r="O33" s="7"/>
    </row>
    <row r="34" spans="3:15" x14ac:dyDescent="0.2">
      <c r="C34">
        <v>15</v>
      </c>
      <c r="D34" s="7">
        <v>3693.9960788882349</v>
      </c>
      <c r="E34" s="7"/>
      <c r="F34" s="7">
        <f t="shared" si="3"/>
        <v>298.29941153406065</v>
      </c>
      <c r="G34" s="7"/>
      <c r="H34" s="7"/>
      <c r="I34" s="7"/>
      <c r="J34" s="7">
        <v>1206.5039211117642</v>
      </c>
      <c r="K34" s="7"/>
      <c r="L34" s="7">
        <f t="shared" si="4"/>
        <v>78.147992382848074</v>
      </c>
      <c r="M34" s="7"/>
      <c r="N34" s="7"/>
      <c r="O34" s="7"/>
    </row>
    <row r="35" spans="3:15" x14ac:dyDescent="0.2">
      <c r="C35">
        <v>16</v>
      </c>
      <c r="D35" s="7">
        <v>3693.5553560419389</v>
      </c>
      <c r="E35" s="7"/>
      <c r="F35" s="7">
        <f t="shared" si="3"/>
        <v>298.26382206322961</v>
      </c>
      <c r="G35" s="7"/>
      <c r="H35" s="7"/>
      <c r="I35" s="7"/>
      <c r="J35" s="7">
        <v>1404.9446439580611</v>
      </c>
      <c r="K35" s="7"/>
      <c r="L35" s="7">
        <f t="shared" si="4"/>
        <v>91.001447581857519</v>
      </c>
      <c r="M35" s="7"/>
      <c r="N35" s="7"/>
      <c r="O35" s="7"/>
    </row>
    <row r="36" spans="3:15" x14ac:dyDescent="0.2">
      <c r="C36">
        <v>17</v>
      </c>
      <c r="D36" s="7">
        <v>3701.1356415151108</v>
      </c>
      <c r="E36" s="7"/>
      <c r="F36" s="7">
        <f t="shared" si="3"/>
        <v>298.87594905189383</v>
      </c>
      <c r="G36" s="7"/>
      <c r="H36" s="7"/>
      <c r="I36" s="7"/>
      <c r="J36" s="7">
        <v>2090.3643584848892</v>
      </c>
      <c r="K36" s="7"/>
      <c r="L36" s="7">
        <f t="shared" si="4"/>
        <v>135.39763535432525</v>
      </c>
      <c r="M36" s="7"/>
      <c r="N36" s="7"/>
      <c r="O36" s="7"/>
    </row>
    <row r="37" spans="3:15" x14ac:dyDescent="0.2">
      <c r="C37">
        <v>18</v>
      </c>
      <c r="D37" s="7">
        <v>3708.683831383988</v>
      </c>
      <c r="E37" s="7"/>
      <c r="F37" s="7">
        <f t="shared" si="3"/>
        <v>299.48548424033157</v>
      </c>
      <c r="G37" s="7"/>
      <c r="H37" s="7"/>
      <c r="I37" s="7"/>
      <c r="J37" s="7">
        <v>1934.3161686160111</v>
      </c>
      <c r="K37" s="7"/>
      <c r="L37" s="7">
        <f t="shared" si="4"/>
        <v>125.29004055928051</v>
      </c>
      <c r="M37" s="7"/>
      <c r="N37" s="7"/>
      <c r="O37" s="7"/>
    </row>
    <row r="38" spans="3:15" x14ac:dyDescent="0.2">
      <c r="C38">
        <v>19</v>
      </c>
      <c r="D38" s="7">
        <v>3716.199853076329</v>
      </c>
      <c r="E38" s="7"/>
      <c r="F38" s="7">
        <f t="shared" si="3"/>
        <v>300.09242176815303</v>
      </c>
      <c r="G38" s="7"/>
      <c r="H38" s="7"/>
      <c r="I38" s="7"/>
      <c r="J38" s="7">
        <v>2223.8001469236701</v>
      </c>
      <c r="K38" s="7"/>
      <c r="L38" s="7">
        <f t="shared" si="4"/>
        <v>144.0405736788889</v>
      </c>
      <c r="M38" s="7"/>
      <c r="N38" s="7"/>
      <c r="O38" s="7"/>
    </row>
    <row r="39" spans="3:15" x14ac:dyDescent="0.2">
      <c r="C39">
        <v>20</v>
      </c>
      <c r="D39" s="7">
        <v>3723.6834598947626</v>
      </c>
      <c r="E39" s="7"/>
      <c r="F39" s="7">
        <f t="shared" si="3"/>
        <v>300.69674171392916</v>
      </c>
      <c r="G39" s="7"/>
      <c r="H39" s="7"/>
      <c r="I39" s="7"/>
      <c r="J39" s="7">
        <v>1919.3165401052365</v>
      </c>
      <c r="K39" s="7"/>
      <c r="L39" s="7">
        <f t="shared" si="4"/>
        <v>124.31848063801196</v>
      </c>
      <c r="M39" s="7"/>
      <c r="N39" s="7"/>
      <c r="O39" s="7"/>
    </row>
    <row r="40" spans="3:15" x14ac:dyDescent="0.2">
      <c r="C40">
        <v>21</v>
      </c>
      <c r="D40" s="7">
        <v>3731.1350065319725</v>
      </c>
      <c r="E40" s="7"/>
      <c r="F40" s="7">
        <f t="shared" si="3"/>
        <v>301.29847271998028</v>
      </c>
      <c r="G40" s="7"/>
      <c r="H40" s="7"/>
      <c r="I40" s="7"/>
      <c r="J40" s="7">
        <v>2357.3649934680266</v>
      </c>
      <c r="K40" s="7"/>
      <c r="L40" s="7">
        <f t="shared" si="4"/>
        <v>152.69187138934012</v>
      </c>
      <c r="M40" s="7"/>
      <c r="N40" s="7"/>
      <c r="O40" s="7"/>
    </row>
    <row r="41" spans="3:15" x14ac:dyDescent="0.2">
      <c r="C41">
        <v>22</v>
      </c>
      <c r="D41" s="7">
        <v>3738.554246905122</v>
      </c>
      <c r="E41" s="7"/>
      <c r="F41" s="7">
        <f t="shared" si="3"/>
        <v>301.89759491450258</v>
      </c>
      <c r="G41" s="7"/>
      <c r="H41" s="7"/>
      <c r="I41" s="7"/>
      <c r="J41" s="7">
        <v>1607.445753094878</v>
      </c>
      <c r="K41" s="7"/>
      <c r="L41" s="7">
        <f t="shared" si="4"/>
        <v>104.11790319997093</v>
      </c>
      <c r="M41" s="7"/>
      <c r="N41" s="7"/>
      <c r="O41" s="7"/>
    </row>
    <row r="42" spans="3:15" x14ac:dyDescent="0.2">
      <c r="C42">
        <v>23</v>
      </c>
      <c r="D42" s="7">
        <v>3737.9181410119668</v>
      </c>
      <c r="E42" s="7"/>
      <c r="F42" s="7">
        <f t="shared" si="3"/>
        <v>301.84622777454109</v>
      </c>
      <c r="G42" s="7"/>
      <c r="H42" s="7"/>
      <c r="I42" s="7"/>
      <c r="J42" s="7">
        <v>865.5818589880314</v>
      </c>
      <c r="K42" s="7"/>
      <c r="L42" s="7">
        <f t="shared" si="4"/>
        <v>56.065698038176556</v>
      </c>
      <c r="M42" s="7"/>
      <c r="N42" s="7"/>
      <c r="O42" s="7"/>
    </row>
    <row r="43" spans="3:15" x14ac:dyDescent="0.2">
      <c r="C43">
        <v>24</v>
      </c>
      <c r="D43" s="7">
        <v>3731.4336777361214</v>
      </c>
      <c r="E43" s="7"/>
      <c r="F43" s="7">
        <f t="shared" si="3"/>
        <v>301.3225911658414</v>
      </c>
      <c r="G43" s="7"/>
      <c r="H43" s="7"/>
      <c r="I43" s="7"/>
      <c r="J43" s="7">
        <v>129.56632226387774</v>
      </c>
      <c r="K43" s="7"/>
      <c r="L43" s="7">
        <f t="shared" si="4"/>
        <v>8.3923042338900107</v>
      </c>
      <c r="M43" s="7"/>
      <c r="N43" s="7"/>
      <c r="O43" s="7"/>
    </row>
    <row r="44" spans="3:15" x14ac:dyDescent="0.2">
      <c r="C44">
        <v>25</v>
      </c>
      <c r="D44" s="7">
        <v>2524.5</v>
      </c>
      <c r="E44" s="7"/>
      <c r="F44" s="7">
        <f t="shared" si="3"/>
        <v>203.85968158482189</v>
      </c>
      <c r="G44" s="7"/>
      <c r="H44" s="7"/>
      <c r="I44" s="7"/>
      <c r="J44" s="7">
        <v>0</v>
      </c>
      <c r="K44" s="7"/>
      <c r="L44" s="7">
        <f t="shared" si="4"/>
        <v>0</v>
      </c>
      <c r="M44" s="7"/>
      <c r="N44" s="7"/>
      <c r="O44" s="7"/>
    </row>
    <row r="45" spans="3:15" x14ac:dyDescent="0.2">
      <c r="C45">
        <v>26</v>
      </c>
      <c r="D45" s="7">
        <v>2376</v>
      </c>
      <c r="E45" s="7"/>
      <c r="F45" s="7">
        <f t="shared" si="3"/>
        <v>191.86793560924414</v>
      </c>
      <c r="G45" s="7"/>
      <c r="H45" s="7"/>
      <c r="I45" s="7"/>
      <c r="J45" s="7">
        <v>0</v>
      </c>
      <c r="K45" s="7"/>
      <c r="L45" s="7">
        <f t="shared" si="4"/>
        <v>0</v>
      </c>
      <c r="M45" s="7"/>
      <c r="N45" s="7"/>
      <c r="O45" s="7"/>
    </row>
    <row r="46" spans="3:15" x14ac:dyDescent="0.2">
      <c r="C46">
        <v>27</v>
      </c>
      <c r="D46" s="7">
        <v>2554.1999999999998</v>
      </c>
      <c r="E46" s="7"/>
      <c r="F46" s="7">
        <f t="shared" si="3"/>
        <v>206.25803077993743</v>
      </c>
      <c r="G46" s="7"/>
      <c r="H46" s="7"/>
      <c r="I46" s="7"/>
      <c r="J46" s="7">
        <v>0</v>
      </c>
      <c r="K46" s="7"/>
      <c r="L46" s="7">
        <f t="shared" si="4"/>
        <v>0</v>
      </c>
      <c r="M46" s="7"/>
      <c r="N46" s="7"/>
      <c r="O46" s="7"/>
    </row>
    <row r="47" spans="3:15" x14ac:dyDescent="0.2">
      <c r="C47">
        <v>28</v>
      </c>
      <c r="D47" s="7">
        <v>2673</v>
      </c>
      <c r="E47" s="7"/>
      <c r="F47" s="7">
        <f t="shared" si="3"/>
        <v>215.85142756039966</v>
      </c>
      <c r="G47" s="7"/>
      <c r="H47" s="7"/>
      <c r="I47" s="7"/>
      <c r="J47" s="7">
        <v>0</v>
      </c>
      <c r="K47" s="7"/>
      <c r="L47" s="7">
        <f t="shared" si="4"/>
        <v>0</v>
      </c>
      <c r="M47" s="7"/>
      <c r="N47" s="7"/>
      <c r="O47" s="7"/>
    </row>
    <row r="48" spans="3:15" x14ac:dyDescent="0.2">
      <c r="C48">
        <v>29</v>
      </c>
      <c r="D48" s="7">
        <v>2948.7857142857142</v>
      </c>
      <c r="E48" s="7"/>
      <c r="F48" s="7">
        <f t="shared" si="3"/>
        <v>238.12181294361548</v>
      </c>
      <c r="G48" s="7"/>
      <c r="H48" s="7"/>
      <c r="I48" s="7"/>
      <c r="J48" s="7">
        <v>0</v>
      </c>
      <c r="K48" s="7"/>
      <c r="L48" s="7">
        <f t="shared" si="4"/>
        <v>0</v>
      </c>
      <c r="M48" s="7"/>
      <c r="N48" s="7"/>
      <c r="O48" s="7"/>
    </row>
    <row r="49" spans="3:15" x14ac:dyDescent="0.2">
      <c r="C49">
        <v>30</v>
      </c>
      <c r="D49" s="7">
        <v>3139.7142857142858</v>
      </c>
      <c r="E49" s="7"/>
      <c r="F49" s="7">
        <f t="shared" si="3"/>
        <v>253.5397720550726</v>
      </c>
      <c r="G49" s="7"/>
      <c r="H49" s="7"/>
      <c r="I49" s="7"/>
      <c r="J49" s="7">
        <v>0</v>
      </c>
      <c r="K49" s="7"/>
      <c r="L49" s="7">
        <f t="shared" si="4"/>
        <v>0</v>
      </c>
      <c r="M49" s="7"/>
      <c r="N49" s="7"/>
      <c r="O49" s="7"/>
    </row>
    <row r="50" spans="3:15" x14ac:dyDescent="0.2">
      <c r="C50">
        <v>31</v>
      </c>
      <c r="D50" s="7">
        <v>3330.6428571428564</v>
      </c>
      <c r="E50" s="7"/>
      <c r="F50" s="7">
        <f t="shared" si="3"/>
        <v>268.95773116652964</v>
      </c>
      <c r="G50" s="7"/>
      <c r="H50" s="7"/>
      <c r="I50" s="7"/>
      <c r="J50" s="7">
        <v>0</v>
      </c>
      <c r="K50" s="7"/>
      <c r="L50" s="7">
        <f t="shared" si="4"/>
        <v>0</v>
      </c>
      <c r="M50" s="7"/>
      <c r="N50" s="7"/>
      <c r="O50" s="7"/>
    </row>
    <row r="51" spans="3:15" x14ac:dyDescent="0.2">
      <c r="C51">
        <v>32</v>
      </c>
      <c r="D51" s="7">
        <v>3521.5714285714284</v>
      </c>
      <c r="E51" s="7"/>
      <c r="F51" s="7">
        <f t="shared" si="3"/>
        <v>284.37569027798685</v>
      </c>
      <c r="G51" s="7"/>
      <c r="H51" s="7"/>
      <c r="I51" s="7"/>
      <c r="J51" s="7">
        <v>0</v>
      </c>
      <c r="K51" s="7"/>
      <c r="L51" s="7">
        <f t="shared" si="4"/>
        <v>0</v>
      </c>
      <c r="M51" s="7"/>
      <c r="N51" s="7"/>
      <c r="O51" s="7"/>
    </row>
    <row r="52" spans="3:15" x14ac:dyDescent="0.2">
      <c r="C52">
        <v>33</v>
      </c>
      <c r="D52" s="7">
        <v>3712.4999999999995</v>
      </c>
      <c r="E52" s="7"/>
      <c r="F52" s="7">
        <f t="shared" si="3"/>
        <v>299.79364938944394</v>
      </c>
      <c r="G52" s="7"/>
      <c r="H52" s="7"/>
      <c r="I52" s="7"/>
      <c r="J52" s="7">
        <v>0</v>
      </c>
      <c r="K52" s="7"/>
      <c r="L52" s="7">
        <f t="shared" si="4"/>
        <v>0</v>
      </c>
      <c r="M52" s="7"/>
      <c r="N52" s="7"/>
      <c r="O52" s="7"/>
    </row>
    <row r="53" spans="3:15" x14ac:dyDescent="0.2">
      <c r="C53">
        <v>34</v>
      </c>
      <c r="D53" s="7">
        <v>3708.257210025251</v>
      </c>
      <c r="E53" s="7"/>
      <c r="F53" s="7">
        <f t="shared" si="3"/>
        <v>299.45103349984856</v>
      </c>
      <c r="G53" s="7"/>
      <c r="H53" s="7"/>
      <c r="I53" s="7"/>
      <c r="J53" s="7">
        <v>195.17136140332059</v>
      </c>
      <c r="K53" s="7"/>
      <c r="L53" s="7">
        <f t="shared" si="4"/>
        <v>12.641691251398676</v>
      </c>
      <c r="M53" s="7"/>
      <c r="N53" s="7"/>
      <c r="O53" s="7"/>
    </row>
    <row r="54" spans="3:15" x14ac:dyDescent="0.2">
      <c r="C54">
        <v>35</v>
      </c>
      <c r="D54" s="7">
        <v>3701.9642499536608</v>
      </c>
      <c r="E54" s="7"/>
      <c r="F54" s="7">
        <f t="shared" si="3"/>
        <v>298.9428612532966</v>
      </c>
      <c r="G54" s="7"/>
      <c r="H54" s="7"/>
      <c r="I54" s="7"/>
      <c r="J54" s="7">
        <v>392.39289290348142</v>
      </c>
      <c r="K54" s="7"/>
      <c r="L54" s="7">
        <f t="shared" si="4"/>
        <v>25.416176664762261</v>
      </c>
      <c r="M54" s="7"/>
      <c r="N54" s="7"/>
      <c r="O54" s="7"/>
    </row>
    <row r="55" spans="3:15" x14ac:dyDescent="0.2">
      <c r="C55">
        <v>36</v>
      </c>
      <c r="D55" s="7">
        <v>3695.7052772713005</v>
      </c>
      <c r="E55" s="7"/>
      <c r="F55" s="7">
        <f t="shared" si="3"/>
        <v>298.43743357333062</v>
      </c>
      <c r="G55" s="7"/>
      <c r="H55" s="7"/>
      <c r="I55" s="7"/>
      <c r="J55" s="7">
        <v>589.58043701441329</v>
      </c>
      <c r="K55" s="7"/>
      <c r="L55" s="7">
        <f t="shared" si="4"/>
        <v>38.188460637924862</v>
      </c>
      <c r="M55" s="7"/>
      <c r="N55" s="7"/>
      <c r="O55" s="7"/>
    </row>
    <row r="56" spans="3:15" x14ac:dyDescent="0.2">
      <c r="C56">
        <v>37</v>
      </c>
      <c r="D56" s="7">
        <v>3689.4801757103178</v>
      </c>
      <c r="E56" s="7"/>
      <c r="F56" s="7">
        <f t="shared" si="3"/>
        <v>297.93474107103111</v>
      </c>
      <c r="G56" s="7"/>
      <c r="H56" s="7"/>
      <c r="I56" s="7"/>
      <c r="J56" s="7">
        <v>786.73411000396663</v>
      </c>
      <c r="K56" s="7"/>
      <c r="L56" s="7">
        <f t="shared" si="4"/>
        <v>50.958550701818574</v>
      </c>
      <c r="M56" s="7"/>
      <c r="N56" s="7"/>
      <c r="O56" s="7"/>
    </row>
    <row r="57" spans="3:15" x14ac:dyDescent="0.2">
      <c r="C57">
        <v>38</v>
      </c>
      <c r="D57" s="7">
        <v>3682.9360256402456</v>
      </c>
      <c r="E57" s="7"/>
      <c r="F57" s="7">
        <f t="shared" si="3"/>
        <v>297.40628460459095</v>
      </c>
      <c r="G57" s="7"/>
      <c r="H57" s="7"/>
      <c r="I57" s="7"/>
      <c r="J57" s="7">
        <v>984.20683150261129</v>
      </c>
      <c r="K57" s="7"/>
      <c r="L57" s="7">
        <f t="shared" si="4"/>
        <v>63.749306260471094</v>
      </c>
      <c r="M57" s="7"/>
      <c r="N57" s="7"/>
      <c r="O57" s="7"/>
    </row>
    <row r="58" spans="3:15" x14ac:dyDescent="0.2">
      <c r="C58">
        <v>39</v>
      </c>
      <c r="D58" s="7">
        <v>3675.8974787539855</v>
      </c>
      <c r="E58" s="7"/>
      <c r="F58" s="7">
        <f t="shared" si="3"/>
        <v>296.83790436016523</v>
      </c>
      <c r="G58" s="7"/>
      <c r="H58" s="7"/>
      <c r="I58" s="7"/>
      <c r="J58" s="7">
        <v>1182.1739498174429</v>
      </c>
      <c r="K58" s="7"/>
      <c r="L58" s="7">
        <f t="shared" si="4"/>
        <v>76.572085020995914</v>
      </c>
      <c r="M58" s="7"/>
      <c r="N58" s="7"/>
      <c r="O58" s="7"/>
    </row>
    <row r="59" spans="3:15" x14ac:dyDescent="0.2">
      <c r="C59">
        <v>40</v>
      </c>
      <c r="D59" s="7">
        <v>3674.7605095569952</v>
      </c>
      <c r="E59" s="7"/>
      <c r="F59" s="7">
        <f t="shared" si="3"/>
        <v>296.74609125718632</v>
      </c>
      <c r="G59" s="7"/>
      <c r="H59" s="7"/>
      <c r="I59" s="7"/>
      <c r="J59" s="7">
        <v>1374.2394904430048</v>
      </c>
      <c r="K59" s="7"/>
      <c r="L59" s="7">
        <f t="shared" si="4"/>
        <v>89.012605224181897</v>
      </c>
      <c r="M59" s="7"/>
      <c r="N59" s="7"/>
      <c r="O59" s="7"/>
    </row>
    <row r="60" spans="3:15" x14ac:dyDescent="0.2">
      <c r="C60">
        <v>41</v>
      </c>
      <c r="D60" s="7">
        <v>3681.6431139835645</v>
      </c>
      <c r="E60" s="7"/>
      <c r="F60" s="7">
        <f t="shared" si="3"/>
        <v>297.3018787584241</v>
      </c>
      <c r="G60" s="7"/>
      <c r="H60" s="7"/>
      <c r="I60" s="7"/>
      <c r="J60" s="7">
        <v>1218.8568860164346</v>
      </c>
      <c r="K60" s="7"/>
      <c r="L60" s="7">
        <f t="shared" si="4"/>
        <v>78.9481219061622</v>
      </c>
      <c r="M60" s="7"/>
      <c r="N60" s="7"/>
      <c r="O60" s="7"/>
    </row>
    <row r="61" spans="3:15" x14ac:dyDescent="0.2">
      <c r="C61">
        <v>42</v>
      </c>
      <c r="D61" s="7">
        <v>3688.4966306191027</v>
      </c>
      <c r="E61" s="7"/>
      <c r="F61" s="7">
        <f t="shared" si="3"/>
        <v>297.85531734787037</v>
      </c>
      <c r="G61" s="7"/>
      <c r="H61" s="7"/>
      <c r="I61" s="7"/>
      <c r="J61" s="7">
        <v>1509.0033693808973</v>
      </c>
      <c r="K61" s="7"/>
      <c r="L61" s="7">
        <f t="shared" si="4"/>
        <v>97.741566979247679</v>
      </c>
      <c r="M61" s="7"/>
      <c r="N61" s="7"/>
      <c r="O61" s="7"/>
    </row>
    <row r="62" spans="3:15" x14ac:dyDescent="0.2">
      <c r="C62">
        <v>43</v>
      </c>
      <c r="D62" s="7">
        <v>3695.3204984701524</v>
      </c>
      <c r="E62" s="7"/>
      <c r="F62" s="7">
        <f t="shared" si="3"/>
        <v>298.40636172390197</v>
      </c>
      <c r="G62" s="7"/>
      <c r="H62" s="7"/>
      <c r="I62" s="7"/>
      <c r="J62" s="7">
        <v>1799.1795015298476</v>
      </c>
      <c r="K62" s="7"/>
      <c r="L62" s="7">
        <f t="shared" si="4"/>
        <v>116.53693247127565</v>
      </c>
      <c r="M62" s="7"/>
      <c r="N62" s="7"/>
      <c r="O62" s="7"/>
    </row>
    <row r="63" spans="3:15" x14ac:dyDescent="0.2">
      <c r="C63">
        <v>44</v>
      </c>
      <c r="D63" s="7">
        <v>3702.11401085228</v>
      </c>
      <c r="E63" s="7"/>
      <c r="F63" s="7">
        <f t="shared" si="3"/>
        <v>298.95495481998563</v>
      </c>
      <c r="G63" s="7"/>
      <c r="H63" s="7"/>
      <c r="I63" s="7"/>
      <c r="J63" s="7">
        <v>1940.8859891477191</v>
      </c>
      <c r="K63" s="7"/>
      <c r="L63" s="7">
        <f t="shared" si="4"/>
        <v>125.71558271947134</v>
      </c>
      <c r="M63" s="7"/>
      <c r="N63" s="7"/>
      <c r="O63" s="7"/>
    </row>
    <row r="64" spans="3:15" x14ac:dyDescent="0.2">
      <c r="C64">
        <v>45</v>
      </c>
      <c r="D64" s="7">
        <v>3708.8766154646305</v>
      </c>
      <c r="E64" s="7"/>
      <c r="F64" s="7">
        <f t="shared" si="3"/>
        <v>299.50105203644739</v>
      </c>
      <c r="G64" s="7"/>
      <c r="H64" s="7"/>
      <c r="I64" s="7"/>
      <c r="J64" s="7">
        <v>2379.6233845353686</v>
      </c>
      <c r="K64" s="7"/>
      <c r="L64" s="7">
        <f t="shared" si="4"/>
        <v>154.13359780659223</v>
      </c>
      <c r="M64" s="7"/>
      <c r="N64" s="7"/>
      <c r="O64" s="7"/>
    </row>
    <row r="65" spans="3:15" x14ac:dyDescent="0.2">
      <c r="C65">
        <v>46</v>
      </c>
      <c r="D65" s="7">
        <v>3715.6078396013249</v>
      </c>
      <c r="E65" s="7"/>
      <c r="F65" s="7">
        <f t="shared" si="3"/>
        <v>300.04461520110681</v>
      </c>
      <c r="G65" s="7"/>
      <c r="H65" s="7"/>
      <c r="I65" s="7"/>
      <c r="J65" s="7">
        <v>1630.3921603986751</v>
      </c>
      <c r="K65" s="7"/>
      <c r="L65" s="7">
        <f t="shared" si="4"/>
        <v>105.6041939876034</v>
      </c>
      <c r="M65" s="7"/>
      <c r="N65" s="7"/>
      <c r="O65" s="7"/>
    </row>
    <row r="66" spans="3:15" x14ac:dyDescent="0.2">
      <c r="C66">
        <v>47</v>
      </c>
      <c r="D66" s="7">
        <v>3714.286624752865</v>
      </c>
      <c r="E66" s="7"/>
      <c r="F66" s="7">
        <f t="shared" si="3"/>
        <v>299.93792380149807</v>
      </c>
      <c r="G66" s="7"/>
      <c r="H66" s="7"/>
      <c r="I66" s="7"/>
      <c r="J66" s="7">
        <v>889.21337524713317</v>
      </c>
      <c r="K66" s="7"/>
      <c r="L66" s="7">
        <f t="shared" si="4"/>
        <v>57.596364885002629</v>
      </c>
      <c r="M66" s="7"/>
      <c r="N66" s="7"/>
      <c r="O66" s="7"/>
    </row>
    <row r="67" spans="3:15" x14ac:dyDescent="0.2">
      <c r="C67">
        <v>48</v>
      </c>
      <c r="D67" s="7">
        <v>3707.1295380559018</v>
      </c>
      <c r="E67" s="7"/>
      <c r="F67" s="7">
        <f t="shared" si="3"/>
        <v>299.35997117122758</v>
      </c>
      <c r="G67" s="7"/>
      <c r="H67" s="7"/>
      <c r="I67" s="7"/>
      <c r="J67" s="7">
        <v>153.87046194409731</v>
      </c>
      <c r="K67" s="7"/>
      <c r="L67" s="7">
        <f t="shared" si="4"/>
        <v>9.9665384235736187</v>
      </c>
      <c r="M67" s="7"/>
      <c r="N67" s="7"/>
      <c r="O67" s="7"/>
    </row>
    <row r="68" spans="3:15" x14ac:dyDescent="0.2">
      <c r="C68">
        <v>49</v>
      </c>
      <c r="D68" s="7">
        <v>2524.5</v>
      </c>
      <c r="E68" s="7"/>
      <c r="F68" s="7">
        <f t="shared" si="3"/>
        <v>203.85968158482189</v>
      </c>
      <c r="G68" s="7"/>
      <c r="H68" s="7"/>
      <c r="I68" s="7"/>
      <c r="J68" s="7">
        <v>0</v>
      </c>
      <c r="K68" s="7"/>
      <c r="L68" s="7">
        <f t="shared" si="4"/>
        <v>0</v>
      </c>
      <c r="M68" s="7"/>
      <c r="N68" s="7"/>
      <c r="O68" s="7"/>
    </row>
    <row r="69" spans="3:15" x14ac:dyDescent="0.2">
      <c r="C69">
        <v>50</v>
      </c>
      <c r="D69" s="7">
        <v>2376</v>
      </c>
      <c r="E69" s="7"/>
      <c r="F69" s="7">
        <f t="shared" si="3"/>
        <v>191.86793560924414</v>
      </c>
      <c r="G69" s="7"/>
      <c r="H69" s="7"/>
      <c r="I69" s="7"/>
      <c r="J69" s="7">
        <v>0</v>
      </c>
      <c r="K69" s="7"/>
      <c r="L69" s="7">
        <f t="shared" si="4"/>
        <v>0</v>
      </c>
      <c r="M69" s="7"/>
      <c r="N69" s="7"/>
      <c r="O69" s="7"/>
    </row>
    <row r="70" spans="3:15" x14ac:dyDescent="0.2">
      <c r="C70">
        <v>51</v>
      </c>
      <c r="D70" s="7">
        <v>2524.5</v>
      </c>
      <c r="E70" s="7"/>
      <c r="F70" s="7">
        <f t="shared" si="3"/>
        <v>203.85968158482189</v>
      </c>
      <c r="G70" s="7"/>
      <c r="H70" s="7"/>
      <c r="I70" s="7"/>
      <c r="J70" s="7">
        <v>0</v>
      </c>
      <c r="K70" s="7"/>
      <c r="L70" s="7">
        <f t="shared" si="4"/>
        <v>0</v>
      </c>
      <c r="M70" s="7"/>
      <c r="N70" s="7"/>
      <c r="O70" s="7"/>
    </row>
    <row r="71" spans="3:15" x14ac:dyDescent="0.2">
      <c r="C71">
        <v>52</v>
      </c>
      <c r="D71" s="7">
        <v>2673</v>
      </c>
      <c r="E71" s="7"/>
      <c r="F71" s="7">
        <f t="shared" si="3"/>
        <v>215.85142756039966</v>
      </c>
      <c r="G71" s="7"/>
      <c r="H71" s="7"/>
      <c r="I71" s="7"/>
      <c r="J71" s="7">
        <v>0</v>
      </c>
      <c r="K71" s="7"/>
      <c r="L71" s="7">
        <f t="shared" si="4"/>
        <v>0</v>
      </c>
      <c r="M71" s="7"/>
      <c r="N71" s="7"/>
      <c r="O71" s="7"/>
    </row>
    <row r="72" spans="3:15" x14ac:dyDescent="0.2">
      <c r="C72">
        <v>53</v>
      </c>
      <c r="D72" s="7">
        <v>2992.8461538461534</v>
      </c>
      <c r="E72" s="7"/>
      <c r="F72" s="7">
        <f t="shared" si="3"/>
        <v>241.67980350779786</v>
      </c>
      <c r="G72" s="7"/>
      <c r="H72" s="7"/>
      <c r="I72" s="7"/>
      <c r="J72" s="7">
        <v>0</v>
      </c>
      <c r="K72" s="7"/>
      <c r="L72" s="7">
        <f t="shared" si="4"/>
        <v>0</v>
      </c>
      <c r="M72" s="7"/>
      <c r="N72" s="7"/>
      <c r="O72" s="7"/>
    </row>
    <row r="73" spans="3:15" x14ac:dyDescent="0.2">
      <c r="C73">
        <v>54</v>
      </c>
      <c r="D73" s="7">
        <v>3198.4615384615386</v>
      </c>
      <c r="E73" s="7"/>
      <c r="F73" s="7">
        <f t="shared" si="3"/>
        <v>258.28375947398251</v>
      </c>
      <c r="G73" s="7"/>
      <c r="H73" s="7"/>
      <c r="I73" s="7"/>
      <c r="J73" s="7">
        <v>0</v>
      </c>
      <c r="K73" s="7"/>
      <c r="L73" s="7">
        <f t="shared" si="4"/>
        <v>0</v>
      </c>
      <c r="M73" s="7"/>
      <c r="N73" s="7"/>
      <c r="O73" s="7"/>
    </row>
    <row r="74" spans="3:15" x14ac:dyDescent="0.2">
      <c r="C74">
        <v>55</v>
      </c>
      <c r="D74" s="7">
        <v>3404.0769230769229</v>
      </c>
      <c r="E74" s="7"/>
      <c r="F74" s="7">
        <f t="shared" si="3"/>
        <v>274.88771544016709</v>
      </c>
      <c r="G74" s="7"/>
      <c r="H74" s="7"/>
      <c r="I74" s="7"/>
      <c r="J74" s="7">
        <v>0</v>
      </c>
      <c r="K74" s="7"/>
      <c r="L74" s="7">
        <f t="shared" si="4"/>
        <v>0</v>
      </c>
      <c r="M74" s="7"/>
      <c r="N74" s="7"/>
      <c r="O74" s="7"/>
    </row>
    <row r="75" spans="3:15" x14ac:dyDescent="0.2">
      <c r="C75">
        <v>56</v>
      </c>
      <c r="D75" s="7">
        <v>3609.6923076923063</v>
      </c>
      <c r="E75" s="7"/>
      <c r="F75" s="7">
        <f t="shared" si="3"/>
        <v>291.49167140635154</v>
      </c>
      <c r="G75" s="7"/>
      <c r="H75" s="7"/>
      <c r="I75" s="7"/>
      <c r="J75" s="7">
        <v>0</v>
      </c>
      <c r="K75" s="7"/>
      <c r="L75" s="7">
        <f t="shared" si="4"/>
        <v>0</v>
      </c>
      <c r="M75" s="7"/>
      <c r="N75" s="7"/>
      <c r="O75" s="7"/>
    </row>
    <row r="76" spans="3:15" x14ac:dyDescent="0.2">
      <c r="C76">
        <v>57</v>
      </c>
      <c r="D76" s="7">
        <v>3683.1396361592797</v>
      </c>
      <c r="E76" s="7"/>
      <c r="F76" s="7">
        <f t="shared" si="3"/>
        <v>297.42272666265302</v>
      </c>
      <c r="G76" s="7"/>
      <c r="H76" s="7"/>
      <c r="I76" s="7"/>
      <c r="J76" s="7">
        <v>132.16805614841178</v>
      </c>
      <c r="K76" s="7"/>
      <c r="L76" s="7">
        <f t="shared" si="4"/>
        <v>8.5608244319871769</v>
      </c>
      <c r="M76" s="7"/>
      <c r="N76" s="7"/>
      <c r="O76" s="7"/>
    </row>
    <row r="77" spans="3:15" x14ac:dyDescent="0.2">
      <c r="C77">
        <v>58</v>
      </c>
      <c r="D77" s="7">
        <v>3676.153744205214</v>
      </c>
      <c r="E77" s="7"/>
      <c r="F77" s="7">
        <f t="shared" si="3"/>
        <v>296.85859843554198</v>
      </c>
      <c r="G77" s="7"/>
      <c r="H77" s="7"/>
      <c r="I77" s="7"/>
      <c r="J77" s="7">
        <v>344.7693327178622</v>
      </c>
      <c r="K77" s="7"/>
      <c r="L77" s="7">
        <f t="shared" si="4"/>
        <v>22.331490777292924</v>
      </c>
      <c r="M77" s="7"/>
      <c r="N77" s="7"/>
      <c r="O77" s="7"/>
    </row>
    <row r="78" spans="3:15" x14ac:dyDescent="0.2">
      <c r="C78">
        <v>59</v>
      </c>
      <c r="D78" s="7">
        <v>3669.2028020050552</v>
      </c>
      <c r="E78" s="7"/>
      <c r="F78" s="7">
        <f t="shared" si="3"/>
        <v>296.29729248836873</v>
      </c>
      <c r="G78" s="7"/>
      <c r="H78" s="7"/>
      <c r="I78" s="7"/>
      <c r="J78" s="7">
        <v>557.33565953340576</v>
      </c>
      <c r="K78" s="7"/>
      <c r="L78" s="7">
        <f t="shared" si="4"/>
        <v>36.099893347857204</v>
      </c>
      <c r="M78" s="7"/>
      <c r="N78" s="7"/>
      <c r="O78" s="7"/>
    </row>
    <row r="79" spans="3:15" x14ac:dyDescent="0.2">
      <c r="C79">
        <v>60</v>
      </c>
      <c r="D79" s="7">
        <v>3662.2866932522206</v>
      </c>
      <c r="E79" s="7"/>
      <c r="F79" s="7">
        <f t="shared" si="3"/>
        <v>295.73879942908616</v>
      </c>
      <c r="G79" s="7"/>
      <c r="H79" s="7"/>
      <c r="I79" s="7"/>
      <c r="J79" s="7">
        <v>769.8671529016251</v>
      </c>
      <c r="K79" s="7"/>
      <c r="L79" s="7">
        <f t="shared" si="4"/>
        <v>49.866039677120867</v>
      </c>
      <c r="M79" s="7"/>
      <c r="N79" s="7"/>
      <c r="O79" s="7"/>
    </row>
    <row r="80" spans="3:15" x14ac:dyDescent="0.2">
      <c r="C80">
        <v>61</v>
      </c>
      <c r="D80" s="7">
        <v>3655.4053019532212</v>
      </c>
      <c r="E80" s="7"/>
      <c r="F80" s="7">
        <f t="shared" si="3"/>
        <v>295.18310989093021</v>
      </c>
      <c r="G80" s="7"/>
      <c r="H80" s="7"/>
      <c r="I80" s="7"/>
      <c r="J80" s="7">
        <v>982.36392881600841</v>
      </c>
      <c r="K80" s="7"/>
      <c r="L80" s="7">
        <f t="shared" si="4"/>
        <v>63.629937278244945</v>
      </c>
      <c r="M80" s="7"/>
      <c r="N80" s="7"/>
      <c r="O80" s="7"/>
    </row>
    <row r="81" spans="3:15" x14ac:dyDescent="0.2">
      <c r="C81">
        <v>62</v>
      </c>
      <c r="D81" s="7">
        <v>3648.5585124269451</v>
      </c>
      <c r="E81" s="7"/>
      <c r="F81" s="7">
        <f t="shared" si="3"/>
        <v>294.63021453236223</v>
      </c>
      <c r="G81" s="7"/>
      <c r="H81" s="7"/>
      <c r="I81" s="7"/>
      <c r="J81" s="7">
        <v>1194.8261029576702</v>
      </c>
      <c r="K81" s="7"/>
      <c r="L81" s="7">
        <f t="shared" si="4"/>
        <v>77.391593644157297</v>
      </c>
      <c r="M81" s="7"/>
      <c r="N81" s="7"/>
      <c r="O81" s="7"/>
    </row>
    <row r="82" spans="3:15" x14ac:dyDescent="0.2">
      <c r="C82">
        <v>63</v>
      </c>
      <c r="D82" s="7">
        <v>3641.7462093039635</v>
      </c>
      <c r="E82" s="7"/>
      <c r="F82" s="7">
        <f t="shared" si="3"/>
        <v>294.08010403701252</v>
      </c>
      <c r="G82" s="7"/>
      <c r="H82" s="7"/>
      <c r="I82" s="7"/>
      <c r="J82" s="7">
        <v>1407.2537906960365</v>
      </c>
      <c r="K82" s="7"/>
      <c r="L82" s="7">
        <f t="shared" si="4"/>
        <v>91.151016247597042</v>
      </c>
      <c r="M82" s="7"/>
      <c r="N82" s="7"/>
      <c r="O82" s="7"/>
    </row>
    <row r="83" spans="3:15" x14ac:dyDescent="0.2">
      <c r="C83">
        <v>64</v>
      </c>
      <c r="D83" s="7">
        <v>3640.8210571307786</v>
      </c>
      <c r="E83" s="7"/>
      <c r="F83" s="7">
        <f t="shared" si="3"/>
        <v>294.00539568785706</v>
      </c>
      <c r="G83" s="7"/>
      <c r="H83" s="7"/>
      <c r="I83" s="7"/>
      <c r="J83" s="7">
        <v>1259.6789428692205</v>
      </c>
      <c r="K83" s="7"/>
      <c r="L83" s="7">
        <f t="shared" si="4"/>
        <v>81.592259013519509</v>
      </c>
      <c r="M83" s="7"/>
      <c r="N83" s="7"/>
      <c r="O83" s="7"/>
    </row>
    <row r="84" spans="3:15" x14ac:dyDescent="0.2">
      <c r="C84">
        <v>65</v>
      </c>
      <c r="D84" s="7">
        <v>3647.9123298721029</v>
      </c>
      <c r="E84" s="7"/>
      <c r="F84" s="7">
        <f t="shared" si="3"/>
        <v>294.57803367679645</v>
      </c>
      <c r="G84" s="7"/>
      <c r="H84" s="7"/>
      <c r="I84" s="7"/>
      <c r="J84" s="7">
        <v>1519.8876701278973</v>
      </c>
      <c r="K84" s="7"/>
      <c r="L84" s="7">
        <f t="shared" si="4"/>
        <v>98.446567797716128</v>
      </c>
      <c r="M84" s="7"/>
      <c r="N84" s="7"/>
      <c r="O84" s="7"/>
    </row>
    <row r="85" spans="3:15" x14ac:dyDescent="0.2">
      <c r="C85">
        <v>66</v>
      </c>
      <c r="D85" s="7">
        <v>3654.9731850360067</v>
      </c>
      <c r="E85" s="7"/>
      <c r="F85" s="7">
        <f t="shared" ref="F85:F148" si="5">D85*(1-($C$2/($D$8-$D$6)*LN($D$8/$D$6)))</f>
        <v>295.14821537037142</v>
      </c>
      <c r="G85" s="7"/>
      <c r="H85" s="7"/>
      <c r="I85" s="7"/>
      <c r="J85" s="7">
        <v>1780.1268149639936</v>
      </c>
      <c r="K85" s="7"/>
      <c r="L85" s="7">
        <f t="shared" ref="L85:L148" si="6">J85*(1-$C$2/($D$10-$D$9)*LN($D$10/$D$9))</f>
        <v>115.30284679731518</v>
      </c>
      <c r="M85" s="7"/>
      <c r="N85" s="7"/>
      <c r="O85" s="7"/>
    </row>
    <row r="86" spans="3:15" x14ac:dyDescent="0.2">
      <c r="C86">
        <v>67</v>
      </c>
      <c r="D86" s="7">
        <v>3662.0028147799981</v>
      </c>
      <c r="E86" s="7"/>
      <c r="F86" s="7">
        <f t="shared" si="5"/>
        <v>295.7158755332826</v>
      </c>
      <c r="G86" s="7"/>
      <c r="H86" s="7"/>
      <c r="I86" s="7"/>
      <c r="J86" s="7">
        <v>2277.997185220001</v>
      </c>
      <c r="K86" s="7"/>
      <c r="L86" s="7">
        <f t="shared" si="6"/>
        <v>147.55103863622759</v>
      </c>
      <c r="M86" s="7"/>
      <c r="N86" s="7"/>
      <c r="O86" s="7"/>
    </row>
    <row r="87" spans="3:15" x14ac:dyDescent="0.2">
      <c r="C87">
        <v>68</v>
      </c>
      <c r="D87" s="7">
        <v>3669.000192148957</v>
      </c>
      <c r="E87" s="7"/>
      <c r="F87" s="7">
        <f t="shared" si="5"/>
        <v>296.28093123633857</v>
      </c>
      <c r="G87" s="7"/>
      <c r="H87" s="7"/>
      <c r="I87" s="7"/>
      <c r="J87" s="7">
        <v>2270.9998078510421</v>
      </c>
      <c r="K87" s="7"/>
      <c r="L87" s="7">
        <f t="shared" si="6"/>
        <v>147.09780265103043</v>
      </c>
      <c r="M87" s="7"/>
      <c r="N87" s="7"/>
      <c r="O87" s="7"/>
    </row>
    <row r="88" spans="3:15" x14ac:dyDescent="0.2">
      <c r="C88">
        <v>69</v>
      </c>
      <c r="D88" s="7">
        <v>3675.9650911822901</v>
      </c>
      <c r="E88" s="7"/>
      <c r="F88" s="7">
        <f t="shared" si="5"/>
        <v>296.84336423265694</v>
      </c>
      <c r="G88" s="7"/>
      <c r="H88" s="7"/>
      <c r="I88" s="7"/>
      <c r="J88" s="7">
        <v>2561.0349088177099</v>
      </c>
      <c r="K88" s="7"/>
      <c r="L88" s="7">
        <f t="shared" si="6"/>
        <v>165.88403323386675</v>
      </c>
      <c r="M88" s="7"/>
      <c r="N88" s="7"/>
      <c r="O88" s="7"/>
    </row>
    <row r="89" spans="3:15" x14ac:dyDescent="0.2">
      <c r="C89">
        <v>70</v>
      </c>
      <c r="D89" s="7">
        <v>3682.8976126204384</v>
      </c>
      <c r="E89" s="7"/>
      <c r="F89" s="7">
        <f t="shared" si="5"/>
        <v>297.40318265727996</v>
      </c>
      <c r="G89" s="7"/>
      <c r="H89" s="7"/>
      <c r="I89" s="7"/>
      <c r="J89" s="7">
        <v>1781.9023873795618</v>
      </c>
      <c r="K89" s="7"/>
      <c r="L89" s="7">
        <f t="shared" si="6"/>
        <v>115.41785464534534</v>
      </c>
      <c r="M89" s="7"/>
      <c r="N89" s="7"/>
      <c r="O89" s="7"/>
    </row>
    <row r="90" spans="3:15" x14ac:dyDescent="0.2">
      <c r="C90">
        <v>71</v>
      </c>
      <c r="D90" s="7">
        <v>3681.7798339898204</v>
      </c>
      <c r="E90" s="7"/>
      <c r="F90" s="7">
        <f t="shared" si="5"/>
        <v>297.31291924047662</v>
      </c>
      <c r="G90" s="7"/>
      <c r="H90" s="7"/>
      <c r="I90" s="7"/>
      <c r="J90" s="7">
        <v>1010.8201660101799</v>
      </c>
      <c r="K90" s="7"/>
      <c r="L90" s="7">
        <f t="shared" si="6"/>
        <v>65.473112230751909</v>
      </c>
      <c r="M90" s="7"/>
      <c r="N90" s="7"/>
      <c r="O90" s="7"/>
    </row>
    <row r="91" spans="3:15" x14ac:dyDescent="0.2">
      <c r="C91">
        <v>72</v>
      </c>
      <c r="D91" s="7">
        <v>3674.8423095894232</v>
      </c>
      <c r="E91" s="7"/>
      <c r="F91" s="7">
        <f t="shared" si="5"/>
        <v>296.75269681415381</v>
      </c>
      <c r="G91" s="7"/>
      <c r="H91" s="7"/>
      <c r="I91" s="7"/>
      <c r="J91" s="7">
        <v>245.55769041057647</v>
      </c>
      <c r="K91" s="7"/>
      <c r="L91" s="7">
        <f t="shared" si="6"/>
        <v>15.905327934676352</v>
      </c>
      <c r="M91" s="7"/>
      <c r="N91" s="7"/>
      <c r="O91" s="7"/>
    </row>
    <row r="92" spans="3:15" x14ac:dyDescent="0.2">
      <c r="C92">
        <v>73</v>
      </c>
      <c r="D92" s="7">
        <v>2524.5</v>
      </c>
      <c r="E92" s="7"/>
      <c r="F92" s="7">
        <f t="shared" si="5"/>
        <v>203.85968158482189</v>
      </c>
      <c r="G92" s="7"/>
      <c r="H92" s="7"/>
      <c r="I92" s="7"/>
      <c r="J92" s="7">
        <v>0</v>
      </c>
      <c r="K92" s="7"/>
      <c r="L92" s="7">
        <f t="shared" si="6"/>
        <v>0</v>
      </c>
      <c r="M92" s="7"/>
      <c r="N92" s="7"/>
      <c r="O92" s="7"/>
    </row>
    <row r="93" spans="3:15" x14ac:dyDescent="0.2">
      <c r="C93">
        <v>74</v>
      </c>
      <c r="D93" s="7">
        <v>2376</v>
      </c>
      <c r="E93" s="7"/>
      <c r="F93" s="7">
        <f t="shared" si="5"/>
        <v>191.86793560924414</v>
      </c>
      <c r="G93" s="7"/>
      <c r="H93" s="7"/>
      <c r="I93" s="7"/>
      <c r="J93" s="7">
        <v>0</v>
      </c>
      <c r="K93" s="7"/>
      <c r="L93" s="7">
        <f t="shared" si="6"/>
        <v>0</v>
      </c>
      <c r="M93" s="7"/>
      <c r="N93" s="7"/>
      <c r="O93" s="7"/>
    </row>
    <row r="94" spans="3:15" x14ac:dyDescent="0.2">
      <c r="C94">
        <v>75</v>
      </c>
      <c r="D94" s="7">
        <v>2524.5</v>
      </c>
      <c r="E94" s="7"/>
      <c r="F94" s="7">
        <f t="shared" si="5"/>
        <v>203.85968158482189</v>
      </c>
      <c r="G94" s="7"/>
      <c r="H94" s="7"/>
      <c r="I94" s="7"/>
      <c r="J94" s="7">
        <v>0</v>
      </c>
      <c r="K94" s="7"/>
      <c r="L94" s="7">
        <f t="shared" si="6"/>
        <v>0</v>
      </c>
      <c r="M94" s="7"/>
      <c r="N94" s="7"/>
      <c r="O94" s="7"/>
    </row>
    <row r="95" spans="3:15" x14ac:dyDescent="0.2">
      <c r="C95">
        <v>76</v>
      </c>
      <c r="D95" s="7">
        <v>2673</v>
      </c>
      <c r="E95" s="7"/>
      <c r="F95" s="7">
        <f t="shared" si="5"/>
        <v>215.85142756039966</v>
      </c>
      <c r="G95" s="7"/>
      <c r="H95" s="7"/>
      <c r="I95" s="7"/>
      <c r="J95" s="7">
        <v>0</v>
      </c>
      <c r="K95" s="7"/>
      <c r="L95" s="7">
        <f t="shared" si="6"/>
        <v>0</v>
      </c>
      <c r="M95" s="7"/>
      <c r="N95" s="7"/>
      <c r="O95" s="7"/>
    </row>
    <row r="96" spans="3:15" x14ac:dyDescent="0.2">
      <c r="C96">
        <v>77</v>
      </c>
      <c r="D96" s="7">
        <v>2969.9999999999995</v>
      </c>
      <c r="E96" s="7"/>
      <c r="F96" s="7">
        <f t="shared" si="5"/>
        <v>239.83491951155514</v>
      </c>
      <c r="G96" s="7"/>
      <c r="H96" s="7"/>
      <c r="I96" s="7"/>
      <c r="J96" s="7">
        <v>0</v>
      </c>
      <c r="K96" s="7"/>
      <c r="L96" s="7">
        <f t="shared" si="6"/>
        <v>0</v>
      </c>
      <c r="M96" s="7"/>
      <c r="N96" s="7"/>
      <c r="O96" s="7"/>
    </row>
    <row r="97" spans="3:15" x14ac:dyDescent="0.2">
      <c r="C97">
        <v>78</v>
      </c>
      <c r="D97" s="7">
        <v>3167.9999999999995</v>
      </c>
      <c r="E97" s="7"/>
      <c r="F97" s="7">
        <f t="shared" si="5"/>
        <v>255.82391414565882</v>
      </c>
      <c r="G97" s="7"/>
      <c r="H97" s="7"/>
      <c r="I97" s="7"/>
      <c r="J97" s="7">
        <v>0</v>
      </c>
      <c r="K97" s="7"/>
      <c r="L97" s="7">
        <f t="shared" si="6"/>
        <v>0</v>
      </c>
      <c r="M97" s="7"/>
      <c r="N97" s="7"/>
      <c r="O97" s="7"/>
    </row>
    <row r="98" spans="3:15" x14ac:dyDescent="0.2">
      <c r="C98">
        <v>79</v>
      </c>
      <c r="D98" s="7">
        <v>3365.9999999999995</v>
      </c>
      <c r="E98" s="7"/>
      <c r="F98" s="7">
        <f t="shared" si="5"/>
        <v>271.81290877976249</v>
      </c>
      <c r="G98" s="7"/>
      <c r="H98" s="7"/>
      <c r="I98" s="7"/>
      <c r="J98" s="7">
        <v>0</v>
      </c>
      <c r="K98" s="7"/>
      <c r="L98" s="7">
        <f t="shared" si="6"/>
        <v>0</v>
      </c>
      <c r="M98" s="7"/>
      <c r="N98" s="7"/>
      <c r="O98" s="7"/>
    </row>
    <row r="99" spans="3:15" x14ac:dyDescent="0.2">
      <c r="C99">
        <v>80</v>
      </c>
      <c r="D99" s="7">
        <v>3563.9999999999995</v>
      </c>
      <c r="E99" s="7"/>
      <c r="F99" s="7">
        <f t="shared" si="5"/>
        <v>287.80190341386617</v>
      </c>
      <c r="G99" s="7"/>
      <c r="H99" s="7"/>
      <c r="I99" s="7"/>
      <c r="J99" s="7">
        <v>0</v>
      </c>
      <c r="K99" s="7"/>
      <c r="L99" s="7">
        <f t="shared" si="6"/>
        <v>0</v>
      </c>
      <c r="M99" s="7"/>
      <c r="N99" s="7"/>
      <c r="O99" s="7"/>
    </row>
    <row r="100" spans="3:15" x14ac:dyDescent="0.2">
      <c r="C100">
        <v>81</v>
      </c>
      <c r="D100" s="7">
        <v>3660.4575615750896</v>
      </c>
      <c r="E100" s="7"/>
      <c r="F100" s="7">
        <f t="shared" si="5"/>
        <v>295.59109247670881</v>
      </c>
      <c r="G100" s="7"/>
      <c r="H100" s="7"/>
      <c r="I100" s="7"/>
      <c r="J100" s="7">
        <v>101.54243842490951</v>
      </c>
      <c r="K100" s="7"/>
      <c r="L100" s="7">
        <f t="shared" si="6"/>
        <v>6.5771337877239775</v>
      </c>
      <c r="M100" s="7"/>
      <c r="N100" s="7"/>
      <c r="O100" s="7"/>
    </row>
    <row r="101" spans="3:15" x14ac:dyDescent="0.2">
      <c r="C101">
        <v>82</v>
      </c>
      <c r="D101" s="7">
        <v>3667.5166016643493</v>
      </c>
      <c r="E101" s="7"/>
      <c r="F101" s="7">
        <f t="shared" si="5"/>
        <v>296.16112759847192</v>
      </c>
      <c r="G101" s="7"/>
      <c r="H101" s="7"/>
      <c r="I101" s="7"/>
      <c r="J101" s="7">
        <v>292.48339833565024</v>
      </c>
      <c r="K101" s="7"/>
      <c r="L101" s="7">
        <f t="shared" si="6"/>
        <v>18.944812350200863</v>
      </c>
      <c r="M101" s="7"/>
      <c r="N101" s="7"/>
      <c r="O101" s="7"/>
    </row>
    <row r="102" spans="3:15" x14ac:dyDescent="0.2">
      <c r="C102">
        <v>83</v>
      </c>
      <c r="D102" s="7">
        <v>3674.550466381012</v>
      </c>
      <c r="E102" s="7"/>
      <c r="F102" s="7">
        <f t="shared" si="5"/>
        <v>296.72912974600592</v>
      </c>
      <c r="G102" s="7"/>
      <c r="H102" s="7"/>
      <c r="I102" s="7"/>
      <c r="J102" s="7">
        <v>483.44953361898797</v>
      </c>
      <c r="K102" s="7"/>
      <c r="L102" s="7">
        <f t="shared" si="6"/>
        <v>31.314121578597284</v>
      </c>
      <c r="M102" s="7"/>
      <c r="N102" s="7"/>
      <c r="O102" s="7"/>
    </row>
    <row r="103" spans="3:15" x14ac:dyDescent="0.2">
      <c r="C103">
        <v>84</v>
      </c>
      <c r="D103" s="7">
        <v>3681.5587377575075</v>
      </c>
      <c r="E103" s="7"/>
      <c r="F103" s="7">
        <f t="shared" si="5"/>
        <v>297.29506516738536</v>
      </c>
      <c r="G103" s="7"/>
      <c r="H103" s="7"/>
      <c r="I103" s="7"/>
      <c r="J103" s="7">
        <v>674.44126224249248</v>
      </c>
      <c r="K103" s="7"/>
      <c r="L103" s="7">
        <f t="shared" si="6"/>
        <v>43.685088545619671</v>
      </c>
      <c r="M103" s="7"/>
      <c r="N103" s="7"/>
      <c r="O103" s="7"/>
    </row>
    <row r="104" spans="3:15" x14ac:dyDescent="0.2">
      <c r="C104">
        <v>85</v>
      </c>
      <c r="D104" s="7">
        <v>3688.8938039329219</v>
      </c>
      <c r="E104" s="7"/>
      <c r="F104" s="7">
        <f t="shared" si="5"/>
        <v>297.88739008516058</v>
      </c>
      <c r="G104" s="7"/>
      <c r="H104" s="7"/>
      <c r="I104" s="7"/>
      <c r="J104" s="7">
        <v>865.10619606707724</v>
      </c>
      <c r="K104" s="7"/>
      <c r="L104" s="7">
        <f t="shared" si="6"/>
        <v>56.034888273141334</v>
      </c>
      <c r="M104" s="7"/>
      <c r="N104" s="7"/>
      <c r="O104" s="7"/>
    </row>
    <row r="105" spans="3:15" x14ac:dyDescent="0.2">
      <c r="C105">
        <v>86</v>
      </c>
      <c r="D105" s="7">
        <v>3696.730485580405</v>
      </c>
      <c r="E105" s="7"/>
      <c r="F105" s="7">
        <f t="shared" si="5"/>
        <v>298.52022170541704</v>
      </c>
      <c r="G105" s="7"/>
      <c r="H105" s="7"/>
      <c r="I105" s="7"/>
      <c r="J105" s="7">
        <v>1055.269514419595</v>
      </c>
      <c r="K105" s="7"/>
      <c r="L105" s="7">
        <f t="shared" si="6"/>
        <v>68.352197230095015</v>
      </c>
      <c r="M105" s="7"/>
      <c r="N105" s="7"/>
      <c r="O105" s="7"/>
    </row>
    <row r="106" spans="3:15" x14ac:dyDescent="0.2">
      <c r="C106">
        <v>87</v>
      </c>
      <c r="D106" s="7">
        <v>3704.5388448182921</v>
      </c>
      <c r="E106" s="7"/>
      <c r="F106" s="7">
        <f t="shared" si="5"/>
        <v>299.15076622034502</v>
      </c>
      <c r="G106" s="7"/>
      <c r="H106" s="7"/>
      <c r="I106" s="7"/>
      <c r="J106" s="7">
        <v>898.96115518170791</v>
      </c>
      <c r="K106" s="7"/>
      <c r="L106" s="7">
        <f t="shared" si="6"/>
        <v>58.2277506755891</v>
      </c>
      <c r="M106" s="7"/>
      <c r="N106" s="7"/>
      <c r="O106" s="7"/>
    </row>
    <row r="107" spans="3:15" x14ac:dyDescent="0.2">
      <c r="C107">
        <v>88</v>
      </c>
      <c r="D107" s="7">
        <v>3712.3191015755324</v>
      </c>
      <c r="E107" s="7"/>
      <c r="F107" s="7">
        <f t="shared" si="5"/>
        <v>299.77904138975646</v>
      </c>
      <c r="G107" s="7"/>
      <c r="H107" s="7"/>
      <c r="I107" s="7"/>
      <c r="J107" s="7">
        <v>1237.6808984244676</v>
      </c>
      <c r="K107" s="7"/>
      <c r="L107" s="7">
        <f t="shared" si="6"/>
        <v>80.167395836844548</v>
      </c>
      <c r="M107" s="7"/>
      <c r="N107" s="7"/>
      <c r="O107" s="7"/>
    </row>
    <row r="108" spans="3:15" x14ac:dyDescent="0.2">
      <c r="C108">
        <v>89</v>
      </c>
      <c r="D108" s="7">
        <v>3720.0706497209067</v>
      </c>
      <c r="E108" s="7"/>
      <c r="F108" s="7">
        <f t="shared" si="5"/>
        <v>300.40499826704121</v>
      </c>
      <c r="G108" s="7"/>
      <c r="H108" s="7"/>
      <c r="I108" s="7"/>
      <c r="J108" s="7">
        <v>1576.4293502790933</v>
      </c>
      <c r="K108" s="7"/>
      <c r="L108" s="7">
        <f t="shared" si="6"/>
        <v>102.10890051993177</v>
      </c>
      <c r="M108" s="7"/>
      <c r="N108" s="7"/>
      <c r="O108" s="7"/>
    </row>
    <row r="109" spans="3:15" x14ac:dyDescent="0.2">
      <c r="C109">
        <v>90</v>
      </c>
      <c r="D109" s="7">
        <v>3727.7926374092376</v>
      </c>
      <c r="E109" s="7"/>
      <c r="F109" s="7">
        <f t="shared" si="5"/>
        <v>301.02856806357323</v>
      </c>
      <c r="G109" s="7"/>
      <c r="H109" s="7"/>
      <c r="I109" s="7"/>
      <c r="J109" s="7">
        <v>1915.2073625907615</v>
      </c>
      <c r="K109" s="7"/>
      <c r="L109" s="7">
        <f t="shared" si="6"/>
        <v>124.05231990079275</v>
      </c>
      <c r="M109" s="7"/>
      <c r="N109" s="7"/>
      <c r="O109" s="7"/>
    </row>
    <row r="110" spans="3:15" x14ac:dyDescent="0.2">
      <c r="C110">
        <v>91</v>
      </c>
      <c r="D110" s="7">
        <v>3735.4845996903418</v>
      </c>
      <c r="E110" s="7"/>
      <c r="F110" s="7">
        <f t="shared" si="5"/>
        <v>301.64971323346361</v>
      </c>
      <c r="G110" s="7"/>
      <c r="H110" s="7"/>
      <c r="I110" s="7"/>
      <c r="J110" s="7">
        <v>1499.1404003096582</v>
      </c>
      <c r="K110" s="7"/>
      <c r="L110" s="7">
        <f t="shared" si="6"/>
        <v>97.102720127311031</v>
      </c>
      <c r="M110" s="7"/>
      <c r="N110" s="7"/>
      <c r="O110" s="7"/>
    </row>
    <row r="111" spans="3:15" x14ac:dyDescent="0.2">
      <c r="C111">
        <v>92</v>
      </c>
      <c r="D111" s="7">
        <v>3743.1475985891552</v>
      </c>
      <c r="E111" s="7"/>
      <c r="F111" s="7">
        <f t="shared" si="5"/>
        <v>302.26851953787911</v>
      </c>
      <c r="G111" s="7"/>
      <c r="H111" s="7"/>
      <c r="I111" s="7"/>
      <c r="J111" s="7">
        <v>1083.1024014108448</v>
      </c>
      <c r="K111" s="7"/>
      <c r="L111" s="7">
        <f t="shared" si="6"/>
        <v>70.154996377718646</v>
      </c>
      <c r="M111" s="7"/>
      <c r="N111" s="7"/>
      <c r="O111" s="7"/>
    </row>
    <row r="112" spans="3:15" x14ac:dyDescent="0.2">
      <c r="C112">
        <v>93</v>
      </c>
      <c r="D112" s="7">
        <v>3750.7830701716698</v>
      </c>
      <c r="E112" s="7"/>
      <c r="F112" s="7">
        <f t="shared" si="5"/>
        <v>302.88510294273607</v>
      </c>
      <c r="G112" s="7"/>
      <c r="H112" s="7"/>
      <c r="I112" s="7"/>
      <c r="J112" s="7">
        <v>667.09192982833019</v>
      </c>
      <c r="K112" s="7"/>
      <c r="L112" s="7">
        <f t="shared" si="6"/>
        <v>43.209055634767843</v>
      </c>
      <c r="M112" s="7"/>
      <c r="N112" s="7"/>
      <c r="O112" s="7"/>
    </row>
    <row r="113" spans="3:15" x14ac:dyDescent="0.2">
      <c r="C113">
        <v>94</v>
      </c>
      <c r="D113" s="7">
        <v>3758.3924417222652</v>
      </c>
      <c r="E113" s="7"/>
      <c r="F113" s="7">
        <f t="shared" si="5"/>
        <v>303.4995787048137</v>
      </c>
      <c r="G113" s="7"/>
      <c r="H113" s="7"/>
      <c r="I113" s="7"/>
      <c r="J113" s="7">
        <v>251.10755827773482</v>
      </c>
      <c r="K113" s="7"/>
      <c r="L113" s="7">
        <f t="shared" si="6"/>
        <v>16.264805450015757</v>
      </c>
      <c r="M113" s="7"/>
      <c r="N113" s="7"/>
      <c r="O113" s="7"/>
    </row>
    <row r="114" spans="3:15" x14ac:dyDescent="0.2">
      <c r="C114">
        <v>95</v>
      </c>
      <c r="D114" s="7">
        <v>3601.1250000000005</v>
      </c>
      <c r="E114" s="7"/>
      <c r="F114" s="7">
        <f t="shared" si="5"/>
        <v>290.79983990776066</v>
      </c>
      <c r="G114" s="7"/>
      <c r="H114" s="7"/>
      <c r="I114" s="7"/>
      <c r="J114" s="7">
        <v>0</v>
      </c>
      <c r="K114" s="7"/>
      <c r="L114" s="7">
        <f t="shared" si="6"/>
        <v>0</v>
      </c>
      <c r="M114" s="7"/>
      <c r="N114" s="7"/>
      <c r="O114" s="7"/>
    </row>
    <row r="115" spans="3:15" x14ac:dyDescent="0.2">
      <c r="C115">
        <v>96</v>
      </c>
      <c r="D115" s="7">
        <v>2969.9999999999995</v>
      </c>
      <c r="E115" s="7"/>
      <c r="F115" s="7">
        <f t="shared" si="5"/>
        <v>239.83491951155514</v>
      </c>
      <c r="G115" s="7"/>
      <c r="H115" s="7"/>
      <c r="I115" s="7"/>
      <c r="J115" s="7">
        <v>0</v>
      </c>
      <c r="K115" s="7"/>
      <c r="L115" s="7">
        <f t="shared" si="6"/>
        <v>0</v>
      </c>
      <c r="M115" s="7"/>
      <c r="N115" s="7"/>
      <c r="O115" s="7"/>
    </row>
    <row r="116" spans="3:15" x14ac:dyDescent="0.2">
      <c r="C116">
        <v>97</v>
      </c>
      <c r="D116" s="7">
        <v>2524.5</v>
      </c>
      <c r="E116" s="7"/>
      <c r="F116" s="7">
        <f t="shared" si="5"/>
        <v>203.85968158482189</v>
      </c>
      <c r="G116" s="7"/>
      <c r="H116" s="7"/>
      <c r="I116" s="7"/>
      <c r="J116" s="7">
        <v>0</v>
      </c>
      <c r="K116" s="7"/>
      <c r="L116" s="7">
        <f t="shared" si="6"/>
        <v>0</v>
      </c>
      <c r="M116" s="7"/>
      <c r="N116" s="7"/>
      <c r="O116" s="7"/>
    </row>
    <row r="117" spans="3:15" x14ac:dyDescent="0.2">
      <c r="C117">
        <v>98</v>
      </c>
      <c r="D117" s="7">
        <v>2376</v>
      </c>
      <c r="E117" s="7"/>
      <c r="F117" s="7">
        <f t="shared" si="5"/>
        <v>191.86793560924414</v>
      </c>
      <c r="G117" s="7"/>
      <c r="H117" s="7"/>
      <c r="I117" s="7"/>
      <c r="J117" s="7">
        <v>0</v>
      </c>
      <c r="K117" s="7"/>
      <c r="L117" s="7">
        <f t="shared" si="6"/>
        <v>0</v>
      </c>
      <c r="M117" s="7"/>
      <c r="N117" s="7"/>
      <c r="O117" s="7"/>
    </row>
    <row r="118" spans="3:15" x14ac:dyDescent="0.2">
      <c r="C118">
        <v>99</v>
      </c>
      <c r="D118" s="7">
        <v>2524.5</v>
      </c>
      <c r="E118" s="7"/>
      <c r="F118" s="7">
        <f t="shared" si="5"/>
        <v>203.85968158482189</v>
      </c>
      <c r="G118" s="7"/>
      <c r="H118" s="7"/>
      <c r="I118" s="7"/>
      <c r="J118" s="7">
        <v>0</v>
      </c>
      <c r="K118" s="7"/>
      <c r="L118" s="7">
        <f t="shared" si="6"/>
        <v>0</v>
      </c>
      <c r="M118" s="7"/>
      <c r="N118" s="7"/>
      <c r="O118" s="7"/>
    </row>
    <row r="119" spans="3:15" x14ac:dyDescent="0.2">
      <c r="C119">
        <v>100</v>
      </c>
      <c r="D119" s="7">
        <v>2673</v>
      </c>
      <c r="E119" s="7"/>
      <c r="F119" s="7">
        <f t="shared" si="5"/>
        <v>215.85142756039966</v>
      </c>
      <c r="G119" s="7"/>
      <c r="H119" s="7"/>
      <c r="I119" s="7"/>
      <c r="J119" s="7">
        <v>0</v>
      </c>
      <c r="K119" s="7"/>
      <c r="L119" s="7">
        <f t="shared" si="6"/>
        <v>0</v>
      </c>
      <c r="M119" s="7"/>
      <c r="N119" s="7"/>
      <c r="O119" s="7"/>
    </row>
    <row r="120" spans="3:15" x14ac:dyDescent="0.2">
      <c r="C120">
        <v>101</v>
      </c>
      <c r="D120" s="7">
        <v>2943</v>
      </c>
      <c r="E120" s="7"/>
      <c r="F120" s="7">
        <f t="shared" si="5"/>
        <v>237.65460206145011</v>
      </c>
      <c r="G120" s="7"/>
      <c r="H120" s="7"/>
      <c r="I120" s="7"/>
      <c r="J120" s="7">
        <v>0</v>
      </c>
      <c r="K120" s="7"/>
      <c r="L120" s="7">
        <f t="shared" si="6"/>
        <v>0</v>
      </c>
      <c r="M120" s="7"/>
      <c r="N120" s="7"/>
      <c r="O120" s="7"/>
    </row>
    <row r="121" spans="3:15" x14ac:dyDescent="0.2">
      <c r="C121">
        <v>102</v>
      </c>
      <c r="D121" s="7">
        <v>3131.9999999999995</v>
      </c>
      <c r="E121" s="7"/>
      <c r="F121" s="7">
        <f t="shared" si="5"/>
        <v>252.91682421218542</v>
      </c>
      <c r="G121" s="7"/>
      <c r="H121" s="7"/>
      <c r="I121" s="7"/>
      <c r="J121" s="7">
        <v>0</v>
      </c>
      <c r="K121" s="7"/>
      <c r="L121" s="7">
        <f t="shared" si="6"/>
        <v>0</v>
      </c>
      <c r="M121" s="7"/>
      <c r="N121" s="7"/>
      <c r="O121" s="7"/>
    </row>
    <row r="122" spans="3:15" x14ac:dyDescent="0.2">
      <c r="C122">
        <v>103</v>
      </c>
      <c r="D122" s="7">
        <v>3321</v>
      </c>
      <c r="E122" s="7"/>
      <c r="F122" s="7">
        <f t="shared" si="5"/>
        <v>268.17904636292076</v>
      </c>
      <c r="G122" s="7"/>
      <c r="H122" s="7"/>
      <c r="I122" s="7"/>
      <c r="J122" s="7">
        <v>0</v>
      </c>
      <c r="K122" s="7"/>
      <c r="L122" s="7">
        <f t="shared" si="6"/>
        <v>0</v>
      </c>
      <c r="M122" s="7"/>
      <c r="N122" s="7"/>
      <c r="O122" s="7"/>
    </row>
    <row r="123" spans="3:15" x14ac:dyDescent="0.2">
      <c r="C123">
        <v>104</v>
      </c>
      <c r="D123" s="7">
        <v>3510</v>
      </c>
      <c r="E123" s="7"/>
      <c r="F123" s="7">
        <f t="shared" si="5"/>
        <v>283.4412685136561</v>
      </c>
      <c r="G123" s="7"/>
      <c r="H123" s="7"/>
      <c r="I123" s="7"/>
      <c r="J123" s="7">
        <v>0</v>
      </c>
      <c r="K123" s="7"/>
      <c r="L123" s="7">
        <f t="shared" si="6"/>
        <v>0</v>
      </c>
      <c r="M123" s="7"/>
      <c r="N123" s="7"/>
      <c r="O123" s="7"/>
    </row>
    <row r="124" spans="3:15" x14ac:dyDescent="0.2">
      <c r="C124">
        <v>105</v>
      </c>
      <c r="D124" s="7">
        <v>3699</v>
      </c>
      <c r="E124" s="7"/>
      <c r="F124" s="7">
        <f t="shared" si="5"/>
        <v>298.70349066439144</v>
      </c>
      <c r="G124" s="7"/>
      <c r="H124" s="7"/>
      <c r="I124" s="7"/>
      <c r="J124" s="7">
        <v>0</v>
      </c>
      <c r="K124" s="7"/>
      <c r="L124" s="7">
        <f t="shared" si="6"/>
        <v>0</v>
      </c>
      <c r="M124" s="7"/>
      <c r="N124" s="7"/>
      <c r="O124" s="7"/>
    </row>
    <row r="125" spans="3:15" x14ac:dyDescent="0.2">
      <c r="C125">
        <v>106</v>
      </c>
      <c r="D125" s="7">
        <v>3754.8469061234605</v>
      </c>
      <c r="E125" s="7"/>
      <c r="F125" s="7">
        <f t="shared" si="5"/>
        <v>303.21326784792325</v>
      </c>
      <c r="G125" s="7"/>
      <c r="H125" s="7"/>
      <c r="I125" s="7"/>
      <c r="J125" s="7">
        <v>133.15309387653906</v>
      </c>
      <c r="K125" s="7"/>
      <c r="L125" s="7">
        <f t="shared" si="6"/>
        <v>8.6246275573044784</v>
      </c>
      <c r="M125" s="7"/>
      <c r="N125" s="7"/>
      <c r="O125" s="7"/>
    </row>
    <row r="126" spans="3:15" x14ac:dyDescent="0.2">
      <c r="C126">
        <v>107</v>
      </c>
      <c r="D126" s="7">
        <v>3762.5495769201107</v>
      </c>
      <c r="E126" s="7"/>
      <c r="F126" s="7">
        <f t="shared" si="5"/>
        <v>303.83527775719551</v>
      </c>
      <c r="G126" s="7"/>
      <c r="H126" s="7"/>
      <c r="I126" s="7"/>
      <c r="J126" s="7">
        <v>314.45042307988888</v>
      </c>
      <c r="K126" s="7"/>
      <c r="L126" s="7">
        <f t="shared" si="6"/>
        <v>20.36766631059638</v>
      </c>
      <c r="M126" s="7"/>
      <c r="N126" s="7"/>
      <c r="O126" s="7"/>
    </row>
    <row r="127" spans="3:15" x14ac:dyDescent="0.2">
      <c r="C127">
        <v>108</v>
      </c>
      <c r="D127" s="7">
        <v>3770.2260487678459</v>
      </c>
      <c r="E127" s="7"/>
      <c r="F127" s="7">
        <f t="shared" si="5"/>
        <v>304.45517203589395</v>
      </c>
      <c r="G127" s="7"/>
      <c r="H127" s="7"/>
      <c r="I127" s="7"/>
      <c r="J127" s="7">
        <v>495.7739512321541</v>
      </c>
      <c r="K127" s="7"/>
      <c r="L127" s="7">
        <f t="shared" si="6"/>
        <v>32.11240202916494</v>
      </c>
      <c r="M127" s="7"/>
      <c r="N127" s="7"/>
      <c r="O127" s="7"/>
    </row>
    <row r="128" spans="3:15" x14ac:dyDescent="0.2">
      <c r="C128">
        <v>109</v>
      </c>
      <c r="D128" s="7">
        <v>3777.8757868203161</v>
      </c>
      <c r="E128" s="7"/>
      <c r="F128" s="7">
        <f t="shared" si="5"/>
        <v>305.07290749383964</v>
      </c>
      <c r="G128" s="7"/>
      <c r="H128" s="7"/>
      <c r="I128" s="7"/>
      <c r="J128" s="7">
        <v>677.12421317968392</v>
      </c>
      <c r="K128" s="7"/>
      <c r="L128" s="7">
        <f t="shared" si="6"/>
        <v>43.858869356219927</v>
      </c>
      <c r="M128" s="7"/>
      <c r="N128" s="7"/>
      <c r="O128" s="7"/>
    </row>
    <row r="129" spans="3:15" x14ac:dyDescent="0.2">
      <c r="C129">
        <v>110</v>
      </c>
      <c r="D129" s="7">
        <v>3785.4983977696147</v>
      </c>
      <c r="E129" s="7"/>
      <c r="F129" s="7">
        <f t="shared" si="5"/>
        <v>305.68845237043655</v>
      </c>
      <c r="G129" s="7"/>
      <c r="H129" s="7"/>
      <c r="I129" s="7"/>
      <c r="J129" s="7">
        <v>584.64445937324217</v>
      </c>
      <c r="K129" s="7"/>
      <c r="L129" s="7">
        <f t="shared" si="6"/>
        <v>37.868746183330551</v>
      </c>
      <c r="M129" s="7"/>
      <c r="N129" s="7"/>
      <c r="O129" s="7"/>
    </row>
    <row r="130" spans="3:15" x14ac:dyDescent="0.2">
      <c r="C130">
        <v>111</v>
      </c>
      <c r="D130" s="7">
        <v>3793.0940434697459</v>
      </c>
      <c r="E130" s="7"/>
      <c r="F130" s="7">
        <f t="shared" si="5"/>
        <v>306.30181973579994</v>
      </c>
      <c r="G130" s="7"/>
      <c r="H130" s="7"/>
      <c r="I130" s="7"/>
      <c r="J130" s="7">
        <v>492.19167081596879</v>
      </c>
      <c r="K130" s="7"/>
      <c r="L130" s="7">
        <f t="shared" si="6"/>
        <v>31.880369610721321</v>
      </c>
      <c r="M130" s="7"/>
      <c r="N130" s="7"/>
      <c r="O130" s="7"/>
    </row>
    <row r="131" spans="3:15" x14ac:dyDescent="0.2">
      <c r="C131">
        <v>112</v>
      </c>
      <c r="D131" s="7">
        <v>3800.3983447254332</v>
      </c>
      <c r="E131" s="7"/>
      <c r="F131" s="7">
        <f t="shared" si="5"/>
        <v>306.89166030945177</v>
      </c>
      <c r="G131" s="7"/>
      <c r="H131" s="7"/>
      <c r="I131" s="7"/>
      <c r="J131" s="7">
        <v>400.0302267031384</v>
      </c>
      <c r="K131" s="7"/>
      <c r="L131" s="7">
        <f t="shared" si="6"/>
        <v>25.910864077838287</v>
      </c>
      <c r="M131" s="7"/>
      <c r="N131" s="7"/>
      <c r="O131" s="7"/>
    </row>
    <row r="132" spans="3:15" x14ac:dyDescent="0.2">
      <c r="C132">
        <v>113</v>
      </c>
      <c r="D132" s="7">
        <v>3805.2969294587338</v>
      </c>
      <c r="E132" s="7"/>
      <c r="F132" s="7">
        <f t="shared" si="5"/>
        <v>307.28723326407521</v>
      </c>
      <c r="G132" s="7"/>
      <c r="H132" s="7"/>
      <c r="I132" s="7"/>
      <c r="J132" s="7">
        <v>310.27449911269468</v>
      </c>
      <c r="K132" s="7"/>
      <c r="L132" s="7">
        <f t="shared" si="6"/>
        <v>20.097182254416165</v>
      </c>
      <c r="M132" s="7"/>
      <c r="N132" s="7"/>
      <c r="O132" s="7"/>
    </row>
    <row r="133" spans="3:15" x14ac:dyDescent="0.2">
      <c r="C133">
        <v>114</v>
      </c>
      <c r="D133" s="7">
        <v>3810.1744381586327</v>
      </c>
      <c r="E133" s="7"/>
      <c r="F133" s="7">
        <f t="shared" si="5"/>
        <v>307.68110427635037</v>
      </c>
      <c r="G133" s="7"/>
      <c r="H133" s="7"/>
      <c r="I133" s="7"/>
      <c r="J133" s="7">
        <v>220.53984755565307</v>
      </c>
      <c r="K133" s="7"/>
      <c r="L133" s="7">
        <f t="shared" si="6"/>
        <v>14.284865573426609</v>
      </c>
      <c r="M133" s="7"/>
      <c r="N133" s="7"/>
      <c r="O133" s="7"/>
    </row>
    <row r="134" spans="3:15" x14ac:dyDescent="0.2">
      <c r="C134">
        <v>115</v>
      </c>
      <c r="D134" s="7">
        <v>3815.0311494996517</v>
      </c>
      <c r="E134" s="7"/>
      <c r="F134" s="7">
        <f t="shared" si="5"/>
        <v>308.07329584994102</v>
      </c>
      <c r="G134" s="7"/>
      <c r="H134" s="7"/>
      <c r="I134" s="7"/>
      <c r="J134" s="7">
        <v>130.82599335749183</v>
      </c>
      <c r="K134" s="7"/>
      <c r="L134" s="7">
        <f t="shared" si="6"/>
        <v>8.4738959844894914</v>
      </c>
      <c r="M134" s="7"/>
      <c r="N134" s="7"/>
      <c r="O134" s="7"/>
    </row>
    <row r="135" spans="3:15" x14ac:dyDescent="0.2">
      <c r="C135">
        <v>116</v>
      </c>
      <c r="D135" s="7">
        <v>3819.8673402371337</v>
      </c>
      <c r="E135" s="7"/>
      <c r="F135" s="7">
        <f t="shared" si="5"/>
        <v>308.46383033353243</v>
      </c>
      <c r="G135" s="7"/>
      <c r="H135" s="7"/>
      <c r="I135" s="7"/>
      <c r="J135" s="7">
        <v>41.132659762866297</v>
      </c>
      <c r="K135" s="7"/>
      <c r="L135" s="7">
        <f t="shared" si="6"/>
        <v>2.6642555615341337</v>
      </c>
      <c r="M135" s="7"/>
      <c r="N135" s="7"/>
      <c r="O135" s="7"/>
    </row>
    <row r="136" spans="3:15" x14ac:dyDescent="0.2">
      <c r="C136">
        <v>117</v>
      </c>
      <c r="D136" s="7">
        <v>3824.6830921773121</v>
      </c>
      <c r="E136" s="7"/>
      <c r="F136" s="7">
        <f t="shared" si="5"/>
        <v>308.85271433318235</v>
      </c>
      <c r="G136" s="7"/>
      <c r="H136" s="7"/>
      <c r="I136" s="7"/>
      <c r="J136" s="7">
        <v>333.31690782268788</v>
      </c>
      <c r="K136" s="7"/>
      <c r="L136" s="7">
        <f t="shared" si="6"/>
        <v>21.58969127062533</v>
      </c>
      <c r="M136" s="7"/>
      <c r="N136" s="7"/>
      <c r="O136" s="7"/>
    </row>
    <row r="137" spans="3:15" x14ac:dyDescent="0.2">
      <c r="C137">
        <v>118</v>
      </c>
      <c r="D137" s="7">
        <v>3712.4999999999995</v>
      </c>
      <c r="E137" s="7"/>
      <c r="F137" s="7">
        <f t="shared" si="5"/>
        <v>299.79364938944394</v>
      </c>
      <c r="G137" s="7"/>
      <c r="H137" s="7"/>
      <c r="I137" s="7"/>
      <c r="J137" s="7">
        <v>0</v>
      </c>
      <c r="K137" s="7"/>
      <c r="L137" s="7">
        <f t="shared" si="6"/>
        <v>0</v>
      </c>
      <c r="M137" s="7"/>
      <c r="N137" s="7"/>
      <c r="O137" s="7"/>
    </row>
    <row r="138" spans="3:15" x14ac:dyDescent="0.2">
      <c r="C138">
        <v>119</v>
      </c>
      <c r="D138" s="7">
        <v>3267</v>
      </c>
      <c r="E138" s="7"/>
      <c r="F138" s="7">
        <f t="shared" si="5"/>
        <v>263.81841146271069</v>
      </c>
      <c r="G138" s="7"/>
      <c r="H138" s="7"/>
      <c r="I138" s="7"/>
      <c r="J138" s="7">
        <v>0</v>
      </c>
      <c r="K138" s="7"/>
      <c r="L138" s="7">
        <f t="shared" si="6"/>
        <v>0</v>
      </c>
      <c r="M138" s="7"/>
      <c r="N138" s="7"/>
      <c r="O138" s="7"/>
    </row>
    <row r="139" spans="3:15" x14ac:dyDescent="0.2">
      <c r="C139">
        <v>120</v>
      </c>
      <c r="D139" s="7">
        <v>2821.4999999999995</v>
      </c>
      <c r="E139" s="7"/>
      <c r="F139" s="7">
        <f t="shared" si="5"/>
        <v>227.84317353597737</v>
      </c>
      <c r="G139" s="7"/>
      <c r="H139" s="7"/>
      <c r="I139" s="7"/>
      <c r="J139" s="7">
        <v>0</v>
      </c>
      <c r="K139" s="7"/>
      <c r="L139" s="7">
        <f t="shared" si="6"/>
        <v>0</v>
      </c>
      <c r="M139" s="7"/>
      <c r="N139" s="7"/>
      <c r="O139" s="7"/>
    </row>
    <row r="140" spans="3:15" x14ac:dyDescent="0.2">
      <c r="C140">
        <v>121</v>
      </c>
      <c r="D140" s="7">
        <v>2376</v>
      </c>
      <c r="E140" s="7"/>
      <c r="F140" s="7">
        <f t="shared" si="5"/>
        <v>191.86793560924414</v>
      </c>
      <c r="G140" s="7"/>
      <c r="H140" s="7"/>
      <c r="I140" s="7"/>
      <c r="J140" s="7">
        <v>0</v>
      </c>
      <c r="K140" s="7"/>
      <c r="L140" s="7">
        <f t="shared" si="6"/>
        <v>0</v>
      </c>
      <c r="M140" s="7"/>
      <c r="N140" s="7"/>
      <c r="O140" s="7"/>
    </row>
    <row r="141" spans="3:15" x14ac:dyDescent="0.2">
      <c r="C141">
        <v>122</v>
      </c>
      <c r="D141" s="7">
        <v>2376</v>
      </c>
      <c r="E141" s="7"/>
      <c r="F141" s="7">
        <f t="shared" si="5"/>
        <v>191.86793560924414</v>
      </c>
      <c r="G141" s="7"/>
      <c r="H141" s="7"/>
      <c r="I141" s="7"/>
      <c r="J141" s="7">
        <v>0</v>
      </c>
      <c r="K141" s="7"/>
      <c r="L141" s="7">
        <f t="shared" si="6"/>
        <v>0</v>
      </c>
      <c r="M141" s="7"/>
      <c r="N141" s="7"/>
      <c r="O141" s="7"/>
    </row>
    <row r="142" spans="3:15" x14ac:dyDescent="0.2">
      <c r="C142">
        <v>123</v>
      </c>
      <c r="D142" s="7">
        <v>2545.7142857142858</v>
      </c>
      <c r="E142" s="7"/>
      <c r="F142" s="7">
        <f t="shared" si="5"/>
        <v>205.57278815276158</v>
      </c>
      <c r="G142" s="7"/>
      <c r="H142" s="7"/>
      <c r="I142" s="7"/>
      <c r="J142" s="7">
        <v>0</v>
      </c>
      <c r="K142" s="7"/>
      <c r="L142" s="7">
        <f t="shared" si="6"/>
        <v>0</v>
      </c>
      <c r="M142" s="7"/>
      <c r="N142" s="7"/>
      <c r="O142" s="7"/>
    </row>
    <row r="143" spans="3:15" x14ac:dyDescent="0.2">
      <c r="C143">
        <v>124</v>
      </c>
      <c r="D143" s="7">
        <v>2715.4285714285716</v>
      </c>
      <c r="E143" s="7"/>
      <c r="F143" s="7">
        <f t="shared" si="5"/>
        <v>219.27764069627901</v>
      </c>
      <c r="G143" s="7"/>
      <c r="H143" s="7"/>
      <c r="I143" s="7"/>
      <c r="J143" s="7">
        <v>0</v>
      </c>
      <c r="K143" s="7"/>
      <c r="L143" s="7">
        <f t="shared" si="6"/>
        <v>0</v>
      </c>
      <c r="M143" s="7"/>
      <c r="N143" s="7"/>
      <c r="O143" s="7"/>
    </row>
    <row r="144" spans="3:15" x14ac:dyDescent="0.2">
      <c r="C144">
        <v>125</v>
      </c>
      <c r="D144" s="7">
        <v>2885.1428571428573</v>
      </c>
      <c r="E144" s="7"/>
      <c r="F144" s="7">
        <f t="shared" si="5"/>
        <v>232.98249323979647</v>
      </c>
      <c r="G144" s="7"/>
      <c r="H144" s="7"/>
      <c r="I144" s="7"/>
      <c r="J144" s="7">
        <v>0</v>
      </c>
      <c r="K144" s="7"/>
      <c r="L144" s="7">
        <f t="shared" si="6"/>
        <v>0</v>
      </c>
      <c r="M144" s="7"/>
      <c r="N144" s="7"/>
      <c r="O144" s="7"/>
    </row>
    <row r="145" spans="3:15" x14ac:dyDescent="0.2">
      <c r="C145">
        <v>126</v>
      </c>
      <c r="D145" s="7">
        <v>3054.8571428571431</v>
      </c>
      <c r="E145" s="7"/>
      <c r="F145" s="7">
        <f t="shared" si="5"/>
        <v>246.6873457833139</v>
      </c>
      <c r="G145" s="7"/>
      <c r="H145" s="7"/>
      <c r="I145" s="7"/>
      <c r="J145" s="7">
        <v>0</v>
      </c>
      <c r="K145" s="7"/>
      <c r="L145" s="7">
        <f t="shared" si="6"/>
        <v>0</v>
      </c>
      <c r="M145" s="7"/>
      <c r="N145" s="7"/>
      <c r="O145" s="7"/>
    </row>
    <row r="146" spans="3:15" x14ac:dyDescent="0.2">
      <c r="C146">
        <v>127</v>
      </c>
      <c r="D146" s="7">
        <v>3224.5714285714284</v>
      </c>
      <c r="E146" s="7"/>
      <c r="F146" s="7">
        <f t="shared" si="5"/>
        <v>260.39219832683131</v>
      </c>
      <c r="G146" s="7"/>
      <c r="H146" s="7"/>
      <c r="I146" s="7"/>
      <c r="J146" s="7">
        <v>0</v>
      </c>
      <c r="K146" s="7"/>
      <c r="L146" s="7">
        <f t="shared" si="6"/>
        <v>0</v>
      </c>
      <c r="M146" s="7"/>
      <c r="N146" s="7"/>
      <c r="O146" s="7"/>
    </row>
    <row r="147" spans="3:15" x14ac:dyDescent="0.2">
      <c r="C147">
        <v>128</v>
      </c>
      <c r="D147" s="7">
        <v>3394.2857142857147</v>
      </c>
      <c r="E147" s="7"/>
      <c r="F147" s="7">
        <f t="shared" si="5"/>
        <v>274.09705087034877</v>
      </c>
      <c r="G147" s="7"/>
      <c r="H147" s="7"/>
      <c r="I147" s="7"/>
      <c r="J147" s="7">
        <v>0</v>
      </c>
      <c r="K147" s="7"/>
      <c r="L147" s="7">
        <f t="shared" si="6"/>
        <v>0</v>
      </c>
      <c r="M147" s="7"/>
      <c r="N147" s="7"/>
      <c r="O147" s="7"/>
    </row>
    <row r="148" spans="3:15" x14ac:dyDescent="0.2">
      <c r="C148">
        <v>129</v>
      </c>
      <c r="D148" s="7">
        <v>3564</v>
      </c>
      <c r="E148" s="7"/>
      <c r="F148" s="7">
        <f t="shared" si="5"/>
        <v>287.80190341386617</v>
      </c>
      <c r="G148" s="7"/>
      <c r="H148" s="7"/>
      <c r="I148" s="7"/>
      <c r="J148" s="7">
        <v>0</v>
      </c>
      <c r="K148" s="7"/>
      <c r="L148" s="7">
        <f t="shared" si="6"/>
        <v>0</v>
      </c>
      <c r="M148" s="7"/>
      <c r="N148" s="7"/>
      <c r="O148" s="7"/>
    </row>
    <row r="149" spans="3:15" x14ac:dyDescent="0.2">
      <c r="C149">
        <v>130</v>
      </c>
      <c r="D149" s="7">
        <v>3733.7142857142858</v>
      </c>
      <c r="E149" s="7"/>
      <c r="F149" s="7">
        <f t="shared" ref="F149:F212" si="7">D149*(1-($C$2/($D$8-$D$6)*LN($D$8/$D$6)))</f>
        <v>301.50675595738363</v>
      </c>
      <c r="G149" s="7"/>
      <c r="H149" s="7"/>
      <c r="I149" s="7"/>
      <c r="J149" s="7">
        <v>0</v>
      </c>
      <c r="K149" s="7"/>
      <c r="L149" s="7">
        <f t="shared" ref="L149:L212" si="8">J149*(1-$C$2/($D$10-$D$9)*LN($D$10/$D$9))</f>
        <v>0</v>
      </c>
      <c r="M149" s="7"/>
      <c r="N149" s="7"/>
      <c r="O149" s="7"/>
    </row>
    <row r="150" spans="3:15" x14ac:dyDescent="0.2">
      <c r="C150">
        <v>131</v>
      </c>
      <c r="D150" s="7">
        <v>3764.8271272522506</v>
      </c>
      <c r="E150" s="7"/>
      <c r="F150" s="7">
        <f t="shared" si="7"/>
        <v>304.01919563618281</v>
      </c>
      <c r="G150" s="7"/>
      <c r="H150" s="7"/>
      <c r="I150" s="7"/>
      <c r="J150" s="7">
        <v>138.60144417632137</v>
      </c>
      <c r="K150" s="7"/>
      <c r="L150" s="7">
        <f t="shared" si="8"/>
        <v>8.97752954981034</v>
      </c>
      <c r="M150" s="7"/>
      <c r="N150" s="7"/>
      <c r="O150" s="7"/>
    </row>
    <row r="151" spans="3:15" x14ac:dyDescent="0.2">
      <c r="C151">
        <v>132</v>
      </c>
      <c r="D151" s="7">
        <v>3755.2519492244101</v>
      </c>
      <c r="E151" s="7"/>
      <c r="F151" s="7">
        <f t="shared" si="7"/>
        <v>303.24597609018417</v>
      </c>
      <c r="G151" s="7"/>
      <c r="H151" s="7"/>
      <c r="I151" s="7"/>
      <c r="J151" s="7">
        <v>317.89090791844774</v>
      </c>
      <c r="K151" s="7"/>
      <c r="L151" s="7">
        <f t="shared" si="8"/>
        <v>20.590514308230112</v>
      </c>
      <c r="M151" s="7"/>
      <c r="N151" s="7"/>
      <c r="O151" s="7"/>
    </row>
    <row r="152" spans="3:15" x14ac:dyDescent="0.2">
      <c r="C152">
        <v>133</v>
      </c>
      <c r="D152" s="7">
        <v>3745.4523949426916</v>
      </c>
      <c r="E152" s="7"/>
      <c r="F152" s="7">
        <f t="shared" si="7"/>
        <v>302.45463760115894</v>
      </c>
      <c r="G152" s="7"/>
      <c r="H152" s="7"/>
      <c r="I152" s="7"/>
      <c r="J152" s="7">
        <v>412.54760505730837</v>
      </c>
      <c r="K152" s="7"/>
      <c r="L152" s="7">
        <f t="shared" si="8"/>
        <v>26.721643032765769</v>
      </c>
      <c r="M152" s="7"/>
      <c r="N152" s="7"/>
      <c r="O152" s="7"/>
    </row>
    <row r="153" spans="3:15" x14ac:dyDescent="0.2">
      <c r="C153">
        <v>134</v>
      </c>
      <c r="D153" s="7">
        <v>3735.693119367616</v>
      </c>
      <c r="E153" s="7"/>
      <c r="F153" s="7">
        <f t="shared" si="7"/>
        <v>301.66655171831741</v>
      </c>
      <c r="G153" s="7"/>
      <c r="H153" s="7"/>
      <c r="I153" s="7"/>
      <c r="J153" s="7">
        <v>422.30688063238404</v>
      </c>
      <c r="K153" s="7"/>
      <c r="L153" s="7">
        <f t="shared" si="8"/>
        <v>27.353773422031598</v>
      </c>
      <c r="M153" s="7"/>
      <c r="N153" s="7"/>
      <c r="O153" s="7"/>
    </row>
    <row r="154" spans="3:15" x14ac:dyDescent="0.2">
      <c r="C154">
        <v>135</v>
      </c>
      <c r="D154" s="7">
        <v>3725.9739995101318</v>
      </c>
      <c r="E154" s="7"/>
      <c r="F154" s="7">
        <f t="shared" si="7"/>
        <v>300.88170850998642</v>
      </c>
      <c r="G154" s="7"/>
      <c r="H154" s="7"/>
      <c r="I154" s="7"/>
      <c r="J154" s="7">
        <v>856.31171477558291</v>
      </c>
      <c r="K154" s="7"/>
      <c r="L154" s="7">
        <f t="shared" si="8"/>
        <v>55.465249795426736</v>
      </c>
      <c r="M154" s="7"/>
      <c r="N154" s="7"/>
      <c r="O154" s="7"/>
    </row>
    <row r="155" spans="3:15" x14ac:dyDescent="0.2">
      <c r="C155">
        <v>136</v>
      </c>
      <c r="D155" s="7">
        <v>3725.0992878755396</v>
      </c>
      <c r="E155" s="7"/>
      <c r="F155" s="7">
        <f t="shared" si="7"/>
        <v>300.81107336033045</v>
      </c>
      <c r="G155" s="7"/>
      <c r="H155" s="7"/>
      <c r="I155" s="7"/>
      <c r="J155" s="7">
        <v>1026.9007121244604</v>
      </c>
      <c r="K155" s="7"/>
      <c r="L155" s="7">
        <f t="shared" si="8"/>
        <v>66.514685634088082</v>
      </c>
      <c r="M155" s="7"/>
      <c r="N155" s="7"/>
      <c r="O155" s="7"/>
    </row>
    <row r="156" spans="3:15" x14ac:dyDescent="0.2">
      <c r="C156">
        <v>137</v>
      </c>
      <c r="D156" s="7">
        <v>3732.9700944612714</v>
      </c>
      <c r="E156" s="7"/>
      <c r="F156" s="7">
        <f t="shared" si="7"/>
        <v>301.44666065459984</v>
      </c>
      <c r="G156" s="7"/>
      <c r="H156" s="7"/>
      <c r="I156" s="7"/>
      <c r="J156" s="7">
        <v>781.42990553872824</v>
      </c>
      <c r="K156" s="7"/>
      <c r="L156" s="7">
        <f t="shared" si="8"/>
        <v>50.614985361587806</v>
      </c>
      <c r="M156" s="7"/>
      <c r="N156" s="7"/>
      <c r="O156" s="7"/>
    </row>
    <row r="157" spans="3:15" x14ac:dyDescent="0.2">
      <c r="C157">
        <v>138</v>
      </c>
      <c r="D157" s="7">
        <v>3740.8109576061365</v>
      </c>
      <c r="E157" s="7"/>
      <c r="F157" s="7">
        <f t="shared" si="7"/>
        <v>302.07982994121596</v>
      </c>
      <c r="G157" s="7"/>
      <c r="H157" s="7"/>
      <c r="I157" s="7"/>
      <c r="J157" s="7">
        <v>535.98904239386366</v>
      </c>
      <c r="K157" s="7"/>
      <c r="L157" s="7">
        <f t="shared" si="8"/>
        <v>34.717224593591318</v>
      </c>
      <c r="M157" s="7"/>
      <c r="N157" s="7"/>
      <c r="O157" s="7"/>
    </row>
    <row r="158" spans="3:15" x14ac:dyDescent="0.2">
      <c r="C158">
        <v>139</v>
      </c>
      <c r="D158" s="7">
        <v>3748.6225895942634</v>
      </c>
      <c r="E158" s="7"/>
      <c r="F158" s="7">
        <f t="shared" si="7"/>
        <v>302.71063873890159</v>
      </c>
      <c r="G158" s="7"/>
      <c r="H158" s="7"/>
      <c r="I158" s="7"/>
      <c r="J158" s="7">
        <v>409.37741040573655</v>
      </c>
      <c r="K158" s="7"/>
      <c r="L158" s="7">
        <f t="shared" si="8"/>
        <v>26.516302342903035</v>
      </c>
      <c r="M158" s="7"/>
      <c r="N158" s="7"/>
      <c r="O158" s="7"/>
    </row>
    <row r="159" spans="3:15" x14ac:dyDescent="0.2">
      <c r="C159">
        <v>140</v>
      </c>
      <c r="D159" s="7">
        <v>3756.4055786974905</v>
      </c>
      <c r="E159" s="7"/>
      <c r="F159" s="7">
        <f t="shared" si="7"/>
        <v>303.33913455207727</v>
      </c>
      <c r="G159" s="7"/>
      <c r="H159" s="7"/>
      <c r="I159" s="7"/>
      <c r="J159" s="7">
        <v>45.194421302508545</v>
      </c>
      <c r="K159" s="7"/>
      <c r="L159" s="7">
        <f t="shared" si="8"/>
        <v>2.9273450586394674</v>
      </c>
      <c r="M159" s="7"/>
      <c r="N159" s="7"/>
      <c r="O159" s="7"/>
    </row>
    <row r="160" spans="3:15" x14ac:dyDescent="0.2">
      <c r="C160">
        <v>141</v>
      </c>
      <c r="D160" s="7">
        <v>3563.9999999999991</v>
      </c>
      <c r="E160" s="7"/>
      <c r="F160" s="7">
        <f t="shared" si="7"/>
        <v>287.80190341386611</v>
      </c>
      <c r="G160" s="7"/>
      <c r="H160" s="7"/>
      <c r="I160" s="7"/>
      <c r="J160" s="7">
        <v>0</v>
      </c>
      <c r="K160" s="7"/>
      <c r="L160" s="7">
        <f t="shared" si="8"/>
        <v>0</v>
      </c>
      <c r="M160" s="7"/>
      <c r="N160" s="7"/>
      <c r="O160" s="7"/>
    </row>
    <row r="161" spans="3:15" x14ac:dyDescent="0.2">
      <c r="C161">
        <v>142</v>
      </c>
      <c r="D161" s="7">
        <v>3326.3999999999996</v>
      </c>
      <c r="E161" s="7"/>
      <c r="F161" s="7">
        <f t="shared" si="7"/>
        <v>268.61510985294177</v>
      </c>
      <c r="G161" s="7"/>
      <c r="H161" s="7"/>
      <c r="I161" s="7"/>
      <c r="J161" s="7">
        <v>0</v>
      </c>
      <c r="K161" s="7"/>
      <c r="L161" s="7">
        <f t="shared" si="8"/>
        <v>0</v>
      </c>
      <c r="M161" s="7"/>
      <c r="N161" s="7"/>
      <c r="O161" s="7"/>
    </row>
    <row r="162" spans="3:15" x14ac:dyDescent="0.2">
      <c r="C162">
        <v>143</v>
      </c>
      <c r="D162" s="7">
        <v>2673</v>
      </c>
      <c r="E162" s="7"/>
      <c r="F162" s="7">
        <f t="shared" si="7"/>
        <v>215.85142756039966</v>
      </c>
      <c r="G162" s="7"/>
      <c r="H162" s="7"/>
      <c r="I162" s="7"/>
      <c r="J162" s="7">
        <v>0</v>
      </c>
      <c r="K162" s="7"/>
      <c r="L162" s="7">
        <f t="shared" si="8"/>
        <v>0</v>
      </c>
      <c r="M162" s="7"/>
      <c r="N162" s="7"/>
      <c r="O162" s="7"/>
    </row>
    <row r="163" spans="3:15" x14ac:dyDescent="0.2">
      <c r="C163">
        <v>144</v>
      </c>
      <c r="D163" s="7">
        <v>2524.5</v>
      </c>
      <c r="E163" s="7"/>
      <c r="F163" s="7">
        <f t="shared" si="7"/>
        <v>203.85968158482189</v>
      </c>
      <c r="G163" s="7"/>
      <c r="H163" s="7"/>
      <c r="I163" s="7"/>
      <c r="J163" s="7">
        <v>0</v>
      </c>
      <c r="K163" s="7"/>
      <c r="L163" s="7">
        <f t="shared" si="8"/>
        <v>0</v>
      </c>
      <c r="M163" s="7"/>
      <c r="N163" s="7"/>
      <c r="O163" s="7"/>
    </row>
    <row r="164" spans="3:15" x14ac:dyDescent="0.2">
      <c r="C164">
        <v>145</v>
      </c>
      <c r="D164" s="7">
        <v>2376</v>
      </c>
      <c r="E164" s="7"/>
      <c r="F164" s="7">
        <f t="shared" si="7"/>
        <v>191.86793560924414</v>
      </c>
      <c r="G164" s="7"/>
      <c r="H164" s="7"/>
      <c r="I164" s="7"/>
      <c r="J164" s="7">
        <v>0</v>
      </c>
      <c r="K164" s="7"/>
      <c r="L164" s="7">
        <f t="shared" si="8"/>
        <v>0</v>
      </c>
      <c r="M164" s="7"/>
      <c r="N164" s="7"/>
      <c r="O164" s="7"/>
    </row>
    <row r="165" spans="3:15" x14ac:dyDescent="0.2">
      <c r="C165">
        <v>146</v>
      </c>
      <c r="D165" s="7">
        <v>2376</v>
      </c>
      <c r="E165" s="7"/>
      <c r="F165" s="7">
        <f t="shared" si="7"/>
        <v>191.86793560924414</v>
      </c>
      <c r="G165" s="7"/>
      <c r="H165" s="7"/>
      <c r="I165" s="7"/>
      <c r="J165" s="7">
        <v>0</v>
      </c>
      <c r="K165" s="7"/>
      <c r="L165" s="7">
        <f t="shared" si="8"/>
        <v>0</v>
      </c>
      <c r="M165" s="7"/>
      <c r="N165" s="7"/>
      <c r="O165" s="7"/>
    </row>
    <row r="166" spans="3:15" x14ac:dyDescent="0.2">
      <c r="C166">
        <v>147</v>
      </c>
      <c r="D166" s="7">
        <v>2524.5000000000005</v>
      </c>
      <c r="E166" s="7"/>
      <c r="F166" s="7">
        <f t="shared" si="7"/>
        <v>203.85968158482191</v>
      </c>
      <c r="G166" s="7"/>
      <c r="H166" s="7"/>
      <c r="I166" s="7"/>
      <c r="J166" s="7">
        <v>0</v>
      </c>
      <c r="K166" s="7"/>
      <c r="L166" s="7">
        <f t="shared" si="8"/>
        <v>0</v>
      </c>
      <c r="M166" s="7"/>
      <c r="N166" s="7"/>
      <c r="O166" s="7"/>
    </row>
    <row r="167" spans="3:15" x14ac:dyDescent="0.2">
      <c r="C167">
        <v>148</v>
      </c>
      <c r="D167" s="7">
        <v>2673</v>
      </c>
      <c r="E167" s="7"/>
      <c r="F167" s="7">
        <f t="shared" si="7"/>
        <v>215.85142756039966</v>
      </c>
      <c r="G167" s="7"/>
      <c r="H167" s="7"/>
      <c r="I167" s="7"/>
      <c r="J167" s="7">
        <v>0</v>
      </c>
      <c r="K167" s="7"/>
      <c r="L167" s="7">
        <f t="shared" si="8"/>
        <v>0</v>
      </c>
      <c r="M167" s="7"/>
      <c r="N167" s="7"/>
      <c r="O167" s="7"/>
    </row>
    <row r="168" spans="3:15" x14ac:dyDescent="0.2">
      <c r="C168">
        <v>149</v>
      </c>
      <c r="D168" s="7">
        <v>2821.4999999999995</v>
      </c>
      <c r="E168" s="7"/>
      <c r="F168" s="7">
        <f t="shared" si="7"/>
        <v>227.84317353597737</v>
      </c>
      <c r="G168" s="7"/>
      <c r="H168" s="7"/>
      <c r="I168" s="7"/>
      <c r="J168" s="7">
        <v>0</v>
      </c>
      <c r="K168" s="7"/>
      <c r="L168" s="7">
        <f t="shared" si="8"/>
        <v>0</v>
      </c>
      <c r="M168" s="7"/>
      <c r="N168" s="7"/>
      <c r="O168" s="7"/>
    </row>
    <row r="169" spans="3:15" x14ac:dyDescent="0.2">
      <c r="C169">
        <v>150</v>
      </c>
      <c r="D169" s="7">
        <v>2969.9999999999995</v>
      </c>
      <c r="E169" s="7"/>
      <c r="F169" s="7">
        <f t="shared" si="7"/>
        <v>239.83491951155514</v>
      </c>
      <c r="G169" s="7"/>
      <c r="H169" s="7"/>
      <c r="I169" s="7"/>
      <c r="J169" s="7">
        <v>0</v>
      </c>
      <c r="K169" s="7"/>
      <c r="L169" s="7">
        <f t="shared" si="8"/>
        <v>0</v>
      </c>
      <c r="M169" s="7"/>
      <c r="N169" s="7"/>
      <c r="O169" s="7"/>
    </row>
    <row r="170" spans="3:15" x14ac:dyDescent="0.2">
      <c r="C170">
        <v>151</v>
      </c>
      <c r="D170" s="7">
        <v>3118.5</v>
      </c>
      <c r="E170" s="7"/>
      <c r="F170" s="7">
        <f t="shared" si="7"/>
        <v>251.82666548713291</v>
      </c>
      <c r="G170" s="7"/>
      <c r="H170" s="7"/>
      <c r="I170" s="7"/>
      <c r="J170" s="7">
        <v>0</v>
      </c>
      <c r="K170" s="7"/>
      <c r="L170" s="7">
        <f t="shared" si="8"/>
        <v>0</v>
      </c>
      <c r="M170" s="7"/>
      <c r="N170" s="7"/>
      <c r="O170" s="7"/>
    </row>
    <row r="171" spans="3:15" x14ac:dyDescent="0.2">
      <c r="C171">
        <v>152</v>
      </c>
      <c r="D171" s="7">
        <v>3267</v>
      </c>
      <c r="E171" s="7"/>
      <c r="F171" s="7">
        <f t="shared" si="7"/>
        <v>263.81841146271069</v>
      </c>
      <c r="G171" s="7"/>
      <c r="H171" s="7"/>
      <c r="I171" s="7"/>
      <c r="J171" s="7">
        <v>0</v>
      </c>
      <c r="K171" s="7"/>
      <c r="L171" s="7">
        <f t="shared" si="8"/>
        <v>0</v>
      </c>
      <c r="M171" s="7"/>
      <c r="N171" s="7"/>
      <c r="O171" s="7"/>
    </row>
    <row r="172" spans="3:15" x14ac:dyDescent="0.2">
      <c r="C172">
        <v>153</v>
      </c>
      <c r="D172" s="7">
        <v>3415.5</v>
      </c>
      <c r="E172" s="7"/>
      <c r="F172" s="7">
        <f t="shared" si="7"/>
        <v>275.81015743828846</v>
      </c>
      <c r="G172" s="7"/>
      <c r="H172" s="7"/>
      <c r="I172" s="7"/>
      <c r="J172" s="7">
        <v>0</v>
      </c>
      <c r="K172" s="7"/>
      <c r="L172" s="7">
        <f t="shared" si="8"/>
        <v>0</v>
      </c>
      <c r="M172" s="7"/>
      <c r="N172" s="7"/>
      <c r="O172" s="7"/>
    </row>
    <row r="173" spans="3:15" x14ac:dyDescent="0.2">
      <c r="C173">
        <v>154</v>
      </c>
      <c r="D173" s="7">
        <v>3564</v>
      </c>
      <c r="E173" s="7"/>
      <c r="F173" s="7">
        <f t="shared" si="7"/>
        <v>287.80190341386617</v>
      </c>
      <c r="G173" s="7"/>
      <c r="H173" s="7"/>
      <c r="I173" s="7"/>
      <c r="J173" s="7">
        <v>0</v>
      </c>
      <c r="K173" s="7"/>
      <c r="L173" s="7">
        <f t="shared" si="8"/>
        <v>0</v>
      </c>
      <c r="M173" s="7"/>
      <c r="N173" s="7"/>
      <c r="O173" s="7"/>
    </row>
    <row r="174" spans="3:15" x14ac:dyDescent="0.2">
      <c r="C174">
        <v>155</v>
      </c>
      <c r="D174" s="7">
        <v>3712.5000000000005</v>
      </c>
      <c r="E174" s="7"/>
      <c r="F174" s="7">
        <f t="shared" si="7"/>
        <v>299.793649389444</v>
      </c>
      <c r="G174" s="7"/>
      <c r="H174" s="7"/>
      <c r="I174" s="7"/>
      <c r="J174" s="7">
        <v>0</v>
      </c>
      <c r="K174" s="7"/>
      <c r="L174" s="7">
        <f t="shared" si="8"/>
        <v>0</v>
      </c>
      <c r="M174" s="7"/>
      <c r="N174" s="7"/>
      <c r="O174" s="7"/>
    </row>
    <row r="175" spans="3:15" x14ac:dyDescent="0.2">
      <c r="C175">
        <v>156</v>
      </c>
      <c r="D175" s="7">
        <v>3742.1908227744166</v>
      </c>
      <c r="E175" s="7"/>
      <c r="F175" s="7">
        <f t="shared" si="7"/>
        <v>302.19125750066752</v>
      </c>
      <c r="G175" s="7"/>
      <c r="H175" s="7"/>
      <c r="I175" s="7"/>
      <c r="J175" s="7">
        <v>118.80917722558434</v>
      </c>
      <c r="K175" s="7"/>
      <c r="L175" s="7">
        <f t="shared" si="8"/>
        <v>7.695539578753948</v>
      </c>
      <c r="M175" s="7"/>
      <c r="N175" s="7"/>
      <c r="O175" s="7"/>
    </row>
    <row r="176" spans="3:15" x14ac:dyDescent="0.2">
      <c r="C176">
        <v>157</v>
      </c>
      <c r="D176" s="7">
        <v>3736.0623422459084</v>
      </c>
      <c r="E176" s="7"/>
      <c r="F176" s="7">
        <f t="shared" si="7"/>
        <v>301.69636738811437</v>
      </c>
      <c r="G176" s="7"/>
      <c r="H176" s="7"/>
      <c r="I176" s="7"/>
      <c r="J176" s="7">
        <v>273.43765775409202</v>
      </c>
      <c r="K176" s="7"/>
      <c r="L176" s="7">
        <f t="shared" si="8"/>
        <v>17.711176583379814</v>
      </c>
      <c r="M176" s="7"/>
      <c r="N176" s="7"/>
      <c r="O176" s="7"/>
    </row>
    <row r="177" spans="3:15" x14ac:dyDescent="0.2">
      <c r="C177">
        <v>158</v>
      </c>
      <c r="D177" s="7">
        <v>3729.9668794727181</v>
      </c>
      <c r="E177" s="7"/>
      <c r="F177" s="7">
        <f t="shared" si="7"/>
        <v>301.20414354178649</v>
      </c>
      <c r="G177" s="7"/>
      <c r="H177" s="7"/>
      <c r="I177" s="7"/>
      <c r="J177" s="7">
        <v>428.03312052728279</v>
      </c>
      <c r="K177" s="7"/>
      <c r="L177" s="7">
        <f t="shared" si="8"/>
        <v>27.72467495318995</v>
      </c>
      <c r="M177" s="7"/>
      <c r="N177" s="7"/>
      <c r="O177" s="7"/>
    </row>
    <row r="178" spans="3:15" x14ac:dyDescent="0.2">
      <c r="C178">
        <v>159</v>
      </c>
      <c r="D178" s="7">
        <v>3723.9043215991683</v>
      </c>
      <c r="E178" s="7"/>
      <c r="F178" s="7">
        <f t="shared" si="7"/>
        <v>300.71457684830602</v>
      </c>
      <c r="G178" s="7"/>
      <c r="H178" s="7"/>
      <c r="I178" s="7"/>
      <c r="J178" s="7">
        <v>285.59567840083173</v>
      </c>
      <c r="K178" s="7"/>
      <c r="L178" s="7">
        <f t="shared" si="8"/>
        <v>18.498679125448973</v>
      </c>
      <c r="M178" s="7"/>
      <c r="N178" s="7"/>
      <c r="O178" s="7"/>
    </row>
    <row r="179" spans="3:15" x14ac:dyDescent="0.2">
      <c r="C179">
        <v>160</v>
      </c>
      <c r="D179" s="7">
        <v>3723.8709494384898</v>
      </c>
      <c r="E179" s="7"/>
      <c r="F179" s="7">
        <f t="shared" si="7"/>
        <v>300.71188196296254</v>
      </c>
      <c r="G179" s="7"/>
      <c r="H179" s="7"/>
      <c r="I179" s="7"/>
      <c r="J179" s="7">
        <v>434.12905056151021</v>
      </c>
      <c r="K179" s="7"/>
      <c r="L179" s="7">
        <f t="shared" si="8"/>
        <v>28.119522152229472</v>
      </c>
      <c r="M179" s="7"/>
      <c r="N179" s="7"/>
      <c r="O179" s="7"/>
    </row>
    <row r="180" spans="3:15" x14ac:dyDescent="0.2">
      <c r="C180">
        <v>161</v>
      </c>
      <c r="D180" s="7">
        <v>3731.8788260511888</v>
      </c>
      <c r="E180" s="7"/>
      <c r="F180" s="7">
        <f t="shared" si="7"/>
        <v>301.35853800433125</v>
      </c>
      <c r="G180" s="7"/>
      <c r="H180" s="7"/>
      <c r="I180" s="7"/>
      <c r="J180" s="7">
        <v>1020.1211739488112</v>
      </c>
      <c r="K180" s="7"/>
      <c r="L180" s="7">
        <f t="shared" si="8"/>
        <v>66.075559586970343</v>
      </c>
      <c r="M180" s="7"/>
      <c r="N180" s="7"/>
      <c r="O180" s="7"/>
    </row>
    <row r="181" spans="3:15" x14ac:dyDescent="0.2">
      <c r="C181">
        <v>162</v>
      </c>
      <c r="D181" s="7">
        <v>3739.8543710574031</v>
      </c>
      <c r="E181" s="7"/>
      <c r="F181" s="7">
        <f t="shared" si="7"/>
        <v>302.0025831877071</v>
      </c>
      <c r="G181" s="7"/>
      <c r="H181" s="7"/>
      <c r="I181" s="7"/>
      <c r="J181" s="7">
        <v>863.64562894259689</v>
      </c>
      <c r="K181" s="7"/>
      <c r="L181" s="7">
        <f t="shared" si="8"/>
        <v>55.940284031479727</v>
      </c>
      <c r="M181" s="7"/>
      <c r="N181" s="7"/>
      <c r="O181" s="7"/>
    </row>
    <row r="182" spans="3:15" x14ac:dyDescent="0.2">
      <c r="C182">
        <v>163</v>
      </c>
      <c r="D182" s="7">
        <v>3747.7974995061463</v>
      </c>
      <c r="E182" s="7"/>
      <c r="F182" s="7">
        <f t="shared" si="7"/>
        <v>302.64401065308562</v>
      </c>
      <c r="G182" s="7"/>
      <c r="H182" s="7"/>
      <c r="I182" s="7"/>
      <c r="J182" s="7">
        <v>1152.7025004938528</v>
      </c>
      <c r="K182" s="7"/>
      <c r="L182" s="7">
        <f t="shared" si="8"/>
        <v>74.663152478837972</v>
      </c>
      <c r="M182" s="7"/>
      <c r="N182" s="7"/>
      <c r="O182" s="7"/>
    </row>
    <row r="183" spans="3:15" x14ac:dyDescent="0.2">
      <c r="C183">
        <v>164</v>
      </c>
      <c r="D183" s="7">
        <v>3755.7079173433635</v>
      </c>
      <c r="E183" s="7"/>
      <c r="F183" s="7">
        <f t="shared" si="7"/>
        <v>303.28279665486735</v>
      </c>
      <c r="G183" s="7"/>
      <c r="H183" s="7"/>
      <c r="I183" s="7"/>
      <c r="J183" s="7">
        <v>818.09208265663665</v>
      </c>
      <c r="K183" s="7"/>
      <c r="L183" s="7">
        <f t="shared" si="8"/>
        <v>52.989677634041286</v>
      </c>
      <c r="M183" s="7"/>
      <c r="N183" s="7"/>
      <c r="O183" s="7"/>
    </row>
    <row r="184" spans="3:15" x14ac:dyDescent="0.2">
      <c r="C184">
        <v>165</v>
      </c>
      <c r="D184" s="7">
        <v>3763.0570614987205</v>
      </c>
      <c r="E184" s="7"/>
      <c r="F184" s="7">
        <f t="shared" si="7"/>
        <v>303.8762584046919</v>
      </c>
      <c r="G184" s="7"/>
      <c r="H184" s="7"/>
      <c r="I184" s="7"/>
      <c r="J184" s="7">
        <v>484.04293850127988</v>
      </c>
      <c r="K184" s="7"/>
      <c r="L184" s="7">
        <f t="shared" si="8"/>
        <v>31.35255775722036</v>
      </c>
      <c r="M184" s="7"/>
      <c r="N184" s="7"/>
      <c r="O184" s="7"/>
    </row>
    <row r="185" spans="3:15" x14ac:dyDescent="0.2">
      <c r="C185">
        <v>166</v>
      </c>
      <c r="D185" s="7">
        <v>3768.2610720666689</v>
      </c>
      <c r="E185" s="7"/>
      <c r="F185" s="7">
        <f t="shared" si="7"/>
        <v>304.29649525846332</v>
      </c>
      <c r="G185" s="7"/>
      <c r="H185" s="7"/>
      <c r="I185" s="7"/>
      <c r="J185" s="7">
        <v>152.13892793333071</v>
      </c>
      <c r="K185" s="7"/>
      <c r="L185" s="7">
        <f t="shared" si="8"/>
        <v>9.8543830427943</v>
      </c>
      <c r="M185" s="7"/>
      <c r="N185" s="7"/>
      <c r="O185" s="7"/>
    </row>
    <row r="186" spans="3:15" x14ac:dyDescent="0.2">
      <c r="C186">
        <v>167</v>
      </c>
      <c r="D186" s="7">
        <v>3593.7</v>
      </c>
      <c r="E186" s="7"/>
      <c r="F186" s="7">
        <f t="shared" si="7"/>
        <v>290.20025260898171</v>
      </c>
      <c r="G186" s="7"/>
      <c r="H186" s="7"/>
      <c r="I186" s="7"/>
      <c r="J186" s="7">
        <v>0</v>
      </c>
      <c r="K186" s="7"/>
      <c r="L186" s="7">
        <f t="shared" si="8"/>
        <v>0</v>
      </c>
      <c r="M186" s="7"/>
      <c r="N186" s="7"/>
      <c r="O186" s="7"/>
    </row>
    <row r="187" spans="3:15" x14ac:dyDescent="0.2">
      <c r="C187">
        <v>168</v>
      </c>
      <c r="D187" s="7">
        <v>3267</v>
      </c>
      <c r="E187" s="7"/>
      <c r="F187" s="7">
        <f t="shared" si="7"/>
        <v>263.81841146271069</v>
      </c>
      <c r="G187" s="7"/>
      <c r="H187" s="7"/>
      <c r="I187" s="7"/>
      <c r="J187" s="7">
        <v>0</v>
      </c>
      <c r="K187" s="7"/>
      <c r="L187" s="7">
        <f t="shared" si="8"/>
        <v>0</v>
      </c>
      <c r="M187" s="7"/>
      <c r="N187" s="7"/>
      <c r="O187" s="7"/>
    </row>
    <row r="188" spans="3:15" x14ac:dyDescent="0.2">
      <c r="C188">
        <v>169</v>
      </c>
      <c r="D188" s="7">
        <v>2524.5</v>
      </c>
      <c r="E188" s="7"/>
      <c r="F188" s="7">
        <f t="shared" si="7"/>
        <v>203.85968158482189</v>
      </c>
      <c r="G188" s="7"/>
      <c r="H188" s="7"/>
      <c r="I188" s="7"/>
      <c r="J188" s="7">
        <v>0</v>
      </c>
      <c r="K188" s="7"/>
      <c r="L188" s="7">
        <f t="shared" si="8"/>
        <v>0</v>
      </c>
      <c r="M188" s="7"/>
      <c r="N188" s="7"/>
      <c r="O188" s="7"/>
    </row>
    <row r="189" spans="3:15" x14ac:dyDescent="0.2">
      <c r="C189">
        <v>170</v>
      </c>
      <c r="D189" s="7">
        <v>2376</v>
      </c>
      <c r="E189" s="7"/>
      <c r="F189" s="7">
        <f t="shared" si="7"/>
        <v>191.86793560924414</v>
      </c>
      <c r="G189" s="7"/>
      <c r="H189" s="7"/>
      <c r="I189" s="7"/>
      <c r="J189" s="7">
        <v>0</v>
      </c>
      <c r="K189" s="7"/>
      <c r="L189" s="7">
        <f t="shared" si="8"/>
        <v>0</v>
      </c>
      <c r="M189" s="7"/>
      <c r="N189" s="7"/>
      <c r="O189" s="7"/>
    </row>
    <row r="190" spans="3:15" x14ac:dyDescent="0.2">
      <c r="C190">
        <v>171</v>
      </c>
      <c r="D190" s="7">
        <v>2524.5</v>
      </c>
      <c r="E190" s="7"/>
      <c r="F190" s="7">
        <f t="shared" si="7"/>
        <v>203.85968158482189</v>
      </c>
      <c r="G190" s="7"/>
      <c r="H190" s="7"/>
      <c r="I190" s="7"/>
      <c r="J190" s="7">
        <v>0</v>
      </c>
      <c r="K190" s="7"/>
      <c r="L190" s="7">
        <f t="shared" si="8"/>
        <v>0</v>
      </c>
      <c r="M190" s="7"/>
      <c r="N190" s="7"/>
      <c r="O190" s="7"/>
    </row>
    <row r="191" spans="3:15" x14ac:dyDescent="0.2">
      <c r="C191">
        <v>172</v>
      </c>
      <c r="D191" s="7">
        <v>2673</v>
      </c>
      <c r="E191" s="7"/>
      <c r="F191" s="7">
        <f t="shared" si="7"/>
        <v>215.85142756039966</v>
      </c>
      <c r="G191" s="7"/>
      <c r="H191" s="7"/>
      <c r="I191" s="7"/>
      <c r="J191" s="7">
        <v>0</v>
      </c>
      <c r="K191" s="7"/>
      <c r="L191" s="7">
        <f t="shared" si="8"/>
        <v>0</v>
      </c>
      <c r="M191" s="7"/>
      <c r="N191" s="7"/>
      <c r="O191" s="7"/>
    </row>
    <row r="192" spans="3:15" x14ac:dyDescent="0.2">
      <c r="C192">
        <v>173</v>
      </c>
      <c r="D192" s="7">
        <v>3044.2499999999995</v>
      </c>
      <c r="E192" s="7"/>
      <c r="F192" s="7">
        <f t="shared" si="7"/>
        <v>245.830792499344</v>
      </c>
      <c r="G192" s="7"/>
      <c r="H192" s="7"/>
      <c r="I192" s="7"/>
      <c r="J192" s="7">
        <v>0</v>
      </c>
      <c r="K192" s="7"/>
      <c r="L192" s="7">
        <f t="shared" si="8"/>
        <v>0</v>
      </c>
      <c r="M192" s="7"/>
      <c r="N192" s="7"/>
      <c r="O192" s="7"/>
    </row>
    <row r="193" spans="3:15" x14ac:dyDescent="0.2">
      <c r="C193">
        <v>174</v>
      </c>
      <c r="D193" s="7">
        <v>3266.9999999999995</v>
      </c>
      <c r="E193" s="7"/>
      <c r="F193" s="7">
        <f t="shared" si="7"/>
        <v>263.81841146271063</v>
      </c>
      <c r="G193" s="7"/>
      <c r="H193" s="7"/>
      <c r="I193" s="7"/>
      <c r="J193" s="7">
        <v>0</v>
      </c>
      <c r="K193" s="7"/>
      <c r="L193" s="7">
        <f t="shared" si="8"/>
        <v>0</v>
      </c>
      <c r="M193" s="7"/>
      <c r="N193" s="7"/>
      <c r="O193" s="7"/>
    </row>
    <row r="194" spans="3:15" x14ac:dyDescent="0.2">
      <c r="C194">
        <v>175</v>
      </c>
      <c r="D194" s="7">
        <v>3489.7499999999995</v>
      </c>
      <c r="E194" s="7"/>
      <c r="F194" s="7">
        <f t="shared" si="7"/>
        <v>281.80603042607726</v>
      </c>
      <c r="G194" s="7"/>
      <c r="H194" s="7"/>
      <c r="I194" s="7"/>
      <c r="J194" s="7">
        <v>0</v>
      </c>
      <c r="K194" s="7"/>
      <c r="L194" s="7">
        <f t="shared" si="8"/>
        <v>0</v>
      </c>
      <c r="M194" s="7"/>
      <c r="N194" s="7"/>
      <c r="O194" s="7"/>
    </row>
    <row r="195" spans="3:15" x14ac:dyDescent="0.2">
      <c r="C195">
        <v>176</v>
      </c>
      <c r="D195" s="7">
        <v>3712.4999999999991</v>
      </c>
      <c r="E195" s="7"/>
      <c r="F195" s="7">
        <f t="shared" si="7"/>
        <v>299.79364938944389</v>
      </c>
      <c r="G195" s="7"/>
      <c r="H195" s="7"/>
      <c r="I195" s="7"/>
      <c r="J195" s="7">
        <v>0</v>
      </c>
      <c r="K195" s="7"/>
      <c r="L195" s="7">
        <f t="shared" si="8"/>
        <v>0</v>
      </c>
      <c r="M195" s="7"/>
      <c r="N195" s="7"/>
      <c r="O195" s="7"/>
    </row>
    <row r="196" spans="3:15" x14ac:dyDescent="0.2">
      <c r="C196">
        <v>177</v>
      </c>
      <c r="D196" s="7">
        <v>3726.0636595304009</v>
      </c>
      <c r="E196" s="7"/>
      <c r="F196" s="7">
        <f t="shared" si="7"/>
        <v>300.88894878060756</v>
      </c>
      <c r="G196" s="7"/>
      <c r="H196" s="7"/>
      <c r="I196" s="7"/>
      <c r="J196" s="7">
        <v>209.18634046959824</v>
      </c>
      <c r="K196" s="7"/>
      <c r="L196" s="7">
        <f t="shared" si="8"/>
        <v>13.549473197360362</v>
      </c>
      <c r="M196" s="7"/>
      <c r="N196" s="7"/>
      <c r="O196" s="7"/>
    </row>
    <row r="197" spans="3:15" x14ac:dyDescent="0.2">
      <c r="C197">
        <v>178</v>
      </c>
      <c r="D197" s="7">
        <v>3719.1610427236305</v>
      </c>
      <c r="E197" s="7"/>
      <c r="F197" s="7">
        <f t="shared" si="7"/>
        <v>300.33154522967459</v>
      </c>
      <c r="G197" s="7"/>
      <c r="H197" s="7"/>
      <c r="I197" s="7"/>
      <c r="J197" s="7">
        <v>438.83895727636764</v>
      </c>
      <c r="K197" s="7"/>
      <c r="L197" s="7">
        <f t="shared" si="8"/>
        <v>28.424593480748182</v>
      </c>
      <c r="M197" s="7"/>
      <c r="N197" s="7"/>
      <c r="O197" s="7"/>
    </row>
    <row r="198" spans="3:15" x14ac:dyDescent="0.2">
      <c r="C198">
        <v>179</v>
      </c>
      <c r="D198" s="7">
        <v>3712.2927220376459</v>
      </c>
      <c r="E198" s="7"/>
      <c r="F198" s="7">
        <f t="shared" si="7"/>
        <v>299.77691117617201</v>
      </c>
      <c r="G198" s="7"/>
      <c r="H198" s="7"/>
      <c r="I198" s="7"/>
      <c r="J198" s="7">
        <v>668.45727796235224</v>
      </c>
      <c r="K198" s="7"/>
      <c r="L198" s="7">
        <f t="shared" si="8"/>
        <v>43.297492326692698</v>
      </c>
      <c r="M198" s="7"/>
      <c r="N198" s="7"/>
      <c r="O198" s="7"/>
    </row>
    <row r="199" spans="3:15" x14ac:dyDescent="0.2">
      <c r="C199">
        <v>180</v>
      </c>
      <c r="D199" s="7">
        <v>3705.4585836404772</v>
      </c>
      <c r="E199" s="7"/>
      <c r="F199" s="7">
        <f t="shared" si="7"/>
        <v>299.22503742788388</v>
      </c>
      <c r="G199" s="7"/>
      <c r="H199" s="7"/>
      <c r="I199" s="7"/>
      <c r="J199" s="7">
        <v>898.04141635952101</v>
      </c>
      <c r="K199" s="7"/>
      <c r="L199" s="7">
        <f t="shared" si="8"/>
        <v>58.168177108348438</v>
      </c>
      <c r="M199" s="7"/>
      <c r="N199" s="7"/>
      <c r="O199" s="7"/>
    </row>
    <row r="200" spans="3:15" x14ac:dyDescent="0.2">
      <c r="C200">
        <v>181</v>
      </c>
      <c r="D200" s="7">
        <v>3698.6585140060124</v>
      </c>
      <c r="E200" s="7"/>
      <c r="F200" s="7">
        <f t="shared" si="7"/>
        <v>298.67591481729301</v>
      </c>
      <c r="G200" s="7"/>
      <c r="H200" s="7"/>
      <c r="I200" s="7"/>
      <c r="J200" s="7">
        <v>1127.5914859939876</v>
      </c>
      <c r="K200" s="7"/>
      <c r="L200" s="7">
        <f t="shared" si="8"/>
        <v>73.036655179058968</v>
      </c>
      <c r="M200" s="7"/>
      <c r="N200" s="7"/>
      <c r="O200" s="7"/>
    </row>
    <row r="201" spans="3:15" x14ac:dyDescent="0.2">
      <c r="C201">
        <v>182</v>
      </c>
      <c r="D201" s="7">
        <v>3691.8923999133144</v>
      </c>
      <c r="E201" s="7"/>
      <c r="F201" s="7">
        <f t="shared" si="7"/>
        <v>298.12953420152593</v>
      </c>
      <c r="G201" s="7"/>
      <c r="H201" s="7"/>
      <c r="I201" s="7"/>
      <c r="J201" s="7">
        <v>1357.1076000866856</v>
      </c>
      <c r="K201" s="7"/>
      <c r="L201" s="7">
        <f t="shared" si="8"/>
        <v>87.902933872400695</v>
      </c>
      <c r="M201" s="7"/>
      <c r="N201" s="7"/>
      <c r="O201" s="7"/>
    </row>
    <row r="202" spans="3:15" x14ac:dyDescent="0.2">
      <c r="C202">
        <v>183</v>
      </c>
      <c r="D202" s="7">
        <v>3685.1601284459271</v>
      </c>
      <c r="E202" s="7"/>
      <c r="F202" s="7">
        <f t="shared" si="7"/>
        <v>297.58588646229668</v>
      </c>
      <c r="G202" s="7"/>
      <c r="H202" s="7"/>
      <c r="I202" s="7"/>
      <c r="J202" s="7">
        <v>1215.339871554072</v>
      </c>
      <c r="K202" s="7"/>
      <c r="L202" s="7">
        <f t="shared" si="8"/>
        <v>78.720316911411913</v>
      </c>
      <c r="M202" s="7"/>
      <c r="N202" s="7"/>
      <c r="O202" s="7"/>
    </row>
    <row r="203" spans="3:15" x14ac:dyDescent="0.2">
      <c r="C203">
        <v>184</v>
      </c>
      <c r="D203" s="7">
        <v>3684.4250010681958</v>
      </c>
      <c r="E203" s="7"/>
      <c r="F203" s="7">
        <f t="shared" si="7"/>
        <v>297.52652309008494</v>
      </c>
      <c r="G203" s="7"/>
      <c r="H203" s="7"/>
      <c r="I203" s="7"/>
      <c r="J203" s="7">
        <v>1414.0749989318042</v>
      </c>
      <c r="K203" s="7"/>
      <c r="L203" s="7">
        <f t="shared" si="8"/>
        <v>91.592841358914853</v>
      </c>
      <c r="M203" s="7"/>
      <c r="N203" s="7"/>
      <c r="O203" s="7"/>
    </row>
    <row r="204" spans="3:15" x14ac:dyDescent="0.2">
      <c r="C204">
        <v>185</v>
      </c>
      <c r="D204" s="7">
        <v>3691.7222360878345</v>
      </c>
      <c r="E204" s="7"/>
      <c r="F204" s="7">
        <f t="shared" si="7"/>
        <v>298.11579304752331</v>
      </c>
      <c r="G204" s="7"/>
      <c r="H204" s="7"/>
      <c r="I204" s="7"/>
      <c r="J204" s="7">
        <v>2099.7777639121655</v>
      </c>
      <c r="K204" s="7"/>
      <c r="L204" s="7">
        <f t="shared" si="8"/>
        <v>136.00736295052698</v>
      </c>
      <c r="M204" s="7"/>
      <c r="N204" s="7"/>
      <c r="O204" s="7"/>
    </row>
    <row r="205" spans="3:15" x14ac:dyDescent="0.2">
      <c r="C205">
        <v>186</v>
      </c>
      <c r="D205" s="7">
        <v>3698.9837499180571</v>
      </c>
      <c r="E205" s="7"/>
      <c r="F205" s="7">
        <f t="shared" si="7"/>
        <v>298.70217842967935</v>
      </c>
      <c r="G205" s="7"/>
      <c r="H205" s="7"/>
      <c r="I205" s="7"/>
      <c r="J205" s="7">
        <v>1944.016250081942</v>
      </c>
      <c r="K205" s="7"/>
      <c r="L205" s="7">
        <f t="shared" si="8"/>
        <v>125.91833681198896</v>
      </c>
      <c r="M205" s="7"/>
      <c r="N205" s="7"/>
      <c r="O205" s="7"/>
    </row>
    <row r="206" spans="3:15" x14ac:dyDescent="0.2">
      <c r="C206">
        <v>187</v>
      </c>
      <c r="D206" s="7">
        <v>3706.2094367786185</v>
      </c>
      <c r="E206" s="7"/>
      <c r="F206" s="7">
        <f t="shared" si="7"/>
        <v>299.28567069453408</v>
      </c>
      <c r="G206" s="7"/>
      <c r="H206" s="7"/>
      <c r="I206" s="7"/>
      <c r="J206" s="7">
        <v>2233.7905632213806</v>
      </c>
      <c r="K206" s="7"/>
      <c r="L206" s="7">
        <f t="shared" si="8"/>
        <v>144.687675576424</v>
      </c>
      <c r="M206" s="7"/>
      <c r="N206" s="7"/>
      <c r="O206" s="7"/>
    </row>
    <row r="207" spans="3:15" x14ac:dyDescent="0.2">
      <c r="C207">
        <v>188</v>
      </c>
      <c r="D207" s="7">
        <v>3713.3990172496251</v>
      </c>
      <c r="E207" s="7"/>
      <c r="F207" s="7">
        <f t="shared" si="7"/>
        <v>299.86624727823295</v>
      </c>
      <c r="G207" s="7"/>
      <c r="H207" s="7"/>
      <c r="I207" s="7"/>
      <c r="J207" s="7">
        <v>1929.600982750374</v>
      </c>
      <c r="K207" s="7"/>
      <c r="L207" s="7">
        <f t="shared" si="8"/>
        <v>124.98462728820556</v>
      </c>
      <c r="M207" s="7"/>
      <c r="N207" s="7"/>
      <c r="O207" s="7"/>
    </row>
    <row r="208" spans="3:15" x14ac:dyDescent="0.2">
      <c r="C208">
        <v>189</v>
      </c>
      <c r="D208" s="7">
        <v>3720.5528137888577</v>
      </c>
      <c r="E208" s="7"/>
      <c r="F208" s="7">
        <f t="shared" si="7"/>
        <v>300.44393422004742</v>
      </c>
      <c r="G208" s="7"/>
      <c r="H208" s="7"/>
      <c r="I208" s="7"/>
      <c r="J208" s="7">
        <v>2367.9471862111413</v>
      </c>
      <c r="K208" s="7"/>
      <c r="L208" s="7">
        <f t="shared" si="8"/>
        <v>153.37730398795176</v>
      </c>
      <c r="M208" s="7"/>
      <c r="N208" s="7"/>
      <c r="O208" s="7"/>
    </row>
    <row r="209" spans="3:15" x14ac:dyDescent="0.2">
      <c r="C209">
        <v>190</v>
      </c>
      <c r="D209" s="7">
        <v>3728.11151145445</v>
      </c>
      <c r="E209" s="7"/>
      <c r="F209" s="7">
        <f t="shared" si="7"/>
        <v>301.05431793931996</v>
      </c>
      <c r="G209" s="7"/>
      <c r="H209" s="7"/>
      <c r="I209" s="7"/>
      <c r="J209" s="7">
        <v>1617.88848854555</v>
      </c>
      <c r="K209" s="7"/>
      <c r="L209" s="7">
        <f t="shared" si="8"/>
        <v>104.79430283380155</v>
      </c>
      <c r="M209" s="7"/>
      <c r="N209" s="7"/>
      <c r="O209" s="7"/>
    </row>
    <row r="210" spans="3:15" x14ac:dyDescent="0.2">
      <c r="C210">
        <v>191</v>
      </c>
      <c r="D210" s="7">
        <v>3728.0397434203323</v>
      </c>
      <c r="E210" s="7"/>
      <c r="F210" s="7">
        <f t="shared" si="7"/>
        <v>301.04852249127748</v>
      </c>
      <c r="G210" s="7"/>
      <c r="H210" s="7"/>
      <c r="I210" s="7"/>
      <c r="J210" s="7">
        <v>875.46025657966584</v>
      </c>
      <c r="K210" s="7"/>
      <c r="L210" s="7">
        <f t="shared" si="8"/>
        <v>56.705544230333508</v>
      </c>
      <c r="M210" s="7"/>
      <c r="N210" s="7"/>
      <c r="O210" s="7"/>
    </row>
    <row r="211" spans="3:15" x14ac:dyDescent="0.2">
      <c r="C211">
        <v>192</v>
      </c>
      <c r="D211" s="7">
        <v>3722.0513855824129</v>
      </c>
      <c r="E211" s="7"/>
      <c r="F211" s="7">
        <f t="shared" si="7"/>
        <v>300.56494763603718</v>
      </c>
      <c r="G211" s="7"/>
      <c r="H211" s="7"/>
      <c r="I211" s="7"/>
      <c r="J211" s="7">
        <v>138.94861441758621</v>
      </c>
      <c r="K211" s="7"/>
      <c r="L211" s="7">
        <f t="shared" si="8"/>
        <v>9.0000165528736336</v>
      </c>
      <c r="M211" s="7"/>
      <c r="N211" s="7"/>
      <c r="O211" s="7"/>
    </row>
    <row r="212" spans="3:15" x14ac:dyDescent="0.2">
      <c r="C212">
        <v>193</v>
      </c>
      <c r="D212" s="7">
        <v>2524.5</v>
      </c>
      <c r="E212" s="7"/>
      <c r="F212" s="7">
        <f t="shared" si="7"/>
        <v>203.85968158482189</v>
      </c>
      <c r="G212" s="7"/>
      <c r="H212" s="7"/>
      <c r="I212" s="7"/>
      <c r="J212" s="7">
        <v>0</v>
      </c>
      <c r="K212" s="7"/>
      <c r="L212" s="7">
        <f t="shared" si="8"/>
        <v>0</v>
      </c>
      <c r="M212" s="7"/>
      <c r="N212" s="7"/>
      <c r="O212" s="7"/>
    </row>
    <row r="213" spans="3:15" x14ac:dyDescent="0.2">
      <c r="C213">
        <v>194</v>
      </c>
      <c r="D213" s="7">
        <v>2376</v>
      </c>
      <c r="E213" s="7"/>
      <c r="F213" s="7">
        <f t="shared" ref="F213:F276" si="9">D213*(1-($C$2/($D$8-$D$6)*LN($D$8/$D$6)))</f>
        <v>191.86793560924414</v>
      </c>
      <c r="G213" s="7"/>
      <c r="H213" s="7"/>
      <c r="I213" s="7"/>
      <c r="J213" s="7">
        <v>0</v>
      </c>
      <c r="K213" s="7"/>
      <c r="L213" s="7">
        <f t="shared" ref="L213:L276" si="10">J213*(1-$C$2/($D$10-$D$9)*LN($D$10/$D$9))</f>
        <v>0</v>
      </c>
      <c r="M213" s="7"/>
      <c r="N213" s="7"/>
      <c r="O213" s="7"/>
    </row>
    <row r="214" spans="3:15" x14ac:dyDescent="0.2">
      <c r="C214">
        <v>195</v>
      </c>
      <c r="D214" s="7">
        <v>2554.1999999999998</v>
      </c>
      <c r="E214" s="7"/>
      <c r="F214" s="7">
        <f t="shared" si="9"/>
        <v>206.25803077993743</v>
      </c>
      <c r="G214" s="7"/>
      <c r="H214" s="7"/>
      <c r="I214" s="7"/>
      <c r="J214" s="7">
        <v>0</v>
      </c>
      <c r="K214" s="7"/>
      <c r="L214" s="7">
        <f t="shared" si="10"/>
        <v>0</v>
      </c>
      <c r="M214" s="7"/>
      <c r="N214" s="7"/>
      <c r="O214" s="7"/>
    </row>
    <row r="215" spans="3:15" x14ac:dyDescent="0.2">
      <c r="C215">
        <v>196</v>
      </c>
      <c r="D215" s="7">
        <v>2673</v>
      </c>
      <c r="E215" s="7"/>
      <c r="F215" s="7">
        <f t="shared" si="9"/>
        <v>215.85142756039966</v>
      </c>
      <c r="G215" s="7"/>
      <c r="H215" s="7"/>
      <c r="I215" s="7"/>
      <c r="J215" s="7">
        <v>0</v>
      </c>
      <c r="K215" s="7"/>
      <c r="L215" s="7">
        <f t="shared" si="10"/>
        <v>0</v>
      </c>
      <c r="M215" s="7"/>
      <c r="N215" s="7"/>
      <c r="O215" s="7"/>
    </row>
    <row r="216" spans="3:15" x14ac:dyDescent="0.2">
      <c r="C216">
        <v>197</v>
      </c>
      <c r="D216" s="7">
        <v>2948.7857142857142</v>
      </c>
      <c r="E216" s="7"/>
      <c r="F216" s="7">
        <f t="shared" si="9"/>
        <v>238.12181294361548</v>
      </c>
      <c r="G216" s="7"/>
      <c r="H216" s="7"/>
      <c r="I216" s="7"/>
      <c r="J216" s="7">
        <v>0</v>
      </c>
      <c r="K216" s="7"/>
      <c r="L216" s="7">
        <f t="shared" si="10"/>
        <v>0</v>
      </c>
      <c r="M216" s="7"/>
      <c r="N216" s="7"/>
      <c r="O216" s="7"/>
    </row>
    <row r="217" spans="3:15" x14ac:dyDescent="0.2">
      <c r="C217">
        <v>198</v>
      </c>
      <c r="D217" s="7">
        <v>3139.7142857142858</v>
      </c>
      <c r="E217" s="7"/>
      <c r="F217" s="7">
        <f t="shared" si="9"/>
        <v>253.5397720550726</v>
      </c>
      <c r="G217" s="7"/>
      <c r="H217" s="7"/>
      <c r="I217" s="7"/>
      <c r="J217" s="7">
        <v>0</v>
      </c>
      <c r="K217" s="7"/>
      <c r="L217" s="7">
        <f t="shared" si="10"/>
        <v>0</v>
      </c>
      <c r="M217" s="7"/>
      <c r="N217" s="7"/>
      <c r="O217" s="7"/>
    </row>
    <row r="218" spans="3:15" x14ac:dyDescent="0.2">
      <c r="C218">
        <v>199</v>
      </c>
      <c r="D218" s="7">
        <v>3330.6428571428564</v>
      </c>
      <c r="E218" s="7"/>
      <c r="F218" s="7">
        <f t="shared" si="9"/>
        <v>268.95773116652964</v>
      </c>
      <c r="G218" s="7"/>
      <c r="H218" s="7"/>
      <c r="I218" s="7"/>
      <c r="J218" s="7">
        <v>0</v>
      </c>
      <c r="K218" s="7"/>
      <c r="L218" s="7">
        <f t="shared" si="10"/>
        <v>0</v>
      </c>
      <c r="M218" s="7"/>
      <c r="N218" s="7"/>
      <c r="O218" s="7"/>
    </row>
    <row r="219" spans="3:15" x14ac:dyDescent="0.2">
      <c r="C219">
        <v>200</v>
      </c>
      <c r="D219" s="7">
        <v>3521.5714285714284</v>
      </c>
      <c r="E219" s="7"/>
      <c r="F219" s="7">
        <f t="shared" si="9"/>
        <v>284.37569027798685</v>
      </c>
      <c r="G219" s="7"/>
      <c r="H219" s="7"/>
      <c r="I219" s="7"/>
      <c r="J219" s="7">
        <v>0</v>
      </c>
      <c r="K219" s="7"/>
      <c r="L219" s="7">
        <f t="shared" si="10"/>
        <v>0</v>
      </c>
      <c r="M219" s="7"/>
      <c r="N219" s="7"/>
      <c r="O219" s="7"/>
    </row>
    <row r="220" spans="3:15" x14ac:dyDescent="0.2">
      <c r="C220">
        <v>201</v>
      </c>
      <c r="D220" s="7">
        <v>3709.5603778306117</v>
      </c>
      <c r="E220" s="7"/>
      <c r="F220" s="7">
        <f t="shared" si="9"/>
        <v>299.55626755564276</v>
      </c>
      <c r="G220" s="7"/>
      <c r="H220" s="7"/>
      <c r="I220" s="7"/>
      <c r="J220" s="7">
        <v>2.9396221693878033</v>
      </c>
      <c r="K220" s="7"/>
      <c r="L220" s="7">
        <f t="shared" si="10"/>
        <v>0.19040598781484511</v>
      </c>
      <c r="M220" s="7"/>
      <c r="N220" s="7"/>
      <c r="O220" s="7"/>
    </row>
    <row r="221" spans="3:15" x14ac:dyDescent="0.2">
      <c r="C221">
        <v>202</v>
      </c>
      <c r="D221" s="7">
        <v>3703.7076192990153</v>
      </c>
      <c r="E221" s="7"/>
      <c r="F221" s="7">
        <f t="shared" si="9"/>
        <v>299.08364268313568</v>
      </c>
      <c r="G221" s="7"/>
      <c r="H221" s="7"/>
      <c r="I221" s="7"/>
      <c r="J221" s="7">
        <v>199.72095212955628</v>
      </c>
      <c r="K221" s="7"/>
      <c r="L221" s="7">
        <f t="shared" si="10"/>
        <v>12.936378550128149</v>
      </c>
      <c r="M221" s="7"/>
      <c r="N221" s="7"/>
      <c r="O221" s="7"/>
    </row>
    <row r="222" spans="3:15" x14ac:dyDescent="0.2">
      <c r="C222">
        <v>203</v>
      </c>
      <c r="D222" s="7">
        <v>3697.8868188718238</v>
      </c>
      <c r="E222" s="7"/>
      <c r="F222" s="7">
        <f t="shared" si="9"/>
        <v>298.61359850739552</v>
      </c>
      <c r="G222" s="7"/>
      <c r="H222" s="7"/>
      <c r="I222" s="7"/>
      <c r="J222" s="7">
        <v>396.47032398531837</v>
      </c>
      <c r="K222" s="7"/>
      <c r="L222" s="7">
        <f t="shared" si="10"/>
        <v>25.680281113615905</v>
      </c>
      <c r="M222" s="7"/>
      <c r="N222" s="7"/>
      <c r="O222" s="7"/>
    </row>
    <row r="223" spans="3:15" x14ac:dyDescent="0.2">
      <c r="C223">
        <v>204</v>
      </c>
      <c r="D223" s="7">
        <v>3692.097866815714</v>
      </c>
      <c r="E223" s="7"/>
      <c r="F223" s="7">
        <f t="shared" si="9"/>
        <v>298.14612616718227</v>
      </c>
      <c r="G223" s="7"/>
      <c r="H223" s="7"/>
      <c r="I223" s="7"/>
      <c r="J223" s="7">
        <v>593.18784746999972</v>
      </c>
      <c r="K223" s="7"/>
      <c r="L223" s="7">
        <f t="shared" si="10"/>
        <v>38.42212078595422</v>
      </c>
      <c r="M223" s="7"/>
      <c r="N223" s="7"/>
      <c r="O223" s="7"/>
    </row>
    <row r="224" spans="3:15" x14ac:dyDescent="0.2">
      <c r="C224">
        <v>205</v>
      </c>
      <c r="D224" s="7">
        <v>3686.3406536991815</v>
      </c>
      <c r="E224" s="7"/>
      <c r="F224" s="7">
        <f t="shared" si="9"/>
        <v>297.68121682562855</v>
      </c>
      <c r="G224" s="7"/>
      <c r="H224" s="7"/>
      <c r="I224" s="7"/>
      <c r="J224" s="7">
        <v>789.87363201510288</v>
      </c>
      <c r="K224" s="7"/>
      <c r="L224" s="7">
        <f t="shared" si="10"/>
        <v>51.161904655269446</v>
      </c>
      <c r="M224" s="7"/>
      <c r="N224" s="7"/>
      <c r="O224" s="7"/>
    </row>
    <row r="225" spans="3:15" x14ac:dyDescent="0.2">
      <c r="C225">
        <v>206</v>
      </c>
      <c r="D225" s="7">
        <v>3679.7335623419453</v>
      </c>
      <c r="E225" s="7"/>
      <c r="F225" s="7">
        <f t="shared" si="9"/>
        <v>297.14767769301301</v>
      </c>
      <c r="G225" s="7"/>
      <c r="H225" s="7"/>
      <c r="I225" s="7"/>
      <c r="J225" s="7">
        <v>987.40929480091154</v>
      </c>
      <c r="K225" s="7"/>
      <c r="L225" s="7">
        <f t="shared" si="10"/>
        <v>63.956737063689125</v>
      </c>
      <c r="M225" s="7"/>
      <c r="N225" s="7"/>
      <c r="O225" s="7"/>
    </row>
    <row r="226" spans="3:15" x14ac:dyDescent="0.2">
      <c r="C226">
        <v>207</v>
      </c>
      <c r="D226" s="7">
        <v>3673.1596613617189</v>
      </c>
      <c r="E226" s="7"/>
      <c r="F226" s="7">
        <f t="shared" si="9"/>
        <v>296.61681876625556</v>
      </c>
      <c r="G226" s="7"/>
      <c r="H226" s="7"/>
      <c r="I226" s="7"/>
      <c r="J226" s="7">
        <v>1184.9117672097095</v>
      </c>
      <c r="K226" s="7"/>
      <c r="L226" s="7">
        <f t="shared" si="10"/>
        <v>76.749419656194888</v>
      </c>
      <c r="M226" s="7"/>
      <c r="N226" s="7"/>
      <c r="O226" s="7"/>
    </row>
    <row r="227" spans="3:15" x14ac:dyDescent="0.2">
      <c r="C227">
        <v>208</v>
      </c>
      <c r="D227" s="7">
        <v>3672.5040168179066</v>
      </c>
      <c r="E227" s="7"/>
      <c r="F227" s="7">
        <f t="shared" si="9"/>
        <v>296.563873831443</v>
      </c>
      <c r="G227" s="7"/>
      <c r="H227" s="7"/>
      <c r="I227" s="7"/>
      <c r="J227" s="7">
        <v>1376.4959831820934</v>
      </c>
      <c r="K227" s="7"/>
      <c r="L227" s="7">
        <f t="shared" si="10"/>
        <v>89.15876337112249</v>
      </c>
      <c r="M227" s="7"/>
      <c r="N227" s="7"/>
      <c r="O227" s="7"/>
    </row>
    <row r="228" spans="3:15" x14ac:dyDescent="0.2">
      <c r="C228">
        <v>209</v>
      </c>
      <c r="D228" s="7">
        <v>3679.866164434743</v>
      </c>
      <c r="E228" s="7"/>
      <c r="F228" s="7">
        <f t="shared" si="9"/>
        <v>297.15838564326663</v>
      </c>
      <c r="G228" s="7"/>
      <c r="H228" s="7"/>
      <c r="I228" s="7"/>
      <c r="J228" s="7">
        <v>1220.633835565256</v>
      </c>
      <c r="K228" s="7"/>
      <c r="L228" s="7">
        <f t="shared" si="10"/>
        <v>79.063218954233164</v>
      </c>
      <c r="M228" s="7"/>
      <c r="N228" s="7"/>
      <c r="O228" s="7"/>
    </row>
    <row r="229" spans="3:15" x14ac:dyDescent="0.2">
      <c r="C229">
        <v>210</v>
      </c>
      <c r="D229" s="7">
        <v>3687.1938758468723</v>
      </c>
      <c r="E229" s="7"/>
      <c r="F229" s="7">
        <f t="shared" si="9"/>
        <v>297.75011664553324</v>
      </c>
      <c r="G229" s="7"/>
      <c r="H229" s="7"/>
      <c r="I229" s="7"/>
      <c r="J229" s="7">
        <v>1510.3061241531277</v>
      </c>
      <c r="K229" s="7"/>
      <c r="L229" s="7">
        <f t="shared" si="10"/>
        <v>97.825949357319985</v>
      </c>
      <c r="M229" s="7"/>
      <c r="N229" s="7"/>
      <c r="O229" s="7"/>
    </row>
    <row r="230" spans="3:15" x14ac:dyDescent="0.2">
      <c r="C230">
        <v>211</v>
      </c>
      <c r="D230" s="7">
        <v>3694.4867091360516</v>
      </c>
      <c r="E230" s="7"/>
      <c r="F230" s="7">
        <f t="shared" si="9"/>
        <v>298.33903115224081</v>
      </c>
      <c r="G230" s="7"/>
      <c r="H230" s="7"/>
      <c r="I230" s="7"/>
      <c r="J230" s="7">
        <v>1800.0132908639484</v>
      </c>
      <c r="K230" s="7"/>
      <c r="L230" s="7">
        <f t="shared" si="10"/>
        <v>116.59093889544886</v>
      </c>
      <c r="M230" s="7"/>
      <c r="N230" s="7"/>
      <c r="O230" s="7"/>
    </row>
    <row r="231" spans="3:15" x14ac:dyDescent="0.2">
      <c r="C231">
        <v>212</v>
      </c>
      <c r="D231" s="7">
        <v>3701.7440762978422</v>
      </c>
      <c r="E231" s="7"/>
      <c r="F231" s="7">
        <f t="shared" si="9"/>
        <v>298.92508168056202</v>
      </c>
      <c r="G231" s="7"/>
      <c r="H231" s="7"/>
      <c r="I231" s="7"/>
      <c r="J231" s="7">
        <v>1941.2559237021569</v>
      </c>
      <c r="K231" s="7"/>
      <c r="L231" s="7">
        <f t="shared" si="10"/>
        <v>125.73954421867288</v>
      </c>
      <c r="M231" s="7"/>
      <c r="N231" s="7"/>
      <c r="O231" s="7"/>
    </row>
    <row r="232" spans="3:15" x14ac:dyDescent="0.2">
      <c r="C232">
        <v>213</v>
      </c>
      <c r="D232" s="7">
        <v>3708.9655433084672</v>
      </c>
      <c r="E232" s="7"/>
      <c r="F232" s="7">
        <f t="shared" si="9"/>
        <v>299.50823318199247</v>
      </c>
      <c r="G232" s="7"/>
      <c r="H232" s="7"/>
      <c r="I232" s="7"/>
      <c r="J232" s="7">
        <v>2379.5344566915319</v>
      </c>
      <c r="K232" s="7"/>
      <c r="L232" s="7">
        <f t="shared" si="10"/>
        <v>154.12783774867518</v>
      </c>
      <c r="M232" s="7"/>
      <c r="N232" s="7"/>
      <c r="O232" s="7"/>
    </row>
    <row r="233" spans="3:15" x14ac:dyDescent="0.2">
      <c r="C233">
        <v>214</v>
      </c>
      <c r="D233" s="7">
        <v>3716.1507553285537</v>
      </c>
      <c r="E233" s="7"/>
      <c r="F233" s="7">
        <f t="shared" si="9"/>
        <v>300.08845700236651</v>
      </c>
      <c r="G233" s="7"/>
      <c r="H233" s="7"/>
      <c r="I233" s="7"/>
      <c r="J233" s="7">
        <v>1629.8492446714463</v>
      </c>
      <c r="K233" s="7"/>
      <c r="L233" s="7">
        <f t="shared" si="10"/>
        <v>105.56902810594019</v>
      </c>
      <c r="M233" s="7"/>
      <c r="N233" s="7"/>
      <c r="O233" s="7"/>
    </row>
    <row r="234" spans="3:15" x14ac:dyDescent="0.2">
      <c r="C234">
        <v>215</v>
      </c>
      <c r="D234" s="7">
        <v>3715.2786855777854</v>
      </c>
      <c r="E234" s="7"/>
      <c r="F234" s="7">
        <f t="shared" si="9"/>
        <v>300.01803519142919</v>
      </c>
      <c r="G234" s="7"/>
      <c r="H234" s="7"/>
      <c r="I234" s="7"/>
      <c r="J234" s="7">
        <v>888.2213144222128</v>
      </c>
      <c r="K234" s="7"/>
      <c r="L234" s="7">
        <f t="shared" si="10"/>
        <v>57.532106857794759</v>
      </c>
      <c r="M234" s="7"/>
      <c r="N234" s="7"/>
      <c r="O234" s="7"/>
    </row>
    <row r="235" spans="3:15" x14ac:dyDescent="0.2">
      <c r="C235">
        <v>216</v>
      </c>
      <c r="D235" s="7">
        <v>3708.5670618214399</v>
      </c>
      <c r="E235" s="7"/>
      <c r="F235" s="7">
        <f t="shared" si="9"/>
        <v>299.47605480644768</v>
      </c>
      <c r="G235" s="7"/>
      <c r="H235" s="7"/>
      <c r="I235" s="7"/>
      <c r="J235" s="7">
        <v>152.4329381785592</v>
      </c>
      <c r="K235" s="7"/>
      <c r="L235" s="7">
        <f t="shared" si="10"/>
        <v>9.8734267524769201</v>
      </c>
      <c r="M235" s="7"/>
      <c r="N235" s="7"/>
      <c r="O235" s="7"/>
    </row>
    <row r="236" spans="3:15" x14ac:dyDescent="0.2">
      <c r="C236">
        <v>217</v>
      </c>
      <c r="D236" s="7">
        <v>2524.5</v>
      </c>
      <c r="E236" s="7"/>
      <c r="F236" s="7">
        <f t="shared" si="9"/>
        <v>203.85968158482189</v>
      </c>
      <c r="G236" s="7"/>
      <c r="H236" s="7"/>
      <c r="I236" s="7"/>
      <c r="J236" s="7">
        <v>0</v>
      </c>
      <c r="K236" s="7"/>
      <c r="L236" s="7">
        <f t="shared" si="10"/>
        <v>0</v>
      </c>
      <c r="M236" s="7"/>
      <c r="N236" s="7"/>
      <c r="O236" s="7"/>
    </row>
    <row r="237" spans="3:15" x14ac:dyDescent="0.2">
      <c r="C237">
        <v>218</v>
      </c>
      <c r="D237" s="7">
        <v>2376</v>
      </c>
      <c r="E237" s="7"/>
      <c r="F237" s="7">
        <f t="shared" si="9"/>
        <v>191.86793560924414</v>
      </c>
      <c r="G237" s="7"/>
      <c r="H237" s="7"/>
      <c r="I237" s="7"/>
      <c r="J237" s="7">
        <v>0</v>
      </c>
      <c r="K237" s="7"/>
      <c r="L237" s="7">
        <f t="shared" si="10"/>
        <v>0</v>
      </c>
      <c r="M237" s="7"/>
      <c r="N237" s="7"/>
      <c r="O237" s="7"/>
    </row>
    <row r="238" spans="3:15" x14ac:dyDescent="0.2">
      <c r="C238">
        <v>219</v>
      </c>
      <c r="D238" s="7">
        <v>2524.5</v>
      </c>
      <c r="E238" s="7"/>
      <c r="F238" s="7">
        <f t="shared" si="9"/>
        <v>203.85968158482189</v>
      </c>
      <c r="G238" s="7"/>
      <c r="H238" s="7"/>
      <c r="I238" s="7"/>
      <c r="J238" s="7">
        <v>0</v>
      </c>
      <c r="K238" s="7"/>
      <c r="L238" s="7">
        <f t="shared" si="10"/>
        <v>0</v>
      </c>
      <c r="M238" s="7"/>
      <c r="N238" s="7"/>
      <c r="O238" s="7"/>
    </row>
    <row r="239" spans="3:15" x14ac:dyDescent="0.2">
      <c r="C239">
        <v>220</v>
      </c>
      <c r="D239" s="7">
        <v>2673</v>
      </c>
      <c r="E239" s="7"/>
      <c r="F239" s="7">
        <f t="shared" si="9"/>
        <v>215.85142756039966</v>
      </c>
      <c r="G239" s="7"/>
      <c r="H239" s="7"/>
      <c r="I239" s="7"/>
      <c r="J239" s="7">
        <v>0</v>
      </c>
      <c r="K239" s="7"/>
      <c r="L239" s="7">
        <f t="shared" si="10"/>
        <v>0</v>
      </c>
      <c r="M239" s="7"/>
      <c r="N239" s="7"/>
      <c r="O239" s="7"/>
    </row>
    <row r="240" spans="3:15" x14ac:dyDescent="0.2">
      <c r="C240">
        <v>221</v>
      </c>
      <c r="D240" s="7">
        <v>2992.8461538461534</v>
      </c>
      <c r="E240" s="7"/>
      <c r="F240" s="7">
        <f t="shared" si="9"/>
        <v>241.67980350779786</v>
      </c>
      <c r="G240" s="7"/>
      <c r="H240" s="7"/>
      <c r="I240" s="7"/>
      <c r="J240" s="7">
        <v>0</v>
      </c>
      <c r="K240" s="7"/>
      <c r="L240" s="7">
        <f t="shared" si="10"/>
        <v>0</v>
      </c>
      <c r="M240" s="7"/>
      <c r="N240" s="7"/>
      <c r="O240" s="7"/>
    </row>
    <row r="241" spans="3:15" x14ac:dyDescent="0.2">
      <c r="C241">
        <v>222</v>
      </c>
      <c r="D241" s="7">
        <v>3198.4615384615386</v>
      </c>
      <c r="E241" s="7"/>
      <c r="F241" s="7">
        <f t="shared" si="9"/>
        <v>258.28375947398251</v>
      </c>
      <c r="G241" s="7"/>
      <c r="H241" s="7"/>
      <c r="I241" s="7"/>
      <c r="J241" s="7">
        <v>0</v>
      </c>
      <c r="K241" s="7"/>
      <c r="L241" s="7">
        <f t="shared" si="10"/>
        <v>0</v>
      </c>
      <c r="M241" s="7"/>
      <c r="N241" s="7"/>
      <c r="O241" s="7"/>
    </row>
    <row r="242" spans="3:15" x14ac:dyDescent="0.2">
      <c r="C242">
        <v>223</v>
      </c>
      <c r="D242" s="7">
        <v>3404.0769230769229</v>
      </c>
      <c r="E242" s="7"/>
      <c r="F242" s="7">
        <f t="shared" si="9"/>
        <v>274.88771544016709</v>
      </c>
      <c r="G242" s="7"/>
      <c r="H242" s="7"/>
      <c r="I242" s="7"/>
      <c r="J242" s="7">
        <v>0</v>
      </c>
      <c r="K242" s="7"/>
      <c r="L242" s="7">
        <f t="shared" si="10"/>
        <v>0</v>
      </c>
      <c r="M242" s="7"/>
      <c r="N242" s="7"/>
      <c r="O242" s="7"/>
    </row>
    <row r="243" spans="3:15" x14ac:dyDescent="0.2">
      <c r="C243">
        <v>224</v>
      </c>
      <c r="D243" s="7">
        <v>3609.6923076923063</v>
      </c>
      <c r="E243" s="7"/>
      <c r="F243" s="7">
        <f t="shared" si="9"/>
        <v>291.49167140635154</v>
      </c>
      <c r="G243" s="7"/>
      <c r="H243" s="7"/>
      <c r="I243" s="7"/>
      <c r="J243" s="7">
        <v>0</v>
      </c>
      <c r="K243" s="7"/>
      <c r="L243" s="7">
        <f t="shared" si="10"/>
        <v>0</v>
      </c>
      <c r="M243" s="7"/>
      <c r="N243" s="7"/>
      <c r="O243" s="7"/>
    </row>
    <row r="244" spans="3:15" x14ac:dyDescent="0.2">
      <c r="C244">
        <v>225</v>
      </c>
      <c r="D244" s="7">
        <v>3688.5069705267197</v>
      </c>
      <c r="E244" s="7"/>
      <c r="F244" s="7">
        <f t="shared" si="9"/>
        <v>297.8561523212411</v>
      </c>
      <c r="G244" s="7"/>
      <c r="H244" s="7"/>
      <c r="I244" s="7"/>
      <c r="J244" s="7">
        <v>126.8007217809718</v>
      </c>
      <c r="K244" s="7"/>
      <c r="L244" s="7">
        <f t="shared" si="10"/>
        <v>8.2131700249659492</v>
      </c>
      <c r="M244" s="7"/>
      <c r="N244" s="7"/>
      <c r="O244" s="7"/>
    </row>
    <row r="245" spans="3:15" x14ac:dyDescent="0.2">
      <c r="C245">
        <v>226</v>
      </c>
      <c r="D245" s="7">
        <v>3681.9462648902199</v>
      </c>
      <c r="E245" s="7"/>
      <c r="F245" s="7">
        <f t="shared" si="9"/>
        <v>297.32635895145359</v>
      </c>
      <c r="G245" s="7"/>
      <c r="H245" s="7"/>
      <c r="I245" s="7"/>
      <c r="J245" s="7">
        <v>338.97681203285629</v>
      </c>
      <c r="K245" s="7"/>
      <c r="L245" s="7">
        <f t="shared" si="10"/>
        <v>21.956296089195927</v>
      </c>
      <c r="M245" s="7"/>
      <c r="N245" s="7"/>
      <c r="O245" s="7"/>
    </row>
    <row r="246" spans="3:15" x14ac:dyDescent="0.2">
      <c r="C246">
        <v>227</v>
      </c>
      <c r="D246" s="7">
        <v>3675.4185229729483</v>
      </c>
      <c r="E246" s="7"/>
      <c r="F246" s="7">
        <f t="shared" si="9"/>
        <v>296.79922748434211</v>
      </c>
      <c r="G246" s="7"/>
      <c r="H246" s="7"/>
      <c r="I246" s="7"/>
      <c r="J246" s="7">
        <v>551.11993856551271</v>
      </c>
      <c r="K246" s="7"/>
      <c r="L246" s="7">
        <f t="shared" si="10"/>
        <v>35.697287018650073</v>
      </c>
      <c r="M246" s="7"/>
      <c r="N246" s="7"/>
      <c r="O246" s="7"/>
    </row>
    <row r="247" spans="3:15" x14ac:dyDescent="0.2">
      <c r="C247">
        <v>228</v>
      </c>
      <c r="D247" s="7">
        <v>3668.9236348991985</v>
      </c>
      <c r="E247" s="7"/>
      <c r="F247" s="7">
        <f t="shared" si="9"/>
        <v>296.27474904716894</v>
      </c>
      <c r="G247" s="7"/>
      <c r="H247" s="7"/>
      <c r="I247" s="7"/>
      <c r="J247" s="7">
        <v>763.2302112546472</v>
      </c>
      <c r="K247" s="7"/>
      <c r="L247" s="7">
        <f t="shared" si="10"/>
        <v>49.436149930226797</v>
      </c>
      <c r="M247" s="7"/>
      <c r="N247" s="7"/>
      <c r="O247" s="7"/>
    </row>
    <row r="248" spans="3:15" x14ac:dyDescent="0.2">
      <c r="C248">
        <v>229</v>
      </c>
      <c r="D248" s="7">
        <v>3662.4614910893702</v>
      </c>
      <c r="E248" s="7"/>
      <c r="F248" s="7">
        <f t="shared" si="9"/>
        <v>295.75291479110757</v>
      </c>
      <c r="G248" s="7"/>
      <c r="H248" s="7"/>
      <c r="I248" s="7"/>
      <c r="J248" s="7">
        <v>975.30773967985942</v>
      </c>
      <c r="K248" s="7"/>
      <c r="L248" s="7">
        <f t="shared" si="10"/>
        <v>63.172891921645039</v>
      </c>
      <c r="M248" s="7"/>
      <c r="N248" s="7"/>
      <c r="O248" s="7"/>
    </row>
    <row r="249" spans="3:15" x14ac:dyDescent="0.2">
      <c r="C249">
        <v>230</v>
      </c>
      <c r="D249" s="7">
        <v>3656.0319822593174</v>
      </c>
      <c r="E249" s="7"/>
      <c r="F249" s="7">
        <f t="shared" si="9"/>
        <v>295.23371589119017</v>
      </c>
      <c r="G249" s="7"/>
      <c r="H249" s="7"/>
      <c r="I249" s="7"/>
      <c r="J249" s="7">
        <v>1187.3526331252979</v>
      </c>
      <c r="K249" s="7"/>
      <c r="L249" s="7">
        <f t="shared" si="10"/>
        <v>76.907520071486687</v>
      </c>
      <c r="M249" s="7"/>
      <c r="N249" s="7"/>
      <c r="O249" s="7"/>
    </row>
    <row r="250" spans="3:15" x14ac:dyDescent="0.2">
      <c r="C250">
        <v>231</v>
      </c>
      <c r="D250" s="7">
        <v>3649.6349994196735</v>
      </c>
      <c r="E250" s="7"/>
      <c r="F250" s="7">
        <f t="shared" si="9"/>
        <v>294.71714354625323</v>
      </c>
      <c r="G250" s="7"/>
      <c r="H250" s="7"/>
      <c r="I250" s="7"/>
      <c r="J250" s="7">
        <v>1399.3650005803265</v>
      </c>
      <c r="K250" s="7"/>
      <c r="L250" s="7">
        <f t="shared" si="10"/>
        <v>90.640041439239752</v>
      </c>
      <c r="M250" s="7"/>
      <c r="N250" s="7"/>
      <c r="O250" s="7"/>
    </row>
    <row r="251" spans="3:15" x14ac:dyDescent="0.2">
      <c r="C251">
        <v>232</v>
      </c>
      <c r="D251" s="7">
        <v>3649.8039065213493</v>
      </c>
      <c r="E251" s="7"/>
      <c r="F251" s="7">
        <f t="shared" si="9"/>
        <v>294.73078321666918</v>
      </c>
      <c r="G251" s="7"/>
      <c r="H251" s="7"/>
      <c r="I251" s="7"/>
      <c r="J251" s="7">
        <v>1250.6960934786498</v>
      </c>
      <c r="K251" s="7"/>
      <c r="L251" s="7">
        <f t="shared" si="10"/>
        <v>81.010419507267656</v>
      </c>
      <c r="M251" s="7"/>
      <c r="N251" s="7"/>
      <c r="O251" s="7"/>
    </row>
    <row r="252" spans="3:15" x14ac:dyDescent="0.2">
      <c r="C252">
        <v>233</v>
      </c>
      <c r="D252" s="7">
        <v>3658.1569334868277</v>
      </c>
      <c r="E252" s="7"/>
      <c r="F252" s="7">
        <f t="shared" si="9"/>
        <v>295.40531101126288</v>
      </c>
      <c r="G252" s="7"/>
      <c r="H252" s="7"/>
      <c r="I252" s="7"/>
      <c r="J252" s="7">
        <v>1509.6430665131725</v>
      </c>
      <c r="K252" s="7"/>
      <c r="L252" s="7">
        <f t="shared" si="10"/>
        <v>97.78300161178025</v>
      </c>
      <c r="M252" s="7"/>
      <c r="N252" s="7"/>
      <c r="O252" s="7"/>
    </row>
    <row r="253" spans="3:15" x14ac:dyDescent="0.2">
      <c r="C253">
        <v>234</v>
      </c>
      <c r="D253" s="7">
        <v>3666.4752723370971</v>
      </c>
      <c r="E253" s="7"/>
      <c r="F253" s="7">
        <f t="shared" si="9"/>
        <v>296.07703765389732</v>
      </c>
      <c r="G253" s="7"/>
      <c r="H253" s="7"/>
      <c r="I253" s="7"/>
      <c r="J253" s="7">
        <v>1768.6247276629033</v>
      </c>
      <c r="K253" s="7"/>
      <c r="L253" s="7">
        <f t="shared" si="10"/>
        <v>114.55783054410303</v>
      </c>
      <c r="M253" s="7"/>
      <c r="N253" s="7"/>
      <c r="O253" s="7"/>
    </row>
    <row r="254" spans="3:15" x14ac:dyDescent="0.2">
      <c r="C254">
        <v>235</v>
      </c>
      <c r="D254" s="7">
        <v>3674.7582275080526</v>
      </c>
      <c r="E254" s="7"/>
      <c r="F254" s="7">
        <f t="shared" si="9"/>
        <v>296.74590697603333</v>
      </c>
      <c r="G254" s="7"/>
      <c r="H254" s="7"/>
      <c r="I254" s="7"/>
      <c r="J254" s="7">
        <v>2265.2417724919464</v>
      </c>
      <c r="K254" s="7"/>
      <c r="L254" s="7">
        <f t="shared" si="10"/>
        <v>146.72484165562139</v>
      </c>
      <c r="M254" s="7"/>
      <c r="N254" s="7"/>
      <c r="O254" s="7"/>
    </row>
    <row r="255" spans="3:15" x14ac:dyDescent="0.2">
      <c r="C255">
        <v>236</v>
      </c>
      <c r="D255" s="7">
        <v>3683.0048837340419</v>
      </c>
      <c r="E255" s="7"/>
      <c r="F255" s="7">
        <f t="shared" si="9"/>
        <v>297.41184506768303</v>
      </c>
      <c r="G255" s="7"/>
      <c r="H255" s="7"/>
      <c r="I255" s="7"/>
      <c r="J255" s="7">
        <v>2256.9951162659572</v>
      </c>
      <c r="K255" s="7"/>
      <c r="L255" s="7">
        <f t="shared" si="10"/>
        <v>146.19068704853257</v>
      </c>
      <c r="M255" s="7"/>
      <c r="N255" s="7"/>
      <c r="O255" s="7"/>
    </row>
    <row r="256" spans="3:15" x14ac:dyDescent="0.2">
      <c r="C256">
        <v>237</v>
      </c>
      <c r="D256" s="7">
        <v>3691.2150813796729</v>
      </c>
      <c r="E256" s="7"/>
      <c r="F256" s="7">
        <f t="shared" si="9"/>
        <v>298.07483903788972</v>
      </c>
      <c r="G256" s="7"/>
      <c r="H256" s="7"/>
      <c r="I256" s="7"/>
      <c r="J256" s="7">
        <v>2545.7849186203271</v>
      </c>
      <c r="K256" s="7"/>
      <c r="L256" s="7">
        <f t="shared" si="10"/>
        <v>164.896256818946</v>
      </c>
      <c r="M256" s="7"/>
      <c r="N256" s="7"/>
      <c r="O256" s="7"/>
    </row>
    <row r="257" spans="3:15" x14ac:dyDescent="0.2">
      <c r="C257">
        <v>238</v>
      </c>
      <c r="D257" s="7">
        <v>3699.3888577368089</v>
      </c>
      <c r="E257" s="7"/>
      <c r="F257" s="7">
        <f t="shared" si="9"/>
        <v>298.73489189806452</v>
      </c>
      <c r="G257" s="7"/>
      <c r="H257" s="7"/>
      <c r="I257" s="7"/>
      <c r="J257" s="7">
        <v>1765.4111422631913</v>
      </c>
      <c r="K257" s="7"/>
      <c r="L257" s="7">
        <f t="shared" si="10"/>
        <v>114.34967933717873</v>
      </c>
      <c r="M257" s="7"/>
      <c r="N257" s="7"/>
      <c r="O257" s="7"/>
    </row>
    <row r="258" spans="3:15" x14ac:dyDescent="0.2">
      <c r="C258">
        <v>239</v>
      </c>
      <c r="D258" s="7">
        <v>3699.5132855736906</v>
      </c>
      <c r="E258" s="7"/>
      <c r="F258" s="7">
        <f t="shared" si="9"/>
        <v>298.74493975673238</v>
      </c>
      <c r="G258" s="7"/>
      <c r="H258" s="7"/>
      <c r="I258" s="7"/>
      <c r="J258" s="7">
        <v>993.08671442630975</v>
      </c>
      <c r="K258" s="7"/>
      <c r="L258" s="7">
        <f t="shared" si="10"/>
        <v>64.324476395386455</v>
      </c>
      <c r="M258" s="7"/>
      <c r="N258" s="7"/>
      <c r="O258" s="7"/>
    </row>
    <row r="259" spans="3:15" x14ac:dyDescent="0.2">
      <c r="C259">
        <v>240</v>
      </c>
      <c r="D259" s="7">
        <v>3693.8433699813822</v>
      </c>
      <c r="E259" s="7"/>
      <c r="F259" s="7">
        <f t="shared" si="9"/>
        <v>298.28707990834226</v>
      </c>
      <c r="G259" s="7"/>
      <c r="H259" s="7"/>
      <c r="I259" s="7"/>
      <c r="J259" s="7">
        <v>226.5566300186174</v>
      </c>
      <c r="K259" s="7"/>
      <c r="L259" s="7">
        <f t="shared" si="10"/>
        <v>14.674586204961493</v>
      </c>
      <c r="M259" s="7"/>
      <c r="N259" s="7"/>
      <c r="O259" s="7"/>
    </row>
    <row r="260" spans="3:15" x14ac:dyDescent="0.2">
      <c r="C260">
        <v>241</v>
      </c>
      <c r="D260" s="7">
        <v>2524.5</v>
      </c>
      <c r="E260" s="7"/>
      <c r="F260" s="7">
        <f t="shared" si="9"/>
        <v>203.85968158482189</v>
      </c>
      <c r="G260" s="7"/>
      <c r="H260" s="7"/>
      <c r="I260" s="7"/>
      <c r="J260" s="7">
        <v>0</v>
      </c>
      <c r="K260" s="7"/>
      <c r="L260" s="7">
        <f t="shared" si="10"/>
        <v>0</v>
      </c>
      <c r="M260" s="7"/>
      <c r="N260" s="7"/>
      <c r="O260" s="7"/>
    </row>
    <row r="261" spans="3:15" x14ac:dyDescent="0.2">
      <c r="C261">
        <v>242</v>
      </c>
      <c r="D261" s="7">
        <v>2376</v>
      </c>
      <c r="E261" s="7"/>
      <c r="F261" s="7">
        <f t="shared" si="9"/>
        <v>191.86793560924414</v>
      </c>
      <c r="G261" s="7"/>
      <c r="H261" s="7"/>
      <c r="I261" s="7"/>
      <c r="J261" s="7">
        <v>0</v>
      </c>
      <c r="K261" s="7"/>
      <c r="L261" s="7">
        <f t="shared" si="10"/>
        <v>0</v>
      </c>
      <c r="M261" s="7"/>
      <c r="N261" s="7"/>
      <c r="O261" s="7"/>
    </row>
    <row r="262" spans="3:15" x14ac:dyDescent="0.2">
      <c r="C262">
        <v>243</v>
      </c>
      <c r="D262" s="7">
        <v>2524.5</v>
      </c>
      <c r="E262" s="7"/>
      <c r="F262" s="7">
        <f t="shared" si="9"/>
        <v>203.85968158482189</v>
      </c>
      <c r="G262" s="7"/>
      <c r="H262" s="7"/>
      <c r="I262" s="7"/>
      <c r="J262" s="7">
        <v>0</v>
      </c>
      <c r="K262" s="7"/>
      <c r="L262" s="7">
        <f t="shared" si="10"/>
        <v>0</v>
      </c>
      <c r="M262" s="7"/>
      <c r="N262" s="7"/>
      <c r="O262" s="7"/>
    </row>
    <row r="263" spans="3:15" x14ac:dyDescent="0.2">
      <c r="C263">
        <v>244</v>
      </c>
      <c r="D263" s="7">
        <v>2673</v>
      </c>
      <c r="E263" s="7"/>
      <c r="F263" s="7">
        <f t="shared" si="9"/>
        <v>215.85142756039966</v>
      </c>
      <c r="G263" s="7"/>
      <c r="H263" s="7"/>
      <c r="I263" s="7"/>
      <c r="J263" s="7">
        <v>0</v>
      </c>
      <c r="K263" s="7"/>
      <c r="L263" s="7">
        <f t="shared" si="10"/>
        <v>0</v>
      </c>
      <c r="M263" s="7"/>
      <c r="N263" s="7"/>
      <c r="O263" s="7"/>
    </row>
    <row r="264" spans="3:15" x14ac:dyDescent="0.2">
      <c r="C264">
        <v>245</v>
      </c>
      <c r="D264" s="7">
        <v>2969.9999999999995</v>
      </c>
      <c r="E264" s="7"/>
      <c r="F264" s="7">
        <f t="shared" si="9"/>
        <v>239.83491951155514</v>
      </c>
      <c r="G264" s="7"/>
      <c r="H264" s="7"/>
      <c r="I264" s="7"/>
      <c r="J264" s="7">
        <v>0</v>
      </c>
      <c r="K264" s="7"/>
      <c r="L264" s="7">
        <f t="shared" si="10"/>
        <v>0</v>
      </c>
      <c r="M264" s="7"/>
      <c r="N264" s="7"/>
      <c r="O264" s="7"/>
    </row>
    <row r="265" spans="3:15" x14ac:dyDescent="0.2">
      <c r="C265">
        <v>246</v>
      </c>
      <c r="D265" s="7">
        <v>3167.9999999999995</v>
      </c>
      <c r="E265" s="7"/>
      <c r="F265" s="7">
        <f t="shared" si="9"/>
        <v>255.82391414565882</v>
      </c>
      <c r="G265" s="7"/>
      <c r="H265" s="7"/>
      <c r="I265" s="7"/>
      <c r="J265" s="7">
        <v>0</v>
      </c>
      <c r="K265" s="7"/>
      <c r="L265" s="7">
        <f t="shared" si="10"/>
        <v>0</v>
      </c>
      <c r="M265" s="7"/>
      <c r="N265" s="7"/>
      <c r="O265" s="7"/>
    </row>
    <row r="266" spans="3:15" x14ac:dyDescent="0.2">
      <c r="C266">
        <v>247</v>
      </c>
      <c r="D266" s="7">
        <v>3365.9999999999995</v>
      </c>
      <c r="E266" s="7"/>
      <c r="F266" s="7">
        <f t="shared" si="9"/>
        <v>271.81290877976249</v>
      </c>
      <c r="G266" s="7"/>
      <c r="H266" s="7"/>
      <c r="I266" s="7"/>
      <c r="J266" s="7">
        <v>0</v>
      </c>
      <c r="K266" s="7"/>
      <c r="L266" s="7">
        <f t="shared" si="10"/>
        <v>0</v>
      </c>
      <c r="M266" s="7"/>
      <c r="N266" s="7"/>
      <c r="O266" s="7"/>
    </row>
    <row r="267" spans="3:15" x14ac:dyDescent="0.2">
      <c r="C267">
        <v>248</v>
      </c>
      <c r="D267" s="7">
        <v>3563.9999999999995</v>
      </c>
      <c r="E267" s="7"/>
      <c r="F267" s="7">
        <f t="shared" si="9"/>
        <v>287.80190341386617</v>
      </c>
      <c r="G267" s="7"/>
      <c r="H267" s="7"/>
      <c r="I267" s="7"/>
      <c r="J267" s="7">
        <v>0</v>
      </c>
      <c r="K267" s="7"/>
      <c r="L267" s="7">
        <f t="shared" si="10"/>
        <v>0</v>
      </c>
      <c r="M267" s="7"/>
      <c r="N267" s="7"/>
      <c r="O267" s="7"/>
    </row>
    <row r="268" spans="3:15" x14ac:dyDescent="0.2">
      <c r="C268">
        <v>249</v>
      </c>
      <c r="D268" s="7">
        <v>3691.0515321247517</v>
      </c>
      <c r="E268" s="7"/>
      <c r="F268" s="7">
        <f t="shared" si="9"/>
        <v>298.06163202698389</v>
      </c>
      <c r="G268" s="7"/>
      <c r="H268" s="7"/>
      <c r="I268" s="7"/>
      <c r="J268" s="7">
        <v>70.948467875247388</v>
      </c>
      <c r="K268" s="7"/>
      <c r="L268" s="7">
        <f t="shared" si="10"/>
        <v>4.5954930026091176</v>
      </c>
      <c r="M268" s="7"/>
      <c r="N268" s="7"/>
      <c r="O268" s="7"/>
    </row>
    <row r="269" spans="3:15" x14ac:dyDescent="0.2">
      <c r="C269">
        <v>250</v>
      </c>
      <c r="D269" s="7">
        <v>3699.3004024637848</v>
      </c>
      <c r="E269" s="7"/>
      <c r="F269" s="7">
        <f t="shared" si="9"/>
        <v>298.72774891379311</v>
      </c>
      <c r="G269" s="7"/>
      <c r="H269" s="7"/>
      <c r="I269" s="7"/>
      <c r="J269" s="7">
        <v>260.6995975362147</v>
      </c>
      <c r="K269" s="7"/>
      <c r="L269" s="7">
        <f t="shared" si="10"/>
        <v>16.886103564171016</v>
      </c>
      <c r="M269" s="7"/>
      <c r="N269" s="7"/>
      <c r="O269" s="7"/>
    </row>
    <row r="270" spans="3:15" x14ac:dyDescent="0.2">
      <c r="C270">
        <v>251</v>
      </c>
      <c r="D270" s="7">
        <v>3707.5203037972587</v>
      </c>
      <c r="E270" s="7"/>
      <c r="F270" s="7">
        <f t="shared" si="9"/>
        <v>299.39152648103436</v>
      </c>
      <c r="G270" s="7"/>
      <c r="H270" s="7"/>
      <c r="I270" s="7"/>
      <c r="J270" s="7">
        <v>450.47969620274125</v>
      </c>
      <c r="K270" s="7"/>
      <c r="L270" s="7">
        <f t="shared" si="10"/>
        <v>29.178590513854136</v>
      </c>
      <c r="M270" s="7"/>
      <c r="N270" s="7"/>
      <c r="O270" s="7"/>
    </row>
    <row r="271" spans="3:15" x14ac:dyDescent="0.2">
      <c r="C271">
        <v>252</v>
      </c>
      <c r="D271" s="7">
        <v>3715.7108362274316</v>
      </c>
      <c r="E271" s="7"/>
      <c r="F271" s="7">
        <f t="shared" si="9"/>
        <v>300.05293243596611</v>
      </c>
      <c r="G271" s="7"/>
      <c r="H271" s="7"/>
      <c r="I271" s="7"/>
      <c r="J271" s="7">
        <v>640.28916377256837</v>
      </c>
      <c r="K271" s="7"/>
      <c r="L271" s="7">
        <f t="shared" si="10"/>
        <v>41.472979753941182</v>
      </c>
      <c r="M271" s="7"/>
      <c r="N271" s="7"/>
      <c r="O271" s="7"/>
    </row>
    <row r="272" spans="3:15" x14ac:dyDescent="0.2">
      <c r="C272">
        <v>253</v>
      </c>
      <c r="D272" s="7">
        <v>3723.8716022167678</v>
      </c>
      <c r="E272" s="7"/>
      <c r="F272" s="7">
        <f t="shared" si="9"/>
        <v>300.71193467643923</v>
      </c>
      <c r="G272" s="7"/>
      <c r="H272" s="7"/>
      <c r="I272" s="7"/>
      <c r="J272" s="7">
        <v>830.12839778323132</v>
      </c>
      <c r="K272" s="7"/>
      <c r="L272" s="7">
        <f t="shared" si="10"/>
        <v>53.769297033838953</v>
      </c>
      <c r="M272" s="7"/>
      <c r="N272" s="7"/>
      <c r="O272" s="7"/>
    </row>
    <row r="273" spans="3:15" x14ac:dyDescent="0.2">
      <c r="C273">
        <v>254</v>
      </c>
      <c r="D273" s="7">
        <v>3732.0022066219117</v>
      </c>
      <c r="E273" s="7"/>
      <c r="F273" s="7">
        <f t="shared" si="9"/>
        <v>301.36850129364058</v>
      </c>
      <c r="G273" s="7"/>
      <c r="H273" s="7"/>
      <c r="I273" s="7"/>
      <c r="J273" s="7">
        <v>1019.9977933780883</v>
      </c>
      <c r="K273" s="7"/>
      <c r="L273" s="7">
        <f t="shared" si="10"/>
        <v>66.06756794787799</v>
      </c>
      <c r="M273" s="7"/>
      <c r="N273" s="7"/>
      <c r="O273" s="7"/>
    </row>
    <row r="274" spans="3:15" x14ac:dyDescent="0.2">
      <c r="C274">
        <v>255</v>
      </c>
      <c r="D274" s="7">
        <v>3740.1024318747754</v>
      </c>
      <c r="E274" s="7"/>
      <c r="F274" s="7">
        <f t="shared" si="9"/>
        <v>302.02261471840353</v>
      </c>
      <c r="G274" s="7"/>
      <c r="H274" s="7"/>
      <c r="I274" s="7"/>
      <c r="J274" s="7">
        <v>863.39756812522455</v>
      </c>
      <c r="K274" s="7"/>
      <c r="L274" s="7">
        <f t="shared" si="10"/>
        <v>55.924216570340747</v>
      </c>
      <c r="M274" s="7"/>
      <c r="N274" s="7"/>
      <c r="O274" s="7"/>
    </row>
    <row r="275" spans="3:15" x14ac:dyDescent="0.2">
      <c r="C275">
        <v>256</v>
      </c>
      <c r="D275" s="7">
        <v>3748.1725110924617</v>
      </c>
      <c r="E275" s="7"/>
      <c r="F275" s="7">
        <f t="shared" si="9"/>
        <v>302.67429377551656</v>
      </c>
      <c r="G275" s="7"/>
      <c r="H275" s="7"/>
      <c r="I275" s="7"/>
      <c r="J275" s="7">
        <v>1201.8274889075383</v>
      </c>
      <c r="K275" s="7"/>
      <c r="L275" s="7">
        <f t="shared" si="10"/>
        <v>77.845089274221635</v>
      </c>
      <c r="M275" s="7"/>
      <c r="N275" s="7"/>
      <c r="O275" s="7"/>
    </row>
    <row r="276" spans="3:15" x14ac:dyDescent="0.2">
      <c r="C276">
        <v>257</v>
      </c>
      <c r="D276" s="7">
        <v>3756.2118513137352</v>
      </c>
      <c r="E276" s="7"/>
      <c r="F276" s="7">
        <f t="shared" si="9"/>
        <v>303.32349058187856</v>
      </c>
      <c r="G276" s="7"/>
      <c r="H276" s="7"/>
      <c r="I276" s="7"/>
      <c r="J276" s="7">
        <v>1540.2881486862648</v>
      </c>
      <c r="K276" s="7"/>
      <c r="L276" s="7">
        <f t="shared" si="10"/>
        <v>99.767953012541355</v>
      </c>
      <c r="M276" s="7"/>
      <c r="N276" s="7"/>
      <c r="O276" s="7"/>
    </row>
    <row r="277" spans="3:15" x14ac:dyDescent="0.2">
      <c r="C277">
        <v>258</v>
      </c>
      <c r="D277" s="7">
        <v>3763.6903080473157</v>
      </c>
      <c r="E277" s="7"/>
      <c r="F277" s="7">
        <f t="shared" ref="F277:F340" si="11">D277*(1-($C$2/($D$8-$D$6)*LN($D$8/$D$6)))</f>
        <v>303.92739464543712</v>
      </c>
      <c r="G277" s="7"/>
      <c r="H277" s="7"/>
      <c r="I277" s="7"/>
      <c r="J277" s="7">
        <v>1879.3096919526834</v>
      </c>
      <c r="K277" s="7"/>
      <c r="L277" s="7">
        <f t="shared" ref="L277:L340" si="12">J277*(1-$C$2/($D$10-$D$9)*LN($D$10/$D$9))</f>
        <v>121.72714644507661</v>
      </c>
      <c r="M277" s="7"/>
      <c r="N277" s="7"/>
      <c r="O277" s="7"/>
    </row>
    <row r="278" spans="3:15" x14ac:dyDescent="0.2">
      <c r="C278">
        <v>259</v>
      </c>
      <c r="D278" s="7">
        <v>3769.0225167617268</v>
      </c>
      <c r="E278" s="7"/>
      <c r="F278" s="7">
        <f t="shared" si="11"/>
        <v>304.3579838197939</v>
      </c>
      <c r="G278" s="7"/>
      <c r="H278" s="7"/>
      <c r="I278" s="7"/>
      <c r="J278" s="7">
        <v>1465.6024832382732</v>
      </c>
      <c r="K278" s="7"/>
      <c r="L278" s="7">
        <f t="shared" si="12"/>
        <v>94.930393256283494</v>
      </c>
      <c r="M278" s="7"/>
      <c r="N278" s="7"/>
      <c r="O278" s="7"/>
    </row>
    <row r="279" spans="3:15" x14ac:dyDescent="0.2">
      <c r="C279">
        <v>260</v>
      </c>
      <c r="D279" s="7">
        <v>3774.3287684462248</v>
      </c>
      <c r="E279" s="7"/>
      <c r="F279" s="7">
        <f t="shared" si="11"/>
        <v>304.78647689914055</v>
      </c>
      <c r="G279" s="7"/>
      <c r="H279" s="7"/>
      <c r="I279" s="7"/>
      <c r="J279" s="7">
        <v>1051.9212315537752</v>
      </c>
      <c r="K279" s="7"/>
      <c r="L279" s="7">
        <f t="shared" si="12"/>
        <v>68.135321363125115</v>
      </c>
      <c r="M279" s="7"/>
      <c r="N279" s="7"/>
      <c r="O279" s="7"/>
    </row>
    <row r="280" spans="3:15" x14ac:dyDescent="0.2">
      <c r="C280">
        <v>261</v>
      </c>
      <c r="D280" s="7">
        <v>3779.6104980491154</v>
      </c>
      <c r="E280" s="7"/>
      <c r="F280" s="7">
        <f t="shared" si="11"/>
        <v>305.21298975913754</v>
      </c>
      <c r="G280" s="7"/>
      <c r="H280" s="7"/>
      <c r="I280" s="7"/>
      <c r="J280" s="7">
        <v>638.26450195088455</v>
      </c>
      <c r="K280" s="7"/>
      <c r="L280" s="7">
        <f t="shared" si="12"/>
        <v>41.341837820748793</v>
      </c>
      <c r="M280" s="7"/>
      <c r="N280" s="7"/>
      <c r="O280" s="7"/>
    </row>
    <row r="281" spans="3:15" x14ac:dyDescent="0.2">
      <c r="C281">
        <v>262</v>
      </c>
      <c r="D281" s="7">
        <v>3784.8691317787147</v>
      </c>
      <c r="E281" s="7"/>
      <c r="F281" s="7">
        <f t="shared" si="11"/>
        <v>305.63763756966927</v>
      </c>
      <c r="G281" s="7"/>
      <c r="H281" s="7"/>
      <c r="I281" s="7"/>
      <c r="J281" s="7">
        <v>224.63086822128525</v>
      </c>
      <c r="K281" s="7"/>
      <c r="L281" s="7">
        <f t="shared" si="12"/>
        <v>14.549850250410747</v>
      </c>
      <c r="M281" s="7"/>
      <c r="N281" s="7"/>
      <c r="O281" s="7"/>
    </row>
    <row r="282" spans="3:15" x14ac:dyDescent="0.2">
      <c r="C282">
        <v>263</v>
      </c>
      <c r="D282" s="7">
        <v>3601.1250000000005</v>
      </c>
      <c r="E282" s="7"/>
      <c r="F282" s="7">
        <f t="shared" si="11"/>
        <v>290.79983990776066</v>
      </c>
      <c r="G282" s="7"/>
      <c r="H282" s="7"/>
      <c r="I282" s="7"/>
      <c r="J282" s="7">
        <v>0</v>
      </c>
      <c r="K282" s="7"/>
      <c r="L282" s="7">
        <f t="shared" si="12"/>
        <v>0</v>
      </c>
      <c r="M282" s="7"/>
      <c r="N282" s="7"/>
      <c r="O282" s="7"/>
    </row>
    <row r="283" spans="3:15" x14ac:dyDescent="0.2">
      <c r="C283">
        <v>264</v>
      </c>
      <c r="D283" s="7">
        <v>2969.9999999999995</v>
      </c>
      <c r="E283" s="7"/>
      <c r="F283" s="7">
        <f t="shared" si="11"/>
        <v>239.83491951155514</v>
      </c>
      <c r="G283" s="7"/>
      <c r="H283" s="7"/>
      <c r="I283" s="7"/>
      <c r="J283" s="7">
        <v>0</v>
      </c>
      <c r="K283" s="7"/>
      <c r="L283" s="7">
        <f t="shared" si="12"/>
        <v>0</v>
      </c>
      <c r="M283" s="7"/>
      <c r="N283" s="7"/>
      <c r="O283" s="7"/>
    </row>
    <row r="284" spans="3:15" x14ac:dyDescent="0.2">
      <c r="C284">
        <v>265</v>
      </c>
      <c r="D284" s="7">
        <v>2524.5</v>
      </c>
      <c r="E284" s="7"/>
      <c r="F284" s="7">
        <f t="shared" si="11"/>
        <v>203.85968158482189</v>
      </c>
      <c r="G284" s="7"/>
      <c r="H284" s="7"/>
      <c r="I284" s="7"/>
      <c r="J284" s="7">
        <v>0</v>
      </c>
      <c r="K284" s="7"/>
      <c r="L284" s="7">
        <f t="shared" si="12"/>
        <v>0</v>
      </c>
      <c r="M284" s="7"/>
      <c r="N284" s="7"/>
      <c r="O284" s="7"/>
    </row>
    <row r="285" spans="3:15" x14ac:dyDescent="0.2">
      <c r="C285">
        <v>266</v>
      </c>
      <c r="D285" s="7">
        <v>2376</v>
      </c>
      <c r="E285" s="7"/>
      <c r="F285" s="7">
        <f t="shared" si="11"/>
        <v>191.86793560924414</v>
      </c>
      <c r="G285" s="7"/>
      <c r="H285" s="7"/>
      <c r="I285" s="7"/>
      <c r="J285" s="7">
        <v>0</v>
      </c>
      <c r="K285" s="7"/>
      <c r="L285" s="7">
        <f t="shared" si="12"/>
        <v>0</v>
      </c>
      <c r="M285" s="7"/>
      <c r="N285" s="7"/>
      <c r="O285" s="7"/>
    </row>
    <row r="286" spans="3:15" x14ac:dyDescent="0.2">
      <c r="C286">
        <v>267</v>
      </c>
      <c r="D286" s="7">
        <v>2524.5</v>
      </c>
      <c r="E286" s="7"/>
      <c r="F286" s="7">
        <f t="shared" si="11"/>
        <v>203.85968158482189</v>
      </c>
      <c r="G286" s="7"/>
      <c r="H286" s="7"/>
      <c r="I286" s="7"/>
      <c r="J286" s="7">
        <v>0</v>
      </c>
      <c r="K286" s="7"/>
      <c r="L286" s="7">
        <f t="shared" si="12"/>
        <v>0</v>
      </c>
      <c r="M286" s="7"/>
      <c r="N286" s="7"/>
      <c r="O286" s="7"/>
    </row>
    <row r="287" spans="3:15" x14ac:dyDescent="0.2">
      <c r="C287">
        <v>268</v>
      </c>
      <c r="D287" s="7">
        <v>2673</v>
      </c>
      <c r="E287" s="7"/>
      <c r="F287" s="7">
        <f t="shared" si="11"/>
        <v>215.85142756039966</v>
      </c>
      <c r="G287" s="7"/>
      <c r="H287" s="7"/>
      <c r="I287" s="7"/>
      <c r="J287" s="7">
        <v>0</v>
      </c>
      <c r="K287" s="7"/>
      <c r="L287" s="7">
        <f t="shared" si="12"/>
        <v>0</v>
      </c>
      <c r="M287" s="7"/>
      <c r="N287" s="7"/>
      <c r="O287" s="7"/>
    </row>
    <row r="288" spans="3:15" x14ac:dyDescent="0.2">
      <c r="C288">
        <v>269</v>
      </c>
      <c r="D288" s="7">
        <v>2943</v>
      </c>
      <c r="E288" s="7"/>
      <c r="F288" s="7">
        <f t="shared" si="11"/>
        <v>237.65460206145011</v>
      </c>
      <c r="G288" s="7"/>
      <c r="H288" s="7"/>
      <c r="I288" s="7"/>
      <c r="J288" s="7">
        <v>0</v>
      </c>
      <c r="K288" s="7"/>
      <c r="L288" s="7">
        <f t="shared" si="12"/>
        <v>0</v>
      </c>
      <c r="M288" s="7"/>
      <c r="N288" s="7"/>
      <c r="O288" s="7"/>
    </row>
    <row r="289" spans="3:15" x14ac:dyDescent="0.2">
      <c r="C289">
        <v>270</v>
      </c>
      <c r="D289" s="7">
        <v>3131.9999999999995</v>
      </c>
      <c r="E289" s="7"/>
      <c r="F289" s="7">
        <f t="shared" si="11"/>
        <v>252.91682421218542</v>
      </c>
      <c r="G289" s="7"/>
      <c r="H289" s="7"/>
      <c r="I289" s="7"/>
      <c r="J289" s="7">
        <v>0</v>
      </c>
      <c r="K289" s="7"/>
      <c r="L289" s="7">
        <f t="shared" si="12"/>
        <v>0</v>
      </c>
      <c r="M289" s="7"/>
      <c r="N289" s="7"/>
      <c r="O289" s="7"/>
    </row>
    <row r="290" spans="3:15" x14ac:dyDescent="0.2">
      <c r="C290">
        <v>271</v>
      </c>
      <c r="D290" s="7">
        <v>3321</v>
      </c>
      <c r="E290" s="7"/>
      <c r="F290" s="7">
        <f t="shared" si="11"/>
        <v>268.17904636292076</v>
      </c>
      <c r="G290" s="7"/>
      <c r="H290" s="7"/>
      <c r="I290" s="7"/>
      <c r="J290" s="7">
        <v>0</v>
      </c>
      <c r="K290" s="7"/>
      <c r="L290" s="7">
        <f t="shared" si="12"/>
        <v>0</v>
      </c>
      <c r="M290" s="7"/>
      <c r="N290" s="7"/>
      <c r="O290" s="7"/>
    </row>
    <row r="291" spans="3:15" x14ac:dyDescent="0.2">
      <c r="C291">
        <v>272</v>
      </c>
      <c r="D291" s="7">
        <v>3510</v>
      </c>
      <c r="E291" s="7"/>
      <c r="F291" s="7">
        <f t="shared" si="11"/>
        <v>283.4412685136561</v>
      </c>
      <c r="G291" s="7"/>
      <c r="H291" s="7"/>
      <c r="I291" s="7"/>
      <c r="J291" s="7">
        <v>0</v>
      </c>
      <c r="K291" s="7"/>
      <c r="L291" s="7">
        <f t="shared" si="12"/>
        <v>0</v>
      </c>
      <c r="M291" s="7"/>
      <c r="N291" s="7"/>
      <c r="O291" s="7"/>
    </row>
    <row r="292" spans="3:15" x14ac:dyDescent="0.2">
      <c r="C292">
        <v>273</v>
      </c>
      <c r="D292" s="7">
        <v>3699</v>
      </c>
      <c r="E292" s="7"/>
      <c r="F292" s="7">
        <f t="shared" si="11"/>
        <v>298.70349066439144</v>
      </c>
      <c r="G292" s="7"/>
      <c r="H292" s="7"/>
      <c r="I292" s="7"/>
      <c r="J292" s="7">
        <v>0</v>
      </c>
      <c r="K292" s="7"/>
      <c r="L292" s="7">
        <f t="shared" si="12"/>
        <v>0</v>
      </c>
      <c r="M292" s="7"/>
      <c r="N292" s="7"/>
      <c r="O292" s="7"/>
    </row>
    <row r="293" spans="3:15" x14ac:dyDescent="0.2">
      <c r="C293">
        <v>274</v>
      </c>
      <c r="D293" s="7">
        <v>3754.0297544169098</v>
      </c>
      <c r="E293" s="7"/>
      <c r="F293" s="7">
        <f t="shared" si="11"/>
        <v>303.14728080625008</v>
      </c>
      <c r="G293" s="7"/>
      <c r="H293" s="7"/>
      <c r="I293" s="7"/>
      <c r="J293" s="7">
        <v>133.97024558308976</v>
      </c>
      <c r="K293" s="7"/>
      <c r="L293" s="7">
        <f t="shared" si="12"/>
        <v>8.6775563246476555</v>
      </c>
      <c r="M293" s="7"/>
      <c r="N293" s="7"/>
      <c r="O293" s="7"/>
    </row>
    <row r="294" spans="3:15" x14ac:dyDescent="0.2">
      <c r="C294">
        <v>275</v>
      </c>
      <c r="D294" s="7">
        <v>3759.4293883669288</v>
      </c>
      <c r="E294" s="7"/>
      <c r="F294" s="7">
        <f t="shared" si="11"/>
        <v>303.58331473682068</v>
      </c>
      <c r="G294" s="7"/>
      <c r="H294" s="7"/>
      <c r="I294" s="7"/>
      <c r="J294" s="7">
        <v>317.57061163307071</v>
      </c>
      <c r="K294" s="7"/>
      <c r="L294" s="7">
        <f t="shared" si="12"/>
        <v>20.569767992174352</v>
      </c>
      <c r="M294" s="7"/>
      <c r="N294" s="7"/>
      <c r="O294" s="7"/>
    </row>
    <row r="295" spans="3:15" x14ac:dyDescent="0.2">
      <c r="C295">
        <v>276</v>
      </c>
      <c r="D295" s="7">
        <v>3764.8073850257233</v>
      </c>
      <c r="E295" s="7"/>
      <c r="F295" s="7">
        <f t="shared" si="11"/>
        <v>304.01760140207165</v>
      </c>
      <c r="G295" s="7"/>
      <c r="H295" s="7"/>
      <c r="I295" s="7"/>
      <c r="J295" s="7">
        <v>501.19261497427669</v>
      </c>
      <c r="K295" s="7"/>
      <c r="L295" s="7">
        <f t="shared" si="12"/>
        <v>32.463381156074369</v>
      </c>
      <c r="M295" s="7"/>
      <c r="N295" s="7"/>
      <c r="O295" s="7"/>
    </row>
    <row r="296" spans="3:15" x14ac:dyDescent="0.2">
      <c r="C296">
        <v>277</v>
      </c>
      <c r="D296" s="7">
        <v>3770.1631935672458</v>
      </c>
      <c r="E296" s="7"/>
      <c r="F296" s="7">
        <f t="shared" si="11"/>
        <v>304.45009632142364</v>
      </c>
      <c r="G296" s="7"/>
      <c r="H296" s="7"/>
      <c r="I296" s="7"/>
      <c r="J296" s="7">
        <v>684.8368064327542</v>
      </c>
      <c r="K296" s="7"/>
      <c r="L296" s="7">
        <f t="shared" si="12"/>
        <v>44.358431494598683</v>
      </c>
      <c r="M296" s="7"/>
      <c r="N296" s="7"/>
      <c r="O296" s="7"/>
    </row>
    <row r="297" spans="3:15" x14ac:dyDescent="0.2">
      <c r="C297">
        <v>278</v>
      </c>
      <c r="D297" s="7">
        <v>3775.496409300451</v>
      </c>
      <c r="E297" s="7"/>
      <c r="F297" s="7">
        <f t="shared" si="11"/>
        <v>304.88076681506368</v>
      </c>
      <c r="G297" s="7"/>
      <c r="H297" s="7"/>
      <c r="I297" s="7"/>
      <c r="J297" s="7">
        <v>594.64644784240591</v>
      </c>
      <c r="K297" s="7"/>
      <c r="L297" s="7">
        <f t="shared" si="12"/>
        <v>38.516597636628177</v>
      </c>
      <c r="M297" s="7"/>
      <c r="N297" s="7"/>
      <c r="O297" s="7"/>
    </row>
    <row r="298" spans="3:15" x14ac:dyDescent="0.2">
      <c r="C298">
        <v>279</v>
      </c>
      <c r="D298" s="7">
        <v>3780.8071826401642</v>
      </c>
      <c r="E298" s="7"/>
      <c r="F298" s="7">
        <f t="shared" si="11"/>
        <v>305.30962502936478</v>
      </c>
      <c r="G298" s="7"/>
      <c r="H298" s="7"/>
      <c r="I298" s="7"/>
      <c r="J298" s="7">
        <v>504.47853164555045</v>
      </c>
      <c r="K298" s="7"/>
      <c r="L298" s="7">
        <f t="shared" si="12"/>
        <v>32.6762174233289</v>
      </c>
      <c r="M298" s="7"/>
      <c r="N298" s="7"/>
      <c r="O298" s="7"/>
    </row>
    <row r="299" spans="3:15" x14ac:dyDescent="0.2">
      <c r="C299">
        <v>280</v>
      </c>
      <c r="D299" s="7">
        <v>3786.0958008606954</v>
      </c>
      <c r="E299" s="7"/>
      <c r="F299" s="7">
        <f t="shared" si="11"/>
        <v>305.73669416244508</v>
      </c>
      <c r="G299" s="7"/>
      <c r="H299" s="7"/>
      <c r="I299" s="7"/>
      <c r="J299" s="7">
        <v>414.3327705678762</v>
      </c>
      <c r="K299" s="7"/>
      <c r="L299" s="7">
        <f t="shared" si="12"/>
        <v>26.837272247292834</v>
      </c>
      <c r="M299" s="7"/>
      <c r="N299" s="7"/>
      <c r="O299" s="7"/>
    </row>
    <row r="300" spans="3:15" x14ac:dyDescent="0.2">
      <c r="C300">
        <v>281</v>
      </c>
      <c r="D300" s="7">
        <v>3791.3625492339806</v>
      </c>
      <c r="E300" s="7"/>
      <c r="F300" s="7">
        <f t="shared" si="11"/>
        <v>306.16199725072607</v>
      </c>
      <c r="G300" s="7"/>
      <c r="H300" s="7"/>
      <c r="I300" s="7"/>
      <c r="J300" s="7">
        <v>324.2088793374478</v>
      </c>
      <c r="K300" s="7"/>
      <c r="L300" s="7">
        <f t="shared" si="12"/>
        <v>20.999743630810432</v>
      </c>
      <c r="M300" s="7"/>
      <c r="N300" s="7"/>
      <c r="O300" s="7"/>
    </row>
    <row r="301" spans="3:15" x14ac:dyDescent="0.2">
      <c r="C301">
        <v>282</v>
      </c>
      <c r="D301" s="7">
        <v>3796.6077110191732</v>
      </c>
      <c r="E301" s="7"/>
      <c r="F301" s="7">
        <f t="shared" si="11"/>
        <v>306.58555716809195</v>
      </c>
      <c r="G301" s="7"/>
      <c r="H301" s="7"/>
      <c r="I301" s="7"/>
      <c r="J301" s="7">
        <v>234.10657469511261</v>
      </c>
      <c r="K301" s="7"/>
      <c r="L301" s="7">
        <f t="shared" si="12"/>
        <v>15.163613226544639</v>
      </c>
      <c r="M301" s="7"/>
      <c r="N301" s="7"/>
      <c r="O301" s="7"/>
    </row>
    <row r="302" spans="3:15" x14ac:dyDescent="0.2">
      <c r="C302">
        <v>283</v>
      </c>
      <c r="D302" s="7">
        <v>3801.8315674524079</v>
      </c>
      <c r="E302" s="7"/>
      <c r="F302" s="7">
        <f t="shared" si="11"/>
        <v>307.00739662506322</v>
      </c>
      <c r="G302" s="7"/>
      <c r="H302" s="7"/>
      <c r="I302" s="7"/>
      <c r="J302" s="7">
        <v>144.02557540473572</v>
      </c>
      <c r="K302" s="7"/>
      <c r="L302" s="7">
        <f t="shared" si="12"/>
        <v>9.32886281819383</v>
      </c>
      <c r="M302" s="7"/>
      <c r="N302" s="7"/>
      <c r="O302" s="7"/>
    </row>
    <row r="303" spans="3:15" x14ac:dyDescent="0.2">
      <c r="C303">
        <v>284</v>
      </c>
      <c r="D303" s="7">
        <v>3807.0343977367233</v>
      </c>
      <c r="E303" s="7"/>
      <c r="F303" s="7">
        <f t="shared" si="11"/>
        <v>307.42753816798279</v>
      </c>
      <c r="G303" s="7"/>
      <c r="H303" s="7"/>
      <c r="I303" s="7"/>
      <c r="J303" s="7">
        <v>53.965602263276651</v>
      </c>
      <c r="K303" s="7"/>
      <c r="L303" s="7">
        <f t="shared" si="12"/>
        <v>3.4954743211445263</v>
      </c>
      <c r="M303" s="7"/>
      <c r="N303" s="7"/>
      <c r="O303" s="7"/>
    </row>
    <row r="304" spans="3:15" x14ac:dyDescent="0.2">
      <c r="C304">
        <v>285</v>
      </c>
      <c r="D304" s="7">
        <v>3812.2162860125741</v>
      </c>
      <c r="E304" s="7"/>
      <c r="F304" s="7">
        <f t="shared" si="11"/>
        <v>307.84598859140249</v>
      </c>
      <c r="G304" s="7"/>
      <c r="H304" s="7"/>
      <c r="I304" s="7"/>
      <c r="J304" s="7">
        <v>345.78371398742593</v>
      </c>
      <c r="K304" s="7"/>
      <c r="L304" s="7">
        <f t="shared" si="12"/>
        <v>22.39719455026875</v>
      </c>
      <c r="M304" s="7"/>
      <c r="N304" s="7"/>
      <c r="O304" s="7"/>
    </row>
    <row r="305" spans="3:15" x14ac:dyDescent="0.2">
      <c r="C305">
        <v>286</v>
      </c>
      <c r="D305" s="7">
        <v>3712.4999999999995</v>
      </c>
      <c r="E305" s="7"/>
      <c r="F305" s="7">
        <f t="shared" si="11"/>
        <v>299.79364938944394</v>
      </c>
      <c r="G305" s="7"/>
      <c r="H305" s="7"/>
      <c r="I305" s="7"/>
      <c r="J305" s="7">
        <v>0</v>
      </c>
      <c r="K305" s="7"/>
      <c r="L305" s="7">
        <f t="shared" si="12"/>
        <v>0</v>
      </c>
      <c r="M305" s="7"/>
      <c r="N305" s="7"/>
      <c r="O305" s="7"/>
    </row>
    <row r="306" spans="3:15" x14ac:dyDescent="0.2">
      <c r="C306">
        <v>287</v>
      </c>
      <c r="D306" s="7">
        <v>3267</v>
      </c>
      <c r="E306" s="7"/>
      <c r="F306" s="7">
        <f t="shared" si="11"/>
        <v>263.81841146271069</v>
      </c>
      <c r="G306" s="7"/>
      <c r="H306" s="7"/>
      <c r="I306" s="7"/>
      <c r="J306" s="7">
        <v>0</v>
      </c>
      <c r="K306" s="7"/>
      <c r="L306" s="7">
        <f t="shared" si="12"/>
        <v>0</v>
      </c>
      <c r="M306" s="7"/>
      <c r="N306" s="7"/>
      <c r="O306" s="7"/>
    </row>
    <row r="307" spans="3:15" x14ac:dyDescent="0.2">
      <c r="C307">
        <v>288</v>
      </c>
      <c r="D307" s="7">
        <v>2821.4999999999995</v>
      </c>
      <c r="E307" s="7"/>
      <c r="F307" s="7">
        <f t="shared" si="11"/>
        <v>227.84317353597737</v>
      </c>
      <c r="G307" s="7"/>
      <c r="H307" s="7"/>
      <c r="I307" s="7"/>
      <c r="J307" s="7">
        <v>0</v>
      </c>
      <c r="K307" s="7"/>
      <c r="L307" s="7">
        <f t="shared" si="12"/>
        <v>0</v>
      </c>
      <c r="M307" s="7"/>
      <c r="N307" s="7"/>
      <c r="O307" s="7"/>
    </row>
    <row r="308" spans="3:15" x14ac:dyDescent="0.2">
      <c r="C308">
        <v>289</v>
      </c>
      <c r="D308" s="7">
        <v>2376</v>
      </c>
      <c r="E308" s="7"/>
      <c r="F308" s="7">
        <f t="shared" si="11"/>
        <v>191.86793560924414</v>
      </c>
      <c r="G308" s="7"/>
      <c r="H308" s="7"/>
      <c r="I308" s="7"/>
      <c r="J308" s="7">
        <v>0</v>
      </c>
      <c r="K308" s="7"/>
      <c r="L308" s="7">
        <f t="shared" si="12"/>
        <v>0</v>
      </c>
      <c r="M308" s="7"/>
      <c r="N308" s="7"/>
      <c r="O308" s="7"/>
    </row>
    <row r="309" spans="3:15" x14ac:dyDescent="0.2">
      <c r="C309">
        <v>290</v>
      </c>
      <c r="D309" s="7">
        <v>2376</v>
      </c>
      <c r="E309" s="7"/>
      <c r="F309" s="7">
        <f t="shared" si="11"/>
        <v>191.86793560924414</v>
      </c>
      <c r="G309" s="7"/>
      <c r="H309" s="7"/>
      <c r="I309" s="7"/>
      <c r="J309" s="7">
        <v>0</v>
      </c>
      <c r="K309" s="7"/>
      <c r="L309" s="7">
        <f t="shared" si="12"/>
        <v>0</v>
      </c>
      <c r="M309" s="7"/>
      <c r="N309" s="7"/>
      <c r="O309" s="7"/>
    </row>
    <row r="310" spans="3:15" x14ac:dyDescent="0.2">
      <c r="C310">
        <v>291</v>
      </c>
      <c r="D310" s="7">
        <v>2545.7142857142858</v>
      </c>
      <c r="E310" s="7"/>
      <c r="F310" s="7">
        <f t="shared" si="11"/>
        <v>205.57278815276158</v>
      </c>
      <c r="G310" s="7"/>
      <c r="H310" s="7"/>
      <c r="I310" s="7"/>
      <c r="J310" s="7">
        <v>0</v>
      </c>
      <c r="K310" s="7"/>
      <c r="L310" s="7">
        <f t="shared" si="12"/>
        <v>0</v>
      </c>
      <c r="M310" s="7"/>
      <c r="N310" s="7"/>
      <c r="O310" s="7"/>
    </row>
    <row r="311" spans="3:15" x14ac:dyDescent="0.2">
      <c r="C311">
        <v>292</v>
      </c>
      <c r="D311" s="7">
        <v>2715.4285714285716</v>
      </c>
      <c r="E311" s="7"/>
      <c r="F311" s="7">
        <f t="shared" si="11"/>
        <v>219.27764069627901</v>
      </c>
      <c r="G311" s="7"/>
      <c r="H311" s="7"/>
      <c r="I311" s="7"/>
      <c r="J311" s="7">
        <v>0</v>
      </c>
      <c r="K311" s="7"/>
      <c r="L311" s="7">
        <f t="shared" si="12"/>
        <v>0</v>
      </c>
      <c r="M311" s="7"/>
      <c r="N311" s="7"/>
      <c r="O311" s="7"/>
    </row>
    <row r="312" spans="3:15" x14ac:dyDescent="0.2">
      <c r="C312">
        <v>293</v>
      </c>
      <c r="D312" s="7">
        <v>2885.1428571428573</v>
      </c>
      <c r="E312" s="7"/>
      <c r="F312" s="7">
        <f t="shared" si="11"/>
        <v>232.98249323979647</v>
      </c>
      <c r="G312" s="7"/>
      <c r="H312" s="7"/>
      <c r="I312" s="7"/>
      <c r="J312" s="7">
        <v>0</v>
      </c>
      <c r="K312" s="7"/>
      <c r="L312" s="7">
        <f t="shared" si="12"/>
        <v>0</v>
      </c>
      <c r="M312" s="7"/>
      <c r="N312" s="7"/>
      <c r="O312" s="7"/>
    </row>
    <row r="313" spans="3:15" x14ac:dyDescent="0.2">
      <c r="C313">
        <v>294</v>
      </c>
      <c r="D313" s="7">
        <v>3054.8571428571431</v>
      </c>
      <c r="E313" s="7"/>
      <c r="F313" s="7">
        <f t="shared" si="11"/>
        <v>246.6873457833139</v>
      </c>
      <c r="G313" s="7"/>
      <c r="H313" s="7"/>
      <c r="I313" s="7"/>
      <c r="J313" s="7">
        <v>0</v>
      </c>
      <c r="K313" s="7"/>
      <c r="L313" s="7">
        <f t="shared" si="12"/>
        <v>0</v>
      </c>
      <c r="M313" s="7"/>
      <c r="N313" s="7"/>
      <c r="O313" s="7"/>
    </row>
    <row r="314" spans="3:15" x14ac:dyDescent="0.2">
      <c r="C314">
        <v>295</v>
      </c>
      <c r="D314" s="7">
        <v>3224.5714285714284</v>
      </c>
      <c r="E314" s="7"/>
      <c r="F314" s="7">
        <f t="shared" si="11"/>
        <v>260.39219832683131</v>
      </c>
      <c r="G314" s="7"/>
      <c r="H314" s="7"/>
      <c r="I314" s="7"/>
      <c r="J314" s="7">
        <v>0</v>
      </c>
      <c r="K314" s="7"/>
      <c r="L314" s="7">
        <f t="shared" si="12"/>
        <v>0</v>
      </c>
      <c r="M314" s="7"/>
      <c r="N314" s="7"/>
      <c r="O314" s="7"/>
    </row>
    <row r="315" spans="3:15" x14ac:dyDescent="0.2">
      <c r="C315">
        <v>296</v>
      </c>
      <c r="D315" s="7">
        <v>3394.2857142857147</v>
      </c>
      <c r="E315" s="7"/>
      <c r="F315" s="7">
        <f t="shared" si="11"/>
        <v>274.09705087034877</v>
      </c>
      <c r="G315" s="7"/>
      <c r="H315" s="7"/>
      <c r="I315" s="7"/>
      <c r="J315" s="7">
        <v>0</v>
      </c>
      <c r="K315" s="7"/>
      <c r="L315" s="7">
        <f t="shared" si="12"/>
        <v>0</v>
      </c>
      <c r="M315" s="7"/>
      <c r="N315" s="7"/>
      <c r="O315" s="7"/>
    </row>
    <row r="316" spans="3:15" x14ac:dyDescent="0.2">
      <c r="C316">
        <v>297</v>
      </c>
      <c r="D316" s="7">
        <v>3564</v>
      </c>
      <c r="E316" s="7"/>
      <c r="F316" s="7">
        <f t="shared" si="11"/>
        <v>287.80190341386617</v>
      </c>
      <c r="G316" s="7"/>
      <c r="H316" s="7"/>
      <c r="I316" s="7"/>
      <c r="J316" s="7">
        <v>0</v>
      </c>
      <c r="K316" s="7"/>
      <c r="L316" s="7">
        <f t="shared" si="12"/>
        <v>0</v>
      </c>
      <c r="M316" s="7"/>
      <c r="N316" s="7"/>
      <c r="O316" s="7"/>
    </row>
    <row r="317" spans="3:15" x14ac:dyDescent="0.2">
      <c r="C317">
        <v>298</v>
      </c>
      <c r="D317" s="7">
        <v>3733.7142857142858</v>
      </c>
      <c r="E317" s="7"/>
      <c r="F317" s="7">
        <f t="shared" si="11"/>
        <v>301.50675595738363</v>
      </c>
      <c r="G317" s="7"/>
      <c r="H317" s="7"/>
      <c r="I317" s="7"/>
      <c r="J317" s="7">
        <v>0</v>
      </c>
      <c r="K317" s="7"/>
      <c r="L317" s="7">
        <f t="shared" si="12"/>
        <v>0</v>
      </c>
      <c r="M317" s="7"/>
      <c r="N317" s="7"/>
      <c r="O317" s="7"/>
    </row>
    <row r="318" spans="3:15" x14ac:dyDescent="0.2">
      <c r="C318">
        <v>299</v>
      </c>
      <c r="D318" s="7">
        <v>3756.8348842309169</v>
      </c>
      <c r="E318" s="7"/>
      <c r="F318" s="7">
        <f t="shared" si="11"/>
        <v>303.37380204637191</v>
      </c>
      <c r="G318" s="7"/>
      <c r="H318" s="7"/>
      <c r="I318" s="7"/>
      <c r="J318" s="7">
        <v>146.59368719765507</v>
      </c>
      <c r="K318" s="7"/>
      <c r="L318" s="7">
        <f t="shared" si="12"/>
        <v>9.4952052372440985</v>
      </c>
      <c r="M318" s="7"/>
      <c r="N318" s="7"/>
      <c r="O318" s="7"/>
    </row>
    <row r="319" spans="3:15" x14ac:dyDescent="0.2">
      <c r="C319">
        <v>300</v>
      </c>
      <c r="D319" s="7">
        <v>3747.3691664408216</v>
      </c>
      <c r="E319" s="7"/>
      <c r="F319" s="7">
        <f t="shared" si="11"/>
        <v>302.60942168801955</v>
      </c>
      <c r="G319" s="7"/>
      <c r="H319" s="7"/>
      <c r="I319" s="7"/>
      <c r="J319" s="7">
        <v>325.77369070203622</v>
      </c>
      <c r="K319" s="7"/>
      <c r="L319" s="7">
        <f t="shared" si="12"/>
        <v>21.101100008075885</v>
      </c>
      <c r="M319" s="7"/>
      <c r="N319" s="7"/>
      <c r="O319" s="7"/>
    </row>
    <row r="320" spans="3:15" x14ac:dyDescent="0.2">
      <c r="C320">
        <v>301</v>
      </c>
      <c r="D320" s="7">
        <v>3737.9421846462355</v>
      </c>
      <c r="E320" s="7"/>
      <c r="F320" s="7">
        <f t="shared" si="11"/>
        <v>301.84816935807294</v>
      </c>
      <c r="G320" s="7"/>
      <c r="H320" s="7"/>
      <c r="I320" s="7"/>
      <c r="J320" s="7">
        <v>420.05781535376445</v>
      </c>
      <c r="K320" s="7"/>
      <c r="L320" s="7">
        <f t="shared" si="12"/>
        <v>27.208096368532978</v>
      </c>
      <c r="M320" s="7"/>
      <c r="N320" s="7"/>
      <c r="O320" s="7"/>
    </row>
    <row r="321" spans="3:15" x14ac:dyDescent="0.2">
      <c r="C321">
        <v>302</v>
      </c>
      <c r="D321" s="7">
        <v>3728.5538208309704</v>
      </c>
      <c r="E321" s="7"/>
      <c r="F321" s="7">
        <f t="shared" si="11"/>
        <v>301.09003552643003</v>
      </c>
      <c r="G321" s="7"/>
      <c r="H321" s="7"/>
      <c r="I321" s="7"/>
      <c r="J321" s="7">
        <v>429.44617916902962</v>
      </c>
      <c r="K321" s="7"/>
      <c r="L321" s="7">
        <f t="shared" si="12"/>
        <v>27.816201962791371</v>
      </c>
      <c r="M321" s="7"/>
      <c r="N321" s="7"/>
      <c r="O321" s="7"/>
    </row>
    <row r="322" spans="3:15" x14ac:dyDescent="0.2">
      <c r="C322">
        <v>303</v>
      </c>
      <c r="D322" s="7">
        <v>3720.7912731003653</v>
      </c>
      <c r="E322" s="7"/>
      <c r="F322" s="7">
        <f t="shared" si="11"/>
        <v>300.46319040515925</v>
      </c>
      <c r="G322" s="7"/>
      <c r="H322" s="7"/>
      <c r="I322" s="7"/>
      <c r="J322" s="7">
        <v>861.49444118534939</v>
      </c>
      <c r="K322" s="7"/>
      <c r="L322" s="7">
        <f t="shared" si="12"/>
        <v>55.800946726788219</v>
      </c>
      <c r="M322" s="7"/>
      <c r="N322" s="7"/>
      <c r="O322" s="7"/>
    </row>
    <row r="323" spans="3:15" x14ac:dyDescent="0.2">
      <c r="C323">
        <v>304</v>
      </c>
      <c r="D323" s="7">
        <v>3720.0966872172585</v>
      </c>
      <c r="E323" s="7"/>
      <c r="F323" s="7">
        <f t="shared" si="11"/>
        <v>300.40710085991725</v>
      </c>
      <c r="G323" s="7"/>
      <c r="H323" s="7"/>
      <c r="I323" s="7"/>
      <c r="J323" s="7">
        <v>1031.9033127827415</v>
      </c>
      <c r="K323" s="7"/>
      <c r="L323" s="7">
        <f t="shared" si="12"/>
        <v>66.838715412439356</v>
      </c>
      <c r="M323" s="7"/>
      <c r="N323" s="7"/>
      <c r="O323" s="7"/>
    </row>
    <row r="324" spans="3:15" x14ac:dyDescent="0.2">
      <c r="C324">
        <v>305</v>
      </c>
      <c r="D324" s="7">
        <v>3727.4413246001163</v>
      </c>
      <c r="E324" s="7"/>
      <c r="F324" s="7">
        <f t="shared" si="11"/>
        <v>301.00019867660387</v>
      </c>
      <c r="G324" s="7"/>
      <c r="H324" s="7"/>
      <c r="I324" s="7"/>
      <c r="J324" s="7">
        <v>786.9586753998833</v>
      </c>
      <c r="K324" s="7"/>
      <c r="L324" s="7">
        <f t="shared" si="12"/>
        <v>50.973096311279484</v>
      </c>
      <c r="M324" s="7"/>
      <c r="N324" s="7"/>
      <c r="O324" s="7"/>
    </row>
    <row r="325" spans="3:15" x14ac:dyDescent="0.2">
      <c r="C325">
        <v>306</v>
      </c>
      <c r="D325" s="7">
        <v>3734.7572084726708</v>
      </c>
      <c r="E325" s="7"/>
      <c r="F325" s="7">
        <f t="shared" si="11"/>
        <v>301.59097457550286</v>
      </c>
      <c r="G325" s="7"/>
      <c r="H325" s="7"/>
      <c r="I325" s="7"/>
      <c r="J325" s="7">
        <v>542.04279152732943</v>
      </c>
      <c r="K325" s="7"/>
      <c r="L325" s="7">
        <f t="shared" si="12"/>
        <v>35.109339640124951</v>
      </c>
      <c r="M325" s="7"/>
      <c r="N325" s="7"/>
      <c r="O325" s="7"/>
    </row>
    <row r="326" spans="3:15" x14ac:dyDescent="0.2">
      <c r="C326">
        <v>307</v>
      </c>
      <c r="D326" s="7">
        <v>3742.045046331898</v>
      </c>
      <c r="E326" s="7"/>
      <c r="F326" s="7">
        <f t="shared" si="11"/>
        <v>302.17948568876244</v>
      </c>
      <c r="G326" s="7"/>
      <c r="H326" s="7"/>
      <c r="I326" s="7"/>
      <c r="J326" s="7">
        <v>415.95495366810201</v>
      </c>
      <c r="K326" s="7"/>
      <c r="L326" s="7">
        <f t="shared" si="12"/>
        <v>26.942344721854884</v>
      </c>
      <c r="M326" s="7"/>
      <c r="N326" s="7"/>
      <c r="O326" s="7"/>
    </row>
    <row r="327" spans="3:15" x14ac:dyDescent="0.2">
      <c r="C327">
        <v>308</v>
      </c>
      <c r="D327" s="7">
        <v>3749.3054215821567</v>
      </c>
      <c r="E327" s="7"/>
      <c r="F327" s="7">
        <f t="shared" si="11"/>
        <v>302.76577912774206</v>
      </c>
      <c r="G327" s="7"/>
      <c r="H327" s="7"/>
      <c r="I327" s="7"/>
      <c r="J327" s="7">
        <v>52.294578417842331</v>
      </c>
      <c r="K327" s="7"/>
      <c r="L327" s="7">
        <f t="shared" si="12"/>
        <v>3.3872383208634615</v>
      </c>
      <c r="M327" s="7"/>
      <c r="N327" s="7"/>
      <c r="O327" s="7"/>
    </row>
    <row r="328" spans="3:15" x14ac:dyDescent="0.2">
      <c r="C328">
        <v>309</v>
      </c>
      <c r="D328" s="7">
        <v>3563.9999999999991</v>
      </c>
      <c r="E328" s="7"/>
      <c r="F328" s="7">
        <f t="shared" si="11"/>
        <v>287.80190341386611</v>
      </c>
      <c r="G328" s="7"/>
      <c r="H328" s="7"/>
      <c r="I328" s="7"/>
      <c r="J328" s="7">
        <v>0</v>
      </c>
      <c r="K328" s="7"/>
      <c r="L328" s="7">
        <f t="shared" si="12"/>
        <v>0</v>
      </c>
      <c r="M328" s="7"/>
      <c r="N328" s="7"/>
      <c r="O328" s="7"/>
    </row>
    <row r="329" spans="3:15" x14ac:dyDescent="0.2">
      <c r="C329">
        <v>310</v>
      </c>
      <c r="D329" s="7">
        <v>3326.3999999999996</v>
      </c>
      <c r="E329" s="7"/>
      <c r="F329" s="7">
        <f t="shared" si="11"/>
        <v>268.61510985294177</v>
      </c>
      <c r="G329" s="7"/>
      <c r="H329" s="7"/>
      <c r="I329" s="7"/>
      <c r="J329" s="7">
        <v>0</v>
      </c>
      <c r="K329" s="7"/>
      <c r="L329" s="7">
        <f t="shared" si="12"/>
        <v>0</v>
      </c>
      <c r="M329" s="7"/>
      <c r="N329" s="7"/>
      <c r="O329" s="7"/>
    </row>
    <row r="330" spans="3:15" x14ac:dyDescent="0.2">
      <c r="C330">
        <v>311</v>
      </c>
      <c r="D330" s="7">
        <v>2673</v>
      </c>
      <c r="E330" s="7"/>
      <c r="F330" s="7">
        <f t="shared" si="11"/>
        <v>215.85142756039966</v>
      </c>
      <c r="G330" s="7"/>
      <c r="H330" s="7"/>
      <c r="I330" s="7"/>
      <c r="J330" s="7">
        <v>0</v>
      </c>
      <c r="K330" s="7"/>
      <c r="L330" s="7">
        <f t="shared" si="12"/>
        <v>0</v>
      </c>
      <c r="M330" s="7"/>
      <c r="N330" s="7"/>
      <c r="O330" s="7"/>
    </row>
    <row r="331" spans="3:15" x14ac:dyDescent="0.2">
      <c r="C331">
        <v>312</v>
      </c>
      <c r="D331" s="7">
        <v>2524.5</v>
      </c>
      <c r="E331" s="7"/>
      <c r="F331" s="7">
        <f t="shared" si="11"/>
        <v>203.85968158482189</v>
      </c>
      <c r="G331" s="7"/>
      <c r="H331" s="7"/>
      <c r="I331" s="7"/>
      <c r="J331" s="7">
        <v>0</v>
      </c>
      <c r="K331" s="7"/>
      <c r="L331" s="7">
        <f t="shared" si="12"/>
        <v>0</v>
      </c>
      <c r="M331" s="7"/>
      <c r="N331" s="7"/>
      <c r="O331" s="7"/>
    </row>
    <row r="332" spans="3:15" x14ac:dyDescent="0.2">
      <c r="C332">
        <v>313</v>
      </c>
      <c r="D332" s="7">
        <v>2376</v>
      </c>
      <c r="E332" s="7"/>
      <c r="F332" s="7">
        <f t="shared" si="11"/>
        <v>191.86793560924414</v>
      </c>
      <c r="G332" s="7"/>
      <c r="H332" s="7"/>
      <c r="I332" s="7"/>
      <c r="J332" s="7">
        <v>0</v>
      </c>
      <c r="K332" s="7"/>
      <c r="L332" s="7">
        <f t="shared" si="12"/>
        <v>0</v>
      </c>
      <c r="M332" s="7"/>
      <c r="N332" s="7"/>
      <c r="O332" s="7"/>
    </row>
    <row r="333" spans="3:15" x14ac:dyDescent="0.2">
      <c r="C333">
        <v>314</v>
      </c>
      <c r="D333" s="7">
        <v>2376</v>
      </c>
      <c r="E333" s="7"/>
      <c r="F333" s="7">
        <f t="shared" si="11"/>
        <v>191.86793560924414</v>
      </c>
      <c r="G333" s="7"/>
      <c r="H333" s="7"/>
      <c r="I333" s="7"/>
      <c r="J333" s="7">
        <v>0</v>
      </c>
      <c r="K333" s="7"/>
      <c r="L333" s="7">
        <f t="shared" si="12"/>
        <v>0</v>
      </c>
      <c r="M333" s="7"/>
      <c r="N333" s="7"/>
      <c r="O333" s="7"/>
    </row>
    <row r="334" spans="3:15" x14ac:dyDescent="0.2">
      <c r="C334">
        <v>315</v>
      </c>
      <c r="D334" s="7">
        <v>2524.5000000000005</v>
      </c>
      <c r="E334" s="7"/>
      <c r="F334" s="7">
        <f t="shared" si="11"/>
        <v>203.85968158482191</v>
      </c>
      <c r="G334" s="7"/>
      <c r="H334" s="7"/>
      <c r="I334" s="7"/>
      <c r="J334" s="7">
        <v>0</v>
      </c>
      <c r="K334" s="7"/>
      <c r="L334" s="7">
        <f t="shared" si="12"/>
        <v>0</v>
      </c>
      <c r="M334" s="7"/>
      <c r="N334" s="7"/>
      <c r="O334" s="7"/>
    </row>
    <row r="335" spans="3:15" x14ac:dyDescent="0.2">
      <c r="C335">
        <v>316</v>
      </c>
      <c r="D335" s="7">
        <v>2673</v>
      </c>
      <c r="E335" s="7"/>
      <c r="F335" s="7">
        <f t="shared" si="11"/>
        <v>215.85142756039966</v>
      </c>
      <c r="G335" s="7"/>
      <c r="H335" s="7"/>
      <c r="I335" s="7"/>
      <c r="J335" s="7">
        <v>0</v>
      </c>
      <c r="K335" s="7"/>
      <c r="L335" s="7">
        <f t="shared" si="12"/>
        <v>0</v>
      </c>
      <c r="M335" s="7"/>
      <c r="N335" s="7"/>
      <c r="O335" s="7"/>
    </row>
    <row r="336" spans="3:15" x14ac:dyDescent="0.2">
      <c r="C336">
        <v>317</v>
      </c>
      <c r="D336" s="7">
        <v>2821.4999999999995</v>
      </c>
      <c r="E336" s="7"/>
      <c r="F336" s="7">
        <f t="shared" si="11"/>
        <v>227.84317353597737</v>
      </c>
      <c r="G336" s="7"/>
      <c r="H336" s="7"/>
      <c r="I336" s="7"/>
      <c r="J336" s="7">
        <v>0</v>
      </c>
      <c r="K336" s="7"/>
      <c r="L336" s="7">
        <f t="shared" si="12"/>
        <v>0</v>
      </c>
      <c r="M336" s="7"/>
      <c r="N336" s="7"/>
      <c r="O336" s="7"/>
    </row>
    <row r="337" spans="3:15" x14ac:dyDescent="0.2">
      <c r="C337">
        <v>318</v>
      </c>
      <c r="D337" s="7">
        <v>2969.9999999999995</v>
      </c>
      <c r="E337" s="7"/>
      <c r="F337" s="7">
        <f t="shared" si="11"/>
        <v>239.83491951155514</v>
      </c>
      <c r="G337" s="7"/>
      <c r="H337" s="7"/>
      <c r="I337" s="7"/>
      <c r="J337" s="7">
        <v>0</v>
      </c>
      <c r="K337" s="7"/>
      <c r="L337" s="7">
        <f t="shared" si="12"/>
        <v>0</v>
      </c>
      <c r="M337" s="7"/>
      <c r="N337" s="7"/>
      <c r="O337" s="7"/>
    </row>
    <row r="338" spans="3:15" x14ac:dyDescent="0.2">
      <c r="C338">
        <v>319</v>
      </c>
      <c r="D338" s="7">
        <v>3118.5</v>
      </c>
      <c r="E338" s="7"/>
      <c r="F338" s="7">
        <f t="shared" si="11"/>
        <v>251.82666548713291</v>
      </c>
      <c r="G338" s="7"/>
      <c r="H338" s="7"/>
      <c r="I338" s="7"/>
      <c r="J338" s="7">
        <v>0</v>
      </c>
      <c r="K338" s="7"/>
      <c r="L338" s="7">
        <f t="shared" si="12"/>
        <v>0</v>
      </c>
      <c r="M338" s="7"/>
      <c r="N338" s="7"/>
      <c r="O338" s="7"/>
    </row>
    <row r="339" spans="3:15" x14ac:dyDescent="0.2">
      <c r="C339">
        <v>320</v>
      </c>
      <c r="D339" s="7">
        <v>3267</v>
      </c>
      <c r="E339" s="7"/>
      <c r="F339" s="7">
        <f t="shared" si="11"/>
        <v>263.81841146271069</v>
      </c>
      <c r="G339" s="7"/>
      <c r="H339" s="7"/>
      <c r="I339" s="7"/>
      <c r="J339" s="7">
        <v>0</v>
      </c>
      <c r="K339" s="7"/>
      <c r="L339" s="7">
        <f t="shared" si="12"/>
        <v>0</v>
      </c>
      <c r="M339" s="7"/>
      <c r="N339" s="7"/>
      <c r="O339" s="7"/>
    </row>
    <row r="340" spans="3:15" x14ac:dyDescent="0.2">
      <c r="C340">
        <v>321</v>
      </c>
      <c r="D340" s="7">
        <v>3415.5</v>
      </c>
      <c r="E340" s="7"/>
      <c r="F340" s="7">
        <f t="shared" si="11"/>
        <v>275.81015743828846</v>
      </c>
      <c r="G340" s="7"/>
      <c r="H340" s="7"/>
      <c r="I340" s="7"/>
      <c r="J340" s="7">
        <v>0</v>
      </c>
      <c r="K340" s="7"/>
      <c r="L340" s="7">
        <f t="shared" si="12"/>
        <v>0</v>
      </c>
      <c r="M340" s="7"/>
      <c r="N340" s="7"/>
      <c r="O340" s="7"/>
    </row>
    <row r="341" spans="3:15" x14ac:dyDescent="0.2">
      <c r="C341">
        <v>322</v>
      </c>
      <c r="D341" s="7">
        <v>3564</v>
      </c>
      <c r="E341" s="7"/>
      <c r="F341" s="7">
        <f t="shared" ref="F341:F404" si="13">D341*(1-($C$2/($D$8-$D$6)*LN($D$8/$D$6)))</f>
        <v>287.80190341386617</v>
      </c>
      <c r="G341" s="7"/>
      <c r="H341" s="7"/>
      <c r="I341" s="7"/>
      <c r="J341" s="7">
        <v>0</v>
      </c>
      <c r="K341" s="7"/>
      <c r="L341" s="7">
        <f t="shared" ref="L341:L404" si="14">J341*(1-$C$2/($D$10-$D$9)*LN($D$10/$D$9))</f>
        <v>0</v>
      </c>
      <c r="M341" s="7"/>
      <c r="N341" s="7"/>
      <c r="O341" s="7"/>
    </row>
    <row r="342" spans="3:15" x14ac:dyDescent="0.2">
      <c r="C342">
        <v>323</v>
      </c>
      <c r="D342" s="7">
        <v>3712.5000000000005</v>
      </c>
      <c r="E342" s="7"/>
      <c r="F342" s="7">
        <f t="shared" si="13"/>
        <v>299.793649389444</v>
      </c>
      <c r="G342" s="7"/>
      <c r="H342" s="7"/>
      <c r="I342" s="7"/>
      <c r="J342" s="7">
        <v>0</v>
      </c>
      <c r="K342" s="7"/>
      <c r="L342" s="7">
        <f t="shared" si="14"/>
        <v>0</v>
      </c>
      <c r="M342" s="7"/>
      <c r="N342" s="7"/>
      <c r="O342" s="7"/>
    </row>
    <row r="343" spans="3:15" x14ac:dyDescent="0.2">
      <c r="C343">
        <v>324</v>
      </c>
      <c r="D343" s="7">
        <v>3712.8569857173429</v>
      </c>
      <c r="E343" s="7"/>
      <c r="F343" s="7">
        <f t="shared" si="13"/>
        <v>299.82247687792398</v>
      </c>
      <c r="G343" s="7"/>
      <c r="H343" s="7"/>
      <c r="I343" s="7"/>
      <c r="J343" s="7">
        <v>148.14301428265799</v>
      </c>
      <c r="K343" s="7"/>
      <c r="L343" s="7">
        <f t="shared" si="14"/>
        <v>9.5955586626401619</v>
      </c>
      <c r="M343" s="7"/>
      <c r="N343" s="7"/>
      <c r="O343" s="7"/>
    </row>
    <row r="344" spans="3:15" x14ac:dyDescent="0.2">
      <c r="C344">
        <v>325</v>
      </c>
      <c r="D344" s="7">
        <v>3706.2399828299781</v>
      </c>
      <c r="E344" s="7"/>
      <c r="F344" s="7">
        <f t="shared" si="13"/>
        <v>299.28813736449001</v>
      </c>
      <c r="G344" s="7"/>
      <c r="H344" s="7"/>
      <c r="I344" s="7"/>
      <c r="J344" s="7">
        <v>303.26001717002237</v>
      </c>
      <c r="K344" s="7"/>
      <c r="L344" s="7">
        <f t="shared" si="14"/>
        <v>19.642838367228084</v>
      </c>
      <c r="M344" s="7"/>
      <c r="N344" s="7"/>
      <c r="O344" s="7"/>
    </row>
    <row r="345" spans="3:15" x14ac:dyDescent="0.2">
      <c r="C345">
        <v>326</v>
      </c>
      <c r="D345" s="7">
        <v>3699.6560482288778</v>
      </c>
      <c r="E345" s="7"/>
      <c r="F345" s="7">
        <f t="shared" si="13"/>
        <v>298.75646819778154</v>
      </c>
      <c r="G345" s="7"/>
      <c r="H345" s="7"/>
      <c r="I345" s="7"/>
      <c r="J345" s="7">
        <v>458.3439517711231</v>
      </c>
      <c r="K345" s="7"/>
      <c r="L345" s="7">
        <f t="shared" si="14"/>
        <v>29.687976163996375</v>
      </c>
      <c r="M345" s="7"/>
      <c r="N345" s="7"/>
      <c r="O345" s="7"/>
    </row>
    <row r="346" spans="3:15" x14ac:dyDescent="0.2">
      <c r="C346">
        <v>327</v>
      </c>
      <c r="D346" s="7">
        <v>3693.1050719140731</v>
      </c>
      <c r="E346" s="7"/>
      <c r="F346" s="7">
        <f t="shared" si="13"/>
        <v>298.22746049502621</v>
      </c>
      <c r="G346" s="7"/>
      <c r="H346" s="7"/>
      <c r="I346" s="7"/>
      <c r="J346" s="7">
        <v>316.39492808592695</v>
      </c>
      <c r="K346" s="7"/>
      <c r="L346" s="7">
        <f t="shared" si="14"/>
        <v>20.493616305238955</v>
      </c>
      <c r="M346" s="7"/>
      <c r="N346" s="7"/>
      <c r="O346" s="7"/>
    </row>
    <row r="347" spans="3:15" x14ac:dyDescent="0.2">
      <c r="C347">
        <v>328</v>
      </c>
      <c r="D347" s="7">
        <v>3692.5981238959826</v>
      </c>
      <c r="E347" s="7"/>
      <c r="F347" s="7">
        <f t="shared" si="13"/>
        <v>298.1865231761322</v>
      </c>
      <c r="G347" s="7"/>
      <c r="H347" s="7"/>
      <c r="I347" s="7"/>
      <c r="J347" s="7">
        <v>465.40187610401745</v>
      </c>
      <c r="K347" s="7"/>
      <c r="L347" s="7">
        <f t="shared" si="14"/>
        <v>30.145133913220672</v>
      </c>
      <c r="M347" s="7"/>
      <c r="N347" s="7"/>
      <c r="O347" s="7"/>
    </row>
    <row r="348" spans="3:15" x14ac:dyDescent="0.2">
      <c r="C348">
        <v>329</v>
      </c>
      <c r="D348" s="7">
        <v>3700.1360179843232</v>
      </c>
      <c r="E348" s="7"/>
      <c r="F348" s="7">
        <f t="shared" si="13"/>
        <v>298.79522695457115</v>
      </c>
      <c r="G348" s="7"/>
      <c r="H348" s="7"/>
      <c r="I348" s="7"/>
      <c r="J348" s="7">
        <v>1051.8639820156768</v>
      </c>
      <c r="K348" s="7"/>
      <c r="L348" s="7">
        <f t="shared" si="14"/>
        <v>68.131613180839963</v>
      </c>
      <c r="M348" s="7"/>
      <c r="N348" s="7"/>
      <c r="O348" s="7"/>
    </row>
    <row r="349" spans="3:15" x14ac:dyDescent="0.2">
      <c r="C349">
        <v>330</v>
      </c>
      <c r="D349" s="7">
        <v>3707.6425461834474</v>
      </c>
      <c r="E349" s="7"/>
      <c r="F349" s="7">
        <f t="shared" si="13"/>
        <v>299.40139785909918</v>
      </c>
      <c r="G349" s="7"/>
      <c r="H349" s="7"/>
      <c r="I349" s="7"/>
      <c r="J349" s="7">
        <v>895.85745381655261</v>
      </c>
      <c r="K349" s="7"/>
      <c r="L349" s="7">
        <f t="shared" si="14"/>
        <v>58.026716906532393</v>
      </c>
      <c r="M349" s="7"/>
      <c r="N349" s="7"/>
      <c r="O349" s="7"/>
    </row>
    <row r="350" spans="3:15" x14ac:dyDescent="0.2">
      <c r="C350">
        <v>331</v>
      </c>
      <c r="D350" s="7">
        <v>3715.1176173945041</v>
      </c>
      <c r="E350" s="7"/>
      <c r="F350" s="7">
        <f t="shared" si="13"/>
        <v>300.00502853325639</v>
      </c>
      <c r="G350" s="7"/>
      <c r="H350" s="7"/>
      <c r="I350" s="7"/>
      <c r="J350" s="7">
        <v>1185.382382605495</v>
      </c>
      <c r="K350" s="7"/>
      <c r="L350" s="7">
        <f t="shared" si="14"/>
        <v>76.779902481589446</v>
      </c>
      <c r="M350" s="7"/>
      <c r="N350" s="7"/>
      <c r="O350" s="7"/>
    </row>
    <row r="351" spans="3:15" x14ac:dyDescent="0.2">
      <c r="C351">
        <v>332</v>
      </c>
      <c r="D351" s="7">
        <v>3722.5609313575969</v>
      </c>
      <c r="E351" s="7"/>
      <c r="F351" s="7">
        <f t="shared" si="13"/>
        <v>300.6060947303061</v>
      </c>
      <c r="G351" s="7"/>
      <c r="H351" s="7"/>
      <c r="I351" s="7"/>
      <c r="J351" s="7">
        <v>851.23906864240325</v>
      </c>
      <c r="K351" s="7"/>
      <c r="L351" s="7">
        <f t="shared" si="14"/>
        <v>55.136683012973748</v>
      </c>
      <c r="M351" s="7"/>
      <c r="N351" s="7"/>
      <c r="O351" s="7"/>
    </row>
    <row r="352" spans="3:15" x14ac:dyDescent="0.2">
      <c r="C352">
        <v>333</v>
      </c>
      <c r="D352" s="7">
        <v>3729.9732245368264</v>
      </c>
      <c r="E352" s="7"/>
      <c r="F352" s="7">
        <f t="shared" si="13"/>
        <v>301.20465592156421</v>
      </c>
      <c r="G352" s="7"/>
      <c r="H352" s="7"/>
      <c r="I352" s="7"/>
      <c r="J352" s="7">
        <v>517.126775463174</v>
      </c>
      <c r="K352" s="7"/>
      <c r="L352" s="7">
        <f t="shared" si="14"/>
        <v>33.49547283080841</v>
      </c>
      <c r="M352" s="7"/>
      <c r="N352" s="7"/>
      <c r="O352" s="7"/>
    </row>
    <row r="353" spans="3:15" x14ac:dyDescent="0.2">
      <c r="C353">
        <v>334</v>
      </c>
      <c r="D353" s="7">
        <v>3737.3555434207715</v>
      </c>
      <c r="E353" s="7"/>
      <c r="F353" s="7">
        <f t="shared" si="13"/>
        <v>301.80079661359775</v>
      </c>
      <c r="G353" s="7"/>
      <c r="H353" s="7"/>
      <c r="I353" s="7"/>
      <c r="J353" s="7">
        <v>183.04445657922815</v>
      </c>
      <c r="K353" s="7"/>
      <c r="L353" s="7">
        <f t="shared" si="14"/>
        <v>11.856204151657282</v>
      </c>
      <c r="M353" s="7"/>
      <c r="N353" s="7"/>
      <c r="O353" s="7"/>
    </row>
    <row r="354" spans="3:15" x14ac:dyDescent="0.2">
      <c r="C354">
        <v>335</v>
      </c>
      <c r="D354" s="7">
        <v>3593.7</v>
      </c>
      <c r="E354" s="7"/>
      <c r="F354" s="7">
        <f t="shared" si="13"/>
        <v>290.20025260898171</v>
      </c>
      <c r="G354" s="7"/>
      <c r="H354" s="7"/>
      <c r="I354" s="7"/>
      <c r="J354" s="7">
        <v>0</v>
      </c>
      <c r="K354" s="7"/>
      <c r="L354" s="7">
        <f t="shared" si="14"/>
        <v>0</v>
      </c>
      <c r="M354" s="7"/>
      <c r="N354" s="7"/>
      <c r="O354" s="7"/>
    </row>
    <row r="355" spans="3:15" x14ac:dyDescent="0.2">
      <c r="C355">
        <v>336</v>
      </c>
      <c r="D355" s="7">
        <v>3267</v>
      </c>
      <c r="E355" s="7"/>
      <c r="F355" s="7">
        <f t="shared" si="13"/>
        <v>263.81841146271069</v>
      </c>
      <c r="G355" s="7"/>
      <c r="H355" s="7"/>
      <c r="I355" s="7"/>
      <c r="J355" s="7">
        <v>0</v>
      </c>
      <c r="K355" s="7"/>
      <c r="L355" s="7">
        <f t="shared" si="14"/>
        <v>0</v>
      </c>
      <c r="M355" s="7"/>
      <c r="N355" s="7"/>
      <c r="O355" s="7"/>
    </row>
    <row r="356" spans="3:15" x14ac:dyDescent="0.2">
      <c r="C356">
        <v>337</v>
      </c>
      <c r="D356" s="7">
        <v>2524.5</v>
      </c>
      <c r="E356" s="7"/>
      <c r="F356" s="7">
        <f t="shared" si="13"/>
        <v>203.85968158482189</v>
      </c>
      <c r="G356" s="7"/>
      <c r="H356" s="7"/>
      <c r="I356" s="7"/>
      <c r="J356" s="7">
        <v>0</v>
      </c>
      <c r="K356" s="7"/>
      <c r="L356" s="7">
        <f t="shared" si="14"/>
        <v>0</v>
      </c>
      <c r="M356" s="7"/>
      <c r="N356" s="7"/>
      <c r="O356" s="7"/>
    </row>
    <row r="357" spans="3:15" x14ac:dyDescent="0.2">
      <c r="C357">
        <v>338</v>
      </c>
      <c r="D357" s="7">
        <v>2376</v>
      </c>
      <c r="E357" s="7"/>
      <c r="F357" s="7">
        <f t="shared" si="13"/>
        <v>191.86793560924414</v>
      </c>
      <c r="G357" s="7"/>
      <c r="H357" s="7"/>
      <c r="I357" s="7"/>
      <c r="J357" s="7">
        <v>0</v>
      </c>
      <c r="K357" s="7"/>
      <c r="L357" s="7">
        <f t="shared" si="14"/>
        <v>0</v>
      </c>
      <c r="M357" s="7"/>
      <c r="N357" s="7"/>
      <c r="O357" s="7"/>
    </row>
    <row r="358" spans="3:15" x14ac:dyDescent="0.2">
      <c r="C358">
        <v>339</v>
      </c>
      <c r="D358" s="7">
        <v>2524.5</v>
      </c>
      <c r="E358" s="7"/>
      <c r="F358" s="7">
        <f t="shared" si="13"/>
        <v>203.85968158482189</v>
      </c>
      <c r="G358" s="7"/>
      <c r="H358" s="7"/>
      <c r="I358" s="7"/>
      <c r="J358" s="7">
        <v>0</v>
      </c>
      <c r="K358" s="7"/>
      <c r="L358" s="7">
        <f t="shared" si="14"/>
        <v>0</v>
      </c>
      <c r="M358" s="7"/>
      <c r="N358" s="7"/>
      <c r="O358" s="7"/>
    </row>
    <row r="359" spans="3:15" x14ac:dyDescent="0.2">
      <c r="C359">
        <v>340</v>
      </c>
      <c r="D359" s="7">
        <v>2673</v>
      </c>
      <c r="E359" s="7"/>
      <c r="F359" s="7">
        <f t="shared" si="13"/>
        <v>215.85142756039966</v>
      </c>
      <c r="G359" s="7"/>
      <c r="H359" s="7"/>
      <c r="I359" s="7"/>
      <c r="J359" s="7">
        <v>0</v>
      </c>
      <c r="K359" s="7"/>
      <c r="L359" s="7">
        <f t="shared" si="14"/>
        <v>0</v>
      </c>
      <c r="M359" s="7"/>
      <c r="N359" s="7"/>
      <c r="O359" s="7"/>
    </row>
    <row r="360" spans="3:15" x14ac:dyDescent="0.2">
      <c r="C360">
        <v>341</v>
      </c>
      <c r="D360" s="7">
        <v>3044.2499999999995</v>
      </c>
      <c r="E360" s="7"/>
      <c r="F360" s="7">
        <f t="shared" si="13"/>
        <v>245.830792499344</v>
      </c>
      <c r="G360" s="7"/>
      <c r="H360" s="7"/>
      <c r="I360" s="7"/>
      <c r="J360" s="7">
        <v>0</v>
      </c>
      <c r="K360" s="7"/>
      <c r="L360" s="7">
        <f t="shared" si="14"/>
        <v>0</v>
      </c>
      <c r="M360" s="7"/>
      <c r="N360" s="7"/>
      <c r="O360" s="7"/>
    </row>
    <row r="361" spans="3:15" x14ac:dyDescent="0.2">
      <c r="C361">
        <v>342</v>
      </c>
      <c r="D361" s="7">
        <v>3266.9999999999995</v>
      </c>
      <c r="E361" s="7"/>
      <c r="F361" s="7">
        <f t="shared" si="13"/>
        <v>263.81841146271063</v>
      </c>
      <c r="G361" s="7"/>
      <c r="H361" s="7"/>
      <c r="I361" s="7"/>
      <c r="J361" s="7">
        <v>0</v>
      </c>
      <c r="K361" s="7"/>
      <c r="L361" s="7">
        <f t="shared" si="14"/>
        <v>0</v>
      </c>
      <c r="M361" s="7"/>
      <c r="N361" s="7"/>
      <c r="O361" s="7"/>
    </row>
    <row r="362" spans="3:15" x14ac:dyDescent="0.2">
      <c r="C362">
        <v>343</v>
      </c>
      <c r="D362" s="7">
        <v>3489.7499999999995</v>
      </c>
      <c r="E362" s="7"/>
      <c r="F362" s="7">
        <f t="shared" si="13"/>
        <v>281.80603042607726</v>
      </c>
      <c r="G362" s="7"/>
      <c r="H362" s="7"/>
      <c r="I362" s="7"/>
      <c r="J362" s="7">
        <v>0</v>
      </c>
      <c r="K362" s="7"/>
      <c r="L362" s="7">
        <f t="shared" si="14"/>
        <v>0</v>
      </c>
      <c r="M362" s="7"/>
      <c r="N362" s="7"/>
      <c r="O362" s="7"/>
    </row>
    <row r="363" spans="3:15" x14ac:dyDescent="0.2">
      <c r="C363">
        <v>344</v>
      </c>
      <c r="D363" s="7">
        <v>3712.2687185513055</v>
      </c>
      <c r="E363" s="7"/>
      <c r="F363" s="7">
        <f t="shared" si="13"/>
        <v>299.77497283468563</v>
      </c>
      <c r="G363" s="7"/>
      <c r="H363" s="7"/>
      <c r="I363" s="7"/>
      <c r="J363" s="7">
        <v>0.23128144869360767</v>
      </c>
      <c r="K363" s="7"/>
      <c r="L363" s="7">
        <f t="shared" si="14"/>
        <v>1.4980623414922019E-2</v>
      </c>
      <c r="M363" s="7"/>
      <c r="N363" s="7"/>
      <c r="O363" s="7"/>
    </row>
    <row r="364" spans="3:15" x14ac:dyDescent="0.2">
      <c r="C364">
        <v>345</v>
      </c>
      <c r="D364" s="7">
        <v>3711.7156524821721</v>
      </c>
      <c r="E364" s="7"/>
      <c r="F364" s="7">
        <f t="shared" si="13"/>
        <v>299.73031136795998</v>
      </c>
      <c r="G364" s="7"/>
      <c r="H364" s="7"/>
      <c r="I364" s="7"/>
      <c r="J364" s="7">
        <v>223.53434751782697</v>
      </c>
      <c r="K364" s="7"/>
      <c r="L364" s="7">
        <f t="shared" si="14"/>
        <v>14.478826120209389</v>
      </c>
      <c r="M364" s="7"/>
      <c r="N364" s="7"/>
      <c r="O364" s="7"/>
    </row>
    <row r="365" spans="3:15" x14ac:dyDescent="0.2">
      <c r="C365">
        <v>346</v>
      </c>
      <c r="D365" s="7">
        <v>3705.1601811193045</v>
      </c>
      <c r="E365" s="7"/>
      <c r="F365" s="7">
        <f t="shared" si="13"/>
        <v>299.20094067884429</v>
      </c>
      <c r="G365" s="7"/>
      <c r="H365" s="7"/>
      <c r="I365" s="7"/>
      <c r="J365" s="7">
        <v>452.83981888069366</v>
      </c>
      <c r="K365" s="7"/>
      <c r="L365" s="7">
        <f t="shared" si="14"/>
        <v>29.331461006715241</v>
      </c>
      <c r="M365" s="7"/>
      <c r="N365" s="7"/>
      <c r="O365" s="7"/>
    </row>
    <row r="366" spans="3:15" x14ac:dyDescent="0.2">
      <c r="C366">
        <v>347</v>
      </c>
      <c r="D366" s="7">
        <v>3698.6375027536828</v>
      </c>
      <c r="E366" s="7"/>
      <c r="F366" s="7">
        <f t="shared" si="13"/>
        <v>298.6742181061781</v>
      </c>
      <c r="G366" s="7"/>
      <c r="H366" s="7"/>
      <c r="I366" s="7"/>
      <c r="J366" s="7">
        <v>682.11249724631534</v>
      </c>
      <c r="K366" s="7"/>
      <c r="L366" s="7">
        <f t="shared" si="14"/>
        <v>44.181971816494887</v>
      </c>
      <c r="M366" s="7"/>
      <c r="N366" s="7"/>
      <c r="O366" s="7"/>
    </row>
    <row r="367" spans="3:15" x14ac:dyDescent="0.2">
      <c r="C367">
        <v>348</v>
      </c>
      <c r="D367" s="7">
        <v>3692.1475082603324</v>
      </c>
      <c r="E367" s="7"/>
      <c r="F367" s="7">
        <f t="shared" si="13"/>
        <v>298.15013483784708</v>
      </c>
      <c r="G367" s="7"/>
      <c r="H367" s="7"/>
      <c r="I367" s="7"/>
      <c r="J367" s="7">
        <v>911.35249173966577</v>
      </c>
      <c r="K367" s="7"/>
      <c r="L367" s="7">
        <f t="shared" si="14"/>
        <v>59.030365617820102</v>
      </c>
      <c r="M367" s="7"/>
      <c r="N367" s="7"/>
      <c r="O367" s="7"/>
    </row>
    <row r="368" spans="3:15" x14ac:dyDescent="0.2">
      <c r="C368">
        <v>349</v>
      </c>
      <c r="D368" s="7">
        <v>3685.6900888080208</v>
      </c>
      <c r="E368" s="7"/>
      <c r="F368" s="7">
        <f t="shared" si="13"/>
        <v>297.62868208545734</v>
      </c>
      <c r="G368" s="7"/>
      <c r="H368" s="7"/>
      <c r="I368" s="7"/>
      <c r="J368" s="7">
        <v>1140.5599111919792</v>
      </c>
      <c r="K368" s="7"/>
      <c r="L368" s="7">
        <f t="shared" si="14"/>
        <v>73.876649459936488</v>
      </c>
      <c r="M368" s="7"/>
      <c r="N368" s="7"/>
      <c r="O368" s="7"/>
    </row>
    <row r="369" spans="3:15" x14ac:dyDescent="0.2">
      <c r="C369">
        <v>350</v>
      </c>
      <c r="D369" s="7">
        <v>3679.2651358586031</v>
      </c>
      <c r="E369" s="7"/>
      <c r="F369" s="7">
        <f t="shared" si="13"/>
        <v>297.10985108428252</v>
      </c>
      <c r="G369" s="7"/>
      <c r="H369" s="7"/>
      <c r="I369" s="7"/>
      <c r="J369" s="7">
        <v>1369.7348641413969</v>
      </c>
      <c r="K369" s="7"/>
      <c r="L369" s="7">
        <f t="shared" si="14"/>
        <v>88.720830373105372</v>
      </c>
      <c r="M369" s="7"/>
      <c r="N369" s="7"/>
      <c r="O369" s="7"/>
    </row>
    <row r="370" spans="3:15" x14ac:dyDescent="0.2">
      <c r="C370">
        <v>351</v>
      </c>
      <c r="D370" s="7">
        <v>3672.8725411663654</v>
      </c>
      <c r="E370" s="7"/>
      <c r="F370" s="7">
        <f t="shared" si="13"/>
        <v>296.59363309321088</v>
      </c>
      <c r="G370" s="7"/>
      <c r="H370" s="7"/>
      <c r="I370" s="7"/>
      <c r="J370" s="7">
        <v>1227.6274588336337</v>
      </c>
      <c r="K370" s="7"/>
      <c r="L370" s="7">
        <f t="shared" si="14"/>
        <v>79.516211777830506</v>
      </c>
      <c r="M370" s="7"/>
      <c r="N370" s="7"/>
      <c r="O370" s="7"/>
    </row>
    <row r="371" spans="3:15" x14ac:dyDescent="0.2">
      <c r="C371">
        <v>352</v>
      </c>
      <c r="D371" s="7">
        <v>3672.5112474228054</v>
      </c>
      <c r="E371" s="7"/>
      <c r="F371" s="7">
        <f t="shared" si="13"/>
        <v>296.56445772085169</v>
      </c>
      <c r="G371" s="7"/>
      <c r="H371" s="7"/>
      <c r="I371" s="7"/>
      <c r="J371" s="7">
        <v>1425.9887525771946</v>
      </c>
      <c r="K371" s="7"/>
      <c r="L371" s="7">
        <f t="shared" si="14"/>
        <v>92.364522173903978</v>
      </c>
      <c r="M371" s="7"/>
      <c r="N371" s="7"/>
      <c r="O371" s="7"/>
    </row>
    <row r="372" spans="3:15" x14ac:dyDescent="0.2">
      <c r="C372">
        <v>353</v>
      </c>
      <c r="D372" s="7">
        <v>3680.1880259563036</v>
      </c>
      <c r="E372" s="7"/>
      <c r="F372" s="7">
        <f t="shared" si="13"/>
        <v>297.18437676519164</v>
      </c>
      <c r="G372" s="7"/>
      <c r="H372" s="7"/>
      <c r="I372" s="7"/>
      <c r="J372" s="7">
        <v>2111.3119740436964</v>
      </c>
      <c r="K372" s="7"/>
      <c r="L372" s="7">
        <f t="shared" si="14"/>
        <v>136.75445987224313</v>
      </c>
      <c r="M372" s="7"/>
      <c r="N372" s="7"/>
      <c r="O372" s="7"/>
    </row>
    <row r="373" spans="3:15" x14ac:dyDescent="0.2">
      <c r="C373">
        <v>354</v>
      </c>
      <c r="D373" s="7">
        <v>3687.8283595959538</v>
      </c>
      <c r="E373" s="7"/>
      <c r="F373" s="7">
        <f t="shared" si="13"/>
        <v>297.80135279330847</v>
      </c>
      <c r="G373" s="7"/>
      <c r="H373" s="7"/>
      <c r="I373" s="7"/>
      <c r="J373" s="7">
        <v>1955.1716404040453</v>
      </c>
      <c r="K373" s="7"/>
      <c r="L373" s="7">
        <f t="shared" si="14"/>
        <v>126.64089671640778</v>
      </c>
      <c r="M373" s="7"/>
      <c r="N373" s="7"/>
      <c r="O373" s="7"/>
    </row>
    <row r="374" spans="3:15" x14ac:dyDescent="0.2">
      <c r="C374">
        <v>355</v>
      </c>
      <c r="D374" s="7">
        <v>3695.4321391864619</v>
      </c>
      <c r="E374" s="7"/>
      <c r="F374" s="7">
        <f t="shared" si="13"/>
        <v>298.41537699063946</v>
      </c>
      <c r="G374" s="7"/>
      <c r="H374" s="7"/>
      <c r="I374" s="7"/>
      <c r="J374" s="7">
        <v>2244.5678608135372</v>
      </c>
      <c r="K374" s="7"/>
      <c r="L374" s="7">
        <f t="shared" si="14"/>
        <v>145.38574555813068</v>
      </c>
      <c r="M374" s="7"/>
      <c r="N374" s="7"/>
      <c r="O374" s="7"/>
    </row>
    <row r="375" spans="3:15" x14ac:dyDescent="0.2">
      <c r="C375">
        <v>356</v>
      </c>
      <c r="D375" s="7">
        <v>3702.9990818712195</v>
      </c>
      <c r="E375" s="7"/>
      <c r="F375" s="7">
        <f t="shared" si="13"/>
        <v>299.02642651580692</v>
      </c>
      <c r="G375" s="7"/>
      <c r="H375" s="7"/>
      <c r="I375" s="7"/>
      <c r="J375" s="7">
        <v>1940.0009181287796</v>
      </c>
      <c r="K375" s="7"/>
      <c r="L375" s="7">
        <f t="shared" si="14"/>
        <v>125.65825466438916</v>
      </c>
      <c r="M375" s="7"/>
      <c r="N375" s="7"/>
      <c r="O375" s="7"/>
    </row>
    <row r="376" spans="3:15" x14ac:dyDescent="0.2">
      <c r="C376">
        <v>357</v>
      </c>
      <c r="D376" s="7">
        <v>3710.5295066104231</v>
      </c>
      <c r="E376" s="7"/>
      <c r="F376" s="7">
        <f t="shared" si="13"/>
        <v>299.63452712564356</v>
      </c>
      <c r="G376" s="7"/>
      <c r="H376" s="7"/>
      <c r="I376" s="7"/>
      <c r="J376" s="7">
        <v>2377.9704933895759</v>
      </c>
      <c r="K376" s="7"/>
      <c r="L376" s="7">
        <f t="shared" si="14"/>
        <v>154.02653630234778</v>
      </c>
      <c r="M376" s="7"/>
      <c r="N376" s="7"/>
      <c r="O376" s="7"/>
    </row>
    <row r="377" spans="3:15" x14ac:dyDescent="0.2">
      <c r="C377">
        <v>358</v>
      </c>
      <c r="D377" s="7">
        <v>3718.0231320183675</v>
      </c>
      <c r="E377" s="7"/>
      <c r="F377" s="7">
        <f t="shared" si="13"/>
        <v>300.23965609755066</v>
      </c>
      <c r="G377" s="7"/>
      <c r="H377" s="7"/>
      <c r="I377" s="7"/>
      <c r="J377" s="7">
        <v>1627.9768679816325</v>
      </c>
      <c r="K377" s="7"/>
      <c r="L377" s="7">
        <f t="shared" si="14"/>
        <v>105.44775002575082</v>
      </c>
      <c r="M377" s="7"/>
      <c r="N377" s="7"/>
      <c r="O377" s="7"/>
    </row>
    <row r="378" spans="3:15" x14ac:dyDescent="0.2">
      <c r="C378">
        <v>359</v>
      </c>
      <c r="D378" s="7">
        <v>3717.438677059487</v>
      </c>
      <c r="E378" s="7"/>
      <c r="F378" s="7">
        <f t="shared" si="13"/>
        <v>300.19245989956369</v>
      </c>
      <c r="G378" s="7"/>
      <c r="H378" s="7"/>
      <c r="I378" s="7"/>
      <c r="J378" s="7">
        <v>886.06132294051122</v>
      </c>
      <c r="K378" s="7"/>
      <c r="L378" s="7">
        <f t="shared" si="14"/>
        <v>57.392199315924955</v>
      </c>
      <c r="M378" s="7"/>
      <c r="N378" s="7"/>
      <c r="O378" s="7"/>
    </row>
    <row r="379" spans="3:15" x14ac:dyDescent="0.2">
      <c r="C379">
        <v>360</v>
      </c>
      <c r="D379" s="7">
        <v>3710.8962550901524</v>
      </c>
      <c r="E379" s="7"/>
      <c r="F379" s="7">
        <f t="shared" si="13"/>
        <v>299.66414298157514</v>
      </c>
      <c r="G379" s="7"/>
      <c r="H379" s="7"/>
      <c r="I379" s="7"/>
      <c r="J379" s="7">
        <v>150.10374490984668</v>
      </c>
      <c r="K379" s="7"/>
      <c r="L379" s="7">
        <f t="shared" si="14"/>
        <v>9.7225596275248538</v>
      </c>
      <c r="M379" s="7"/>
      <c r="N379" s="7"/>
      <c r="O379" s="7"/>
    </row>
    <row r="380" spans="3:15" x14ac:dyDescent="0.2">
      <c r="C380">
        <v>361</v>
      </c>
      <c r="D380" s="7">
        <v>2524.5</v>
      </c>
      <c r="E380" s="7"/>
      <c r="F380" s="7">
        <f t="shared" si="13"/>
        <v>203.85968158482189</v>
      </c>
      <c r="G380" s="7"/>
      <c r="H380" s="7"/>
      <c r="I380" s="7"/>
      <c r="J380" s="7">
        <v>0</v>
      </c>
      <c r="K380" s="7"/>
      <c r="L380" s="7">
        <f t="shared" si="14"/>
        <v>0</v>
      </c>
      <c r="M380" s="7"/>
      <c r="N380" s="7"/>
      <c r="O380" s="7"/>
    </row>
    <row r="381" spans="3:15" x14ac:dyDescent="0.2">
      <c r="C381">
        <v>362</v>
      </c>
      <c r="D381" s="7">
        <v>2376</v>
      </c>
      <c r="E381" s="7"/>
      <c r="F381" s="7">
        <f t="shared" si="13"/>
        <v>191.86793560924414</v>
      </c>
      <c r="G381" s="7"/>
      <c r="H381" s="7"/>
      <c r="I381" s="7"/>
      <c r="J381" s="7">
        <v>0</v>
      </c>
      <c r="K381" s="7"/>
      <c r="L381" s="7">
        <f t="shared" si="14"/>
        <v>0</v>
      </c>
      <c r="M381" s="7"/>
      <c r="N381" s="7"/>
      <c r="O381" s="7"/>
    </row>
    <row r="382" spans="3:15" x14ac:dyDescent="0.2">
      <c r="C382">
        <v>363</v>
      </c>
      <c r="D382" s="7">
        <v>2554.1999999999998</v>
      </c>
      <c r="E382" s="7"/>
      <c r="F382" s="7">
        <f t="shared" si="13"/>
        <v>206.25803077993743</v>
      </c>
      <c r="G382" s="7"/>
      <c r="H382" s="7"/>
      <c r="I382" s="7"/>
      <c r="J382" s="7">
        <v>0</v>
      </c>
      <c r="K382" s="7"/>
      <c r="L382" s="7">
        <f t="shared" si="14"/>
        <v>0</v>
      </c>
      <c r="M382" s="7"/>
      <c r="N382" s="7"/>
      <c r="O382" s="7"/>
    </row>
    <row r="383" spans="3:15" x14ac:dyDescent="0.2">
      <c r="C383">
        <v>364</v>
      </c>
      <c r="D383" s="7">
        <v>2673</v>
      </c>
      <c r="E383" s="7"/>
      <c r="F383" s="7">
        <f t="shared" si="13"/>
        <v>215.85142756039966</v>
      </c>
      <c r="G383" s="7"/>
      <c r="H383" s="7"/>
      <c r="I383" s="7"/>
      <c r="J383" s="7">
        <v>0</v>
      </c>
      <c r="K383" s="7"/>
      <c r="L383" s="7">
        <f t="shared" si="14"/>
        <v>0</v>
      </c>
      <c r="M383" s="7"/>
      <c r="N383" s="7"/>
      <c r="O383" s="7"/>
    </row>
    <row r="384" spans="3:15" x14ac:dyDescent="0.2">
      <c r="C384">
        <v>365</v>
      </c>
      <c r="D384" s="7">
        <v>2948.7857142857142</v>
      </c>
      <c r="E384" s="7"/>
      <c r="F384" s="7">
        <f t="shared" si="13"/>
        <v>238.12181294361548</v>
      </c>
      <c r="G384" s="7"/>
      <c r="H384" s="7"/>
      <c r="I384" s="7"/>
      <c r="J384" s="7">
        <v>0</v>
      </c>
      <c r="K384" s="7"/>
      <c r="L384" s="7">
        <f t="shared" si="14"/>
        <v>0</v>
      </c>
      <c r="M384" s="7"/>
      <c r="N384" s="7"/>
      <c r="O384" s="7"/>
    </row>
    <row r="385" spans="3:15" x14ac:dyDescent="0.2">
      <c r="C385">
        <v>366</v>
      </c>
      <c r="D385" s="7">
        <v>3139.7142857142858</v>
      </c>
      <c r="E385" s="7"/>
      <c r="F385" s="7">
        <f t="shared" si="13"/>
        <v>253.5397720550726</v>
      </c>
      <c r="G385" s="7"/>
      <c r="H385" s="7"/>
      <c r="I385" s="7"/>
      <c r="J385" s="7">
        <v>0</v>
      </c>
      <c r="K385" s="7"/>
      <c r="L385" s="7">
        <f t="shared" si="14"/>
        <v>0</v>
      </c>
      <c r="M385" s="7"/>
      <c r="N385" s="7"/>
      <c r="O385" s="7"/>
    </row>
    <row r="386" spans="3:15" x14ac:dyDescent="0.2">
      <c r="C386">
        <v>367</v>
      </c>
      <c r="D386" s="7">
        <v>3330.6428571428564</v>
      </c>
      <c r="E386" s="7"/>
      <c r="F386" s="7">
        <f t="shared" si="13"/>
        <v>268.95773116652964</v>
      </c>
      <c r="G386" s="7"/>
      <c r="H386" s="7"/>
      <c r="I386" s="7"/>
      <c r="J386" s="7">
        <v>0</v>
      </c>
      <c r="K386" s="7"/>
      <c r="L386" s="7">
        <f t="shared" si="14"/>
        <v>0</v>
      </c>
      <c r="M386" s="7"/>
      <c r="N386" s="7"/>
      <c r="O386" s="7"/>
    </row>
    <row r="387" spans="3:15" x14ac:dyDescent="0.2">
      <c r="C387">
        <v>368</v>
      </c>
      <c r="D387" s="7">
        <v>3521.5714285714284</v>
      </c>
      <c r="E387" s="7"/>
      <c r="F387" s="7">
        <f t="shared" si="13"/>
        <v>284.37569027798685</v>
      </c>
      <c r="G387" s="7"/>
      <c r="H387" s="7"/>
      <c r="I387" s="7"/>
      <c r="J387" s="7">
        <v>0</v>
      </c>
      <c r="K387" s="7"/>
      <c r="L387" s="7">
        <f t="shared" si="14"/>
        <v>0</v>
      </c>
      <c r="M387" s="7"/>
      <c r="N387" s="7"/>
      <c r="O387" s="7"/>
    </row>
    <row r="388" spans="3:15" x14ac:dyDescent="0.2">
      <c r="C388">
        <v>369</v>
      </c>
      <c r="D388" s="7">
        <v>3693.3152327495118</v>
      </c>
      <c r="E388" s="7"/>
      <c r="F388" s="7">
        <f t="shared" si="13"/>
        <v>298.24443150750159</v>
      </c>
      <c r="G388" s="7"/>
      <c r="H388" s="7"/>
      <c r="I388" s="7"/>
      <c r="J388" s="7">
        <v>19.184767250487766</v>
      </c>
      <c r="K388" s="7"/>
      <c r="L388" s="7">
        <f t="shared" si="14"/>
        <v>1.2426408391414987</v>
      </c>
      <c r="M388" s="7"/>
      <c r="N388" s="7"/>
      <c r="O388" s="7"/>
    </row>
    <row r="389" spans="3:15" x14ac:dyDescent="0.2">
      <c r="C389">
        <v>370</v>
      </c>
      <c r="D389" s="7">
        <v>3686.9113782077575</v>
      </c>
      <c r="E389" s="7"/>
      <c r="F389" s="7">
        <f t="shared" si="13"/>
        <v>297.72730425545268</v>
      </c>
      <c r="G389" s="7"/>
      <c r="H389" s="7"/>
      <c r="I389" s="7"/>
      <c r="J389" s="7">
        <v>216.51719322081408</v>
      </c>
      <c r="K389" s="7"/>
      <c r="L389" s="7">
        <f t="shared" si="14"/>
        <v>14.024309138576276</v>
      </c>
      <c r="M389" s="7"/>
      <c r="N389" s="7"/>
      <c r="O389" s="7"/>
    </row>
    <row r="390" spans="3:15" x14ac:dyDescent="0.2">
      <c r="C390">
        <v>371</v>
      </c>
      <c r="D390" s="7">
        <v>3680.5397368617068</v>
      </c>
      <c r="E390" s="7"/>
      <c r="F390" s="7">
        <f t="shared" si="13"/>
        <v>297.21277829943028</v>
      </c>
      <c r="G390" s="7"/>
      <c r="H390" s="7"/>
      <c r="I390" s="7"/>
      <c r="J390" s="7">
        <v>413.81740599543537</v>
      </c>
      <c r="K390" s="7"/>
      <c r="L390" s="7">
        <f t="shared" si="14"/>
        <v>26.803890916344166</v>
      </c>
      <c r="M390" s="7"/>
      <c r="N390" s="7"/>
      <c r="O390" s="7"/>
    </row>
    <row r="391" spans="3:15" x14ac:dyDescent="0.2">
      <c r="C391">
        <v>372</v>
      </c>
      <c r="D391" s="7">
        <v>3674.2002012900653</v>
      </c>
      <c r="E391" s="7"/>
      <c r="F391" s="7">
        <f t="shared" si="13"/>
        <v>296.70084496489648</v>
      </c>
      <c r="G391" s="7"/>
      <c r="H391" s="7"/>
      <c r="I391" s="7"/>
      <c r="J391" s="7">
        <v>611.08551299564851</v>
      </c>
      <c r="K391" s="7"/>
      <c r="L391" s="7">
        <f t="shared" si="14"/>
        <v>39.581393130365939</v>
      </c>
      <c r="M391" s="7"/>
      <c r="N391" s="7"/>
      <c r="O391" s="7"/>
    </row>
    <row r="392" spans="3:15" x14ac:dyDescent="0.2">
      <c r="C392">
        <v>373</v>
      </c>
      <c r="D392" s="7">
        <v>3667.8926643611326</v>
      </c>
      <c r="E392" s="7"/>
      <c r="F392" s="7">
        <f t="shared" si="13"/>
        <v>296.19149560069894</v>
      </c>
      <c r="G392" s="7"/>
      <c r="H392" s="7"/>
      <c r="I392" s="7"/>
      <c r="J392" s="7">
        <v>808.32162135315184</v>
      </c>
      <c r="K392" s="7"/>
      <c r="L392" s="7">
        <f t="shared" si="14"/>
        <v>52.356822719804413</v>
      </c>
      <c r="M392" s="7"/>
      <c r="N392" s="7"/>
      <c r="O392" s="7"/>
    </row>
    <row r="393" spans="3:15" x14ac:dyDescent="0.2">
      <c r="C393">
        <v>374</v>
      </c>
      <c r="D393" s="7">
        <v>3661.6170192321415</v>
      </c>
      <c r="E393" s="7"/>
      <c r="F393" s="7">
        <f t="shared" si="13"/>
        <v>295.68472157901726</v>
      </c>
      <c r="G393" s="7"/>
      <c r="H393" s="7"/>
      <c r="I393" s="7"/>
      <c r="J393" s="7">
        <v>1005.5258379107154</v>
      </c>
      <c r="K393" s="7"/>
      <c r="L393" s="7">
        <f t="shared" si="14"/>
        <v>65.130186605107852</v>
      </c>
      <c r="M393" s="7"/>
      <c r="N393" s="7"/>
      <c r="O393" s="7"/>
    </row>
    <row r="394" spans="3:15" x14ac:dyDescent="0.2">
      <c r="C394">
        <v>375</v>
      </c>
      <c r="D394" s="7">
        <v>3655.3731593486073</v>
      </c>
      <c r="E394" s="7"/>
      <c r="F394" s="7">
        <f t="shared" si="13"/>
        <v>295.18051429531056</v>
      </c>
      <c r="G394" s="7"/>
      <c r="H394" s="7"/>
      <c r="I394" s="7"/>
      <c r="J394" s="7">
        <v>1202.6982692228212</v>
      </c>
      <c r="K394" s="7"/>
      <c r="L394" s="7">
        <f t="shared" si="14"/>
        <v>77.901491688051465</v>
      </c>
      <c r="M394" s="7"/>
      <c r="N394" s="7"/>
      <c r="O394" s="7"/>
    </row>
    <row r="395" spans="3:15" x14ac:dyDescent="0.2">
      <c r="C395">
        <v>376</v>
      </c>
      <c r="D395" s="7">
        <v>3655.1005076807955</v>
      </c>
      <c r="E395" s="7"/>
      <c r="F395" s="7">
        <f t="shared" si="13"/>
        <v>295.15849699200942</v>
      </c>
      <c r="G395" s="7"/>
      <c r="H395" s="7"/>
      <c r="I395" s="7"/>
      <c r="J395" s="7">
        <v>1393.8994923192045</v>
      </c>
      <c r="K395" s="7"/>
      <c r="L395" s="7">
        <f t="shared" si="14"/>
        <v>90.286028086705457</v>
      </c>
      <c r="M395" s="7"/>
      <c r="N395" s="7"/>
      <c r="O395" s="7"/>
    </row>
    <row r="396" spans="3:15" x14ac:dyDescent="0.2">
      <c r="C396">
        <v>377</v>
      </c>
      <c r="D396" s="7">
        <v>3662.8542119213889</v>
      </c>
      <c r="E396" s="7"/>
      <c r="F396" s="7">
        <f t="shared" si="13"/>
        <v>295.78462797936942</v>
      </c>
      <c r="G396" s="7"/>
      <c r="H396" s="7"/>
      <c r="I396" s="7"/>
      <c r="J396" s="7">
        <v>1237.6457880786102</v>
      </c>
      <c r="K396" s="7"/>
      <c r="L396" s="7">
        <f t="shared" si="14"/>
        <v>80.165121660198608</v>
      </c>
      <c r="M396" s="7"/>
      <c r="N396" s="7"/>
      <c r="O396" s="7"/>
    </row>
    <row r="397" spans="3:15" x14ac:dyDescent="0.2">
      <c r="C397">
        <v>378</v>
      </c>
      <c r="D397" s="7">
        <v>3670.5720188146529</v>
      </c>
      <c r="E397" s="7"/>
      <c r="F397" s="7">
        <f t="shared" si="13"/>
        <v>296.40786016625549</v>
      </c>
      <c r="G397" s="7"/>
      <c r="H397" s="7"/>
      <c r="I397" s="7"/>
      <c r="J397" s="7">
        <v>1526.9279811853471</v>
      </c>
      <c r="K397" s="7"/>
      <c r="L397" s="7">
        <f t="shared" si="14"/>
        <v>98.902584695185865</v>
      </c>
      <c r="M397" s="7"/>
      <c r="N397" s="7"/>
      <c r="O397" s="7"/>
    </row>
    <row r="398" spans="3:15" x14ac:dyDescent="0.2">
      <c r="C398">
        <v>379</v>
      </c>
      <c r="D398" s="7">
        <v>3678.2533463541217</v>
      </c>
      <c r="E398" s="7"/>
      <c r="F398" s="7">
        <f t="shared" si="13"/>
        <v>297.02814655419166</v>
      </c>
      <c r="G398" s="7"/>
      <c r="H398" s="7"/>
      <c r="I398" s="7"/>
      <c r="J398" s="7">
        <v>1816.2466536458783</v>
      </c>
      <c r="K398" s="7"/>
      <c r="L398" s="7">
        <f t="shared" si="14"/>
        <v>117.64241058056471</v>
      </c>
      <c r="M398" s="7"/>
      <c r="N398" s="7"/>
      <c r="O398" s="7"/>
    </row>
    <row r="399" spans="3:15" x14ac:dyDescent="0.2">
      <c r="C399">
        <v>380</v>
      </c>
      <c r="D399" s="7">
        <v>3685.8974673047505</v>
      </c>
      <c r="E399" s="7"/>
      <c r="F399" s="7">
        <f t="shared" si="13"/>
        <v>297.64542841713126</v>
      </c>
      <c r="G399" s="7"/>
      <c r="H399" s="7"/>
      <c r="I399" s="7"/>
      <c r="J399" s="7">
        <v>1957.1025326952486</v>
      </c>
      <c r="K399" s="7"/>
      <c r="L399" s="7">
        <f t="shared" si="14"/>
        <v>126.76596498467002</v>
      </c>
      <c r="M399" s="7"/>
      <c r="N399" s="7"/>
      <c r="O399" s="7"/>
    </row>
    <row r="400" spans="3:15" x14ac:dyDescent="0.2">
      <c r="C400">
        <v>381</v>
      </c>
      <c r="D400" s="7">
        <v>3693.503809279182</v>
      </c>
      <c r="E400" s="7"/>
      <c r="F400" s="7">
        <f t="shared" si="13"/>
        <v>298.25965953336532</v>
      </c>
      <c r="G400" s="7"/>
      <c r="H400" s="7"/>
      <c r="I400" s="7"/>
      <c r="J400" s="7">
        <v>2394.9961907208171</v>
      </c>
      <c r="K400" s="7"/>
      <c r="L400" s="7">
        <f t="shared" si="14"/>
        <v>155.12932929130753</v>
      </c>
      <c r="M400" s="7"/>
      <c r="N400" s="7"/>
      <c r="O400" s="7"/>
    </row>
    <row r="401" spans="3:15" x14ac:dyDescent="0.2">
      <c r="C401">
        <v>382</v>
      </c>
      <c r="D401" s="7">
        <v>3701.0718799508109</v>
      </c>
      <c r="E401" s="7"/>
      <c r="F401" s="7">
        <f t="shared" si="13"/>
        <v>298.87080014629055</v>
      </c>
      <c r="G401" s="7"/>
      <c r="H401" s="7"/>
      <c r="I401" s="7"/>
      <c r="J401" s="7">
        <v>1644.9281200491891</v>
      </c>
      <c r="K401" s="7"/>
      <c r="L401" s="7">
        <f t="shared" si="14"/>
        <v>106.54572102632119</v>
      </c>
      <c r="M401" s="7"/>
      <c r="N401" s="7"/>
      <c r="O401" s="7"/>
    </row>
    <row r="402" spans="3:15" x14ac:dyDescent="0.2">
      <c r="C402">
        <v>383</v>
      </c>
      <c r="D402" s="7">
        <v>3700.5712272780788</v>
      </c>
      <c r="E402" s="7"/>
      <c r="F402" s="7">
        <f t="shared" si="13"/>
        <v>298.83037119226094</v>
      </c>
      <c r="G402" s="7"/>
      <c r="H402" s="7"/>
      <c r="I402" s="7"/>
      <c r="J402" s="7">
        <v>902.92877272191936</v>
      </c>
      <c r="K402" s="7"/>
      <c r="L402" s="7">
        <f t="shared" si="14"/>
        <v>58.484742252562</v>
      </c>
      <c r="M402" s="7"/>
      <c r="N402" s="7"/>
      <c r="O402" s="7"/>
    </row>
    <row r="403" spans="3:15" x14ac:dyDescent="0.2">
      <c r="C403">
        <v>384</v>
      </c>
      <c r="D403" s="7">
        <v>3694.1749381689742</v>
      </c>
      <c r="E403" s="7"/>
      <c r="F403" s="7">
        <f t="shared" si="13"/>
        <v>298.31385486779806</v>
      </c>
      <c r="G403" s="7"/>
      <c r="H403" s="7"/>
      <c r="I403" s="7"/>
      <c r="J403" s="7">
        <v>166.82506183102487</v>
      </c>
      <c r="K403" s="7"/>
      <c r="L403" s="7">
        <f t="shared" si="14"/>
        <v>10.805637207731387</v>
      </c>
      <c r="M403" s="7"/>
      <c r="N403" s="7"/>
      <c r="O403" s="7"/>
    </row>
    <row r="404" spans="3:15" x14ac:dyDescent="0.2">
      <c r="C404">
        <v>385</v>
      </c>
      <c r="D404" s="7">
        <v>2524.5</v>
      </c>
      <c r="E404" s="7"/>
      <c r="F404" s="7">
        <f t="shared" si="13"/>
        <v>203.85968158482189</v>
      </c>
      <c r="G404" s="7"/>
      <c r="H404" s="7"/>
      <c r="I404" s="7"/>
      <c r="J404" s="7">
        <v>0</v>
      </c>
      <c r="K404" s="7"/>
      <c r="L404" s="7">
        <f t="shared" si="14"/>
        <v>0</v>
      </c>
      <c r="M404" s="7"/>
      <c r="N404" s="7"/>
      <c r="O404" s="7"/>
    </row>
    <row r="405" spans="3:15" x14ac:dyDescent="0.2">
      <c r="C405">
        <v>386</v>
      </c>
      <c r="D405" s="7">
        <v>2376</v>
      </c>
      <c r="E405" s="7"/>
      <c r="F405" s="7">
        <f t="shared" ref="F405:F468" si="15">D405*(1-($C$2/($D$8-$D$6)*LN($D$8/$D$6)))</f>
        <v>191.86793560924414</v>
      </c>
      <c r="G405" s="7"/>
      <c r="H405" s="7"/>
      <c r="I405" s="7"/>
      <c r="J405" s="7">
        <v>0</v>
      </c>
      <c r="K405" s="7"/>
      <c r="L405" s="7">
        <f t="shared" ref="L405:L468" si="16">J405*(1-$C$2/($D$10-$D$9)*LN($D$10/$D$9))</f>
        <v>0</v>
      </c>
      <c r="M405" s="7"/>
      <c r="N405" s="7"/>
      <c r="O405" s="7"/>
    </row>
    <row r="406" spans="3:15" x14ac:dyDescent="0.2">
      <c r="C406">
        <v>387</v>
      </c>
      <c r="D406" s="7">
        <v>2524.5</v>
      </c>
      <c r="E406" s="7"/>
      <c r="F406" s="7">
        <f t="shared" si="15"/>
        <v>203.85968158482189</v>
      </c>
      <c r="G406" s="7"/>
      <c r="H406" s="7"/>
      <c r="I406" s="7"/>
      <c r="J406" s="7">
        <v>0</v>
      </c>
      <c r="K406" s="7"/>
      <c r="L406" s="7">
        <f t="shared" si="16"/>
        <v>0</v>
      </c>
      <c r="M406" s="7"/>
      <c r="N406" s="7"/>
      <c r="O406" s="7"/>
    </row>
    <row r="407" spans="3:15" x14ac:dyDescent="0.2">
      <c r="C407">
        <v>388</v>
      </c>
      <c r="D407" s="7">
        <v>2673</v>
      </c>
      <c r="E407" s="7"/>
      <c r="F407" s="7">
        <f t="shared" si="15"/>
        <v>215.85142756039966</v>
      </c>
      <c r="G407" s="7"/>
      <c r="H407" s="7"/>
      <c r="I407" s="7"/>
      <c r="J407" s="7">
        <v>0</v>
      </c>
      <c r="K407" s="7"/>
      <c r="L407" s="7">
        <f t="shared" si="16"/>
        <v>0</v>
      </c>
      <c r="M407" s="7"/>
      <c r="N407" s="7"/>
      <c r="O407" s="7"/>
    </row>
    <row r="408" spans="3:15" x14ac:dyDescent="0.2">
      <c r="C408">
        <v>389</v>
      </c>
      <c r="D408" s="7">
        <v>2992.8461538461534</v>
      </c>
      <c r="E408" s="7"/>
      <c r="F408" s="7">
        <f t="shared" si="15"/>
        <v>241.67980350779786</v>
      </c>
      <c r="G408" s="7"/>
      <c r="H408" s="7"/>
      <c r="I408" s="7"/>
      <c r="J408" s="7">
        <v>0</v>
      </c>
      <c r="K408" s="7"/>
      <c r="L408" s="7">
        <f t="shared" si="16"/>
        <v>0</v>
      </c>
      <c r="M408" s="7"/>
      <c r="N408" s="7"/>
      <c r="O408" s="7"/>
    </row>
    <row r="409" spans="3:15" x14ac:dyDescent="0.2">
      <c r="C409">
        <v>390</v>
      </c>
      <c r="D409" s="7">
        <v>3198.4615384615386</v>
      </c>
      <c r="E409" s="7"/>
      <c r="F409" s="7">
        <f t="shared" si="15"/>
        <v>258.28375947398251</v>
      </c>
      <c r="G409" s="7"/>
      <c r="H409" s="7"/>
      <c r="I409" s="7"/>
      <c r="J409" s="7">
        <v>0</v>
      </c>
      <c r="K409" s="7"/>
      <c r="L409" s="7">
        <f t="shared" si="16"/>
        <v>0</v>
      </c>
      <c r="M409" s="7"/>
      <c r="N409" s="7"/>
      <c r="O409" s="7"/>
    </row>
    <row r="410" spans="3:15" x14ac:dyDescent="0.2">
      <c r="C410">
        <v>391</v>
      </c>
      <c r="D410" s="7">
        <v>3404.0769230769229</v>
      </c>
      <c r="E410" s="7"/>
      <c r="F410" s="7">
        <f t="shared" si="15"/>
        <v>274.88771544016709</v>
      </c>
      <c r="G410" s="7"/>
      <c r="H410" s="7"/>
      <c r="I410" s="7"/>
      <c r="J410" s="7">
        <v>0</v>
      </c>
      <c r="K410" s="7"/>
      <c r="L410" s="7">
        <f t="shared" si="16"/>
        <v>0</v>
      </c>
      <c r="M410" s="7"/>
      <c r="N410" s="7"/>
      <c r="O410" s="7"/>
    </row>
    <row r="411" spans="3:15" x14ac:dyDescent="0.2">
      <c r="C411">
        <v>392</v>
      </c>
      <c r="D411" s="7">
        <v>3609.6923076923063</v>
      </c>
      <c r="E411" s="7"/>
      <c r="F411" s="7">
        <f t="shared" si="15"/>
        <v>291.49167140635154</v>
      </c>
      <c r="G411" s="7"/>
      <c r="H411" s="7"/>
      <c r="I411" s="7"/>
      <c r="J411" s="7">
        <v>0</v>
      </c>
      <c r="K411" s="7"/>
      <c r="L411" s="7">
        <f t="shared" si="16"/>
        <v>0</v>
      </c>
      <c r="M411" s="7"/>
      <c r="N411" s="7"/>
      <c r="O411" s="7"/>
    </row>
    <row r="412" spans="3:15" x14ac:dyDescent="0.2">
      <c r="C412">
        <v>393</v>
      </c>
      <c r="D412" s="7">
        <v>3676.7973460751441</v>
      </c>
      <c r="E412" s="7"/>
      <c r="F412" s="7">
        <f t="shared" si="15"/>
        <v>296.91057089435418</v>
      </c>
      <c r="G412" s="7"/>
      <c r="H412" s="7"/>
      <c r="I412" s="7"/>
      <c r="J412" s="7">
        <v>138.51034623254736</v>
      </c>
      <c r="K412" s="7"/>
      <c r="L412" s="7">
        <f t="shared" si="16"/>
        <v>8.9716289296038312</v>
      </c>
      <c r="M412" s="7"/>
      <c r="N412" s="7"/>
      <c r="O412" s="7"/>
    </row>
    <row r="413" spans="3:15" x14ac:dyDescent="0.2">
      <c r="C413">
        <v>394</v>
      </c>
      <c r="D413" s="7">
        <v>3670.539058157075</v>
      </c>
      <c r="E413" s="7"/>
      <c r="F413" s="7">
        <f t="shared" si="15"/>
        <v>296.40519851081535</v>
      </c>
      <c r="G413" s="7"/>
      <c r="H413" s="7"/>
      <c r="I413" s="7"/>
      <c r="J413" s="7">
        <v>350.38401876600119</v>
      </c>
      <c r="K413" s="7"/>
      <c r="L413" s="7">
        <f t="shared" si="16"/>
        <v>22.695166713064211</v>
      </c>
      <c r="M413" s="7"/>
      <c r="N413" s="7"/>
      <c r="O413" s="7"/>
    </row>
    <row r="414" spans="3:15" x14ac:dyDescent="0.2">
      <c r="C414">
        <v>395</v>
      </c>
      <c r="D414" s="7">
        <v>3664.3124195122114</v>
      </c>
      <c r="E414" s="7"/>
      <c r="F414" s="7">
        <f t="shared" si="15"/>
        <v>295.90238188515258</v>
      </c>
      <c r="G414" s="7"/>
      <c r="H414" s="7"/>
      <c r="I414" s="7"/>
      <c r="J414" s="7">
        <v>562.22604202624962</v>
      </c>
      <c r="K414" s="7"/>
      <c r="L414" s="7">
        <f t="shared" si="16"/>
        <v>36.416654501395612</v>
      </c>
      <c r="M414" s="7"/>
      <c r="N414" s="7"/>
      <c r="O414" s="7"/>
    </row>
    <row r="415" spans="3:15" x14ac:dyDescent="0.2">
      <c r="C415">
        <v>396</v>
      </c>
      <c r="D415" s="7">
        <v>3658.1173243882868</v>
      </c>
      <c r="E415" s="7"/>
      <c r="F415" s="7">
        <f t="shared" si="15"/>
        <v>295.40211247760618</v>
      </c>
      <c r="G415" s="7"/>
      <c r="H415" s="7"/>
      <c r="I415" s="7"/>
      <c r="J415" s="7">
        <v>774.03652176555897</v>
      </c>
      <c r="K415" s="7"/>
      <c r="L415" s="7">
        <f t="shared" si="16"/>
        <v>50.136099144411901</v>
      </c>
      <c r="M415" s="7"/>
      <c r="N415" s="7"/>
      <c r="O415" s="7"/>
    </row>
    <row r="416" spans="3:15" x14ac:dyDescent="0.2">
      <c r="C416">
        <v>397</v>
      </c>
      <c r="D416" s="7">
        <v>3651.9536673185166</v>
      </c>
      <c r="E416" s="7"/>
      <c r="F416" s="7">
        <f t="shared" si="15"/>
        <v>294.90438177146973</v>
      </c>
      <c r="G416" s="7"/>
      <c r="H416" s="7"/>
      <c r="I416" s="7"/>
      <c r="J416" s="7">
        <v>985.81556345071294</v>
      </c>
      <c r="K416" s="7"/>
      <c r="L416" s="7">
        <f t="shared" si="16"/>
        <v>63.853507473435613</v>
      </c>
      <c r="M416" s="7"/>
      <c r="N416" s="7"/>
      <c r="O416" s="7"/>
    </row>
    <row r="417" spans="3:15" x14ac:dyDescent="0.2">
      <c r="C417">
        <v>398</v>
      </c>
      <c r="D417" s="7">
        <v>3645.8213431209656</v>
      </c>
      <c r="E417" s="7"/>
      <c r="F417" s="7">
        <f t="shared" si="15"/>
        <v>294.40918127303928</v>
      </c>
      <c r="G417" s="7"/>
      <c r="H417" s="7"/>
      <c r="I417" s="7"/>
      <c r="J417" s="7">
        <v>1197.5632722636497</v>
      </c>
      <c r="K417" s="7"/>
      <c r="L417" s="7">
        <f t="shared" si="16"/>
        <v>77.568886301339163</v>
      </c>
      <c r="M417" s="7"/>
      <c r="N417" s="7"/>
      <c r="O417" s="7"/>
    </row>
    <row r="418" spans="3:15" x14ac:dyDescent="0.2">
      <c r="C418">
        <v>399</v>
      </c>
      <c r="D418" s="7">
        <v>3639.7202468979076</v>
      </c>
      <c r="E418" s="7"/>
      <c r="F418" s="7">
        <f t="shared" si="15"/>
        <v>293.91650251156142</v>
      </c>
      <c r="G418" s="7"/>
      <c r="H418" s="7"/>
      <c r="I418" s="7"/>
      <c r="J418" s="7">
        <v>1409.2797531020924</v>
      </c>
      <c r="K418" s="7"/>
      <c r="L418" s="7">
        <f t="shared" si="16"/>
        <v>91.282242422585753</v>
      </c>
      <c r="M418" s="7"/>
      <c r="N418" s="7"/>
      <c r="O418" s="7"/>
    </row>
    <row r="419" spans="3:15" x14ac:dyDescent="0.2">
      <c r="C419">
        <v>400</v>
      </c>
      <c r="D419" s="7">
        <v>3639.5078159689424</v>
      </c>
      <c r="E419" s="7"/>
      <c r="F419" s="7">
        <f t="shared" si="15"/>
        <v>293.89934818336269</v>
      </c>
      <c r="G419" s="7"/>
      <c r="H419" s="7"/>
      <c r="I419" s="7"/>
      <c r="J419" s="7">
        <v>1260.9921840310567</v>
      </c>
      <c r="K419" s="7"/>
      <c r="L419" s="7">
        <f t="shared" si="16"/>
        <v>81.677320618804174</v>
      </c>
      <c r="M419" s="7"/>
      <c r="N419" s="7"/>
      <c r="O419" s="7"/>
    </row>
    <row r="420" spans="3:15" x14ac:dyDescent="0.2">
      <c r="C420">
        <v>401</v>
      </c>
      <c r="D420" s="7">
        <v>3647.3057898622906</v>
      </c>
      <c r="E420" s="7"/>
      <c r="F420" s="7">
        <f t="shared" si="15"/>
        <v>294.52905405577496</v>
      </c>
      <c r="G420" s="7"/>
      <c r="H420" s="7"/>
      <c r="I420" s="7"/>
      <c r="J420" s="7">
        <v>1520.4942101377096</v>
      </c>
      <c r="K420" s="7"/>
      <c r="L420" s="7">
        <f t="shared" si="16"/>
        <v>98.485854768307178</v>
      </c>
      <c r="M420" s="7"/>
      <c r="N420" s="7"/>
      <c r="O420" s="7"/>
    </row>
    <row r="421" spans="3:15" x14ac:dyDescent="0.2">
      <c r="C421">
        <v>402</v>
      </c>
      <c r="D421" s="7">
        <v>3655.0661448638739</v>
      </c>
      <c r="E421" s="7"/>
      <c r="F421" s="7">
        <f t="shared" si="15"/>
        <v>295.15572210869948</v>
      </c>
      <c r="G421" s="7"/>
      <c r="H421" s="7"/>
      <c r="I421" s="7"/>
      <c r="J421" s="7">
        <v>1780.0338551361265</v>
      </c>
      <c r="K421" s="7"/>
      <c r="L421" s="7">
        <f t="shared" si="16"/>
        <v>115.29682557865775</v>
      </c>
      <c r="M421" s="7"/>
      <c r="N421" s="7"/>
      <c r="O421" s="7"/>
    </row>
    <row r="422" spans="3:15" x14ac:dyDescent="0.2">
      <c r="C422">
        <v>403</v>
      </c>
      <c r="D422" s="7">
        <v>3662.7881121032556</v>
      </c>
      <c r="E422" s="7"/>
      <c r="F422" s="7">
        <f t="shared" si="15"/>
        <v>295.77929025392774</v>
      </c>
      <c r="G422" s="7"/>
      <c r="H422" s="7"/>
      <c r="I422" s="7"/>
      <c r="J422" s="7">
        <v>2277.2118878967435</v>
      </c>
      <c r="K422" s="7"/>
      <c r="L422" s="7">
        <f t="shared" si="16"/>
        <v>147.50017314945848</v>
      </c>
      <c r="M422" s="7"/>
      <c r="N422" s="7"/>
      <c r="O422" s="7"/>
    </row>
    <row r="423" spans="3:15" x14ac:dyDescent="0.2">
      <c r="C423">
        <v>404</v>
      </c>
      <c r="D423" s="7">
        <v>3670.4709137587165</v>
      </c>
      <c r="E423" s="7"/>
      <c r="F423" s="7">
        <f t="shared" si="15"/>
        <v>296.39969568041283</v>
      </c>
      <c r="G423" s="7"/>
      <c r="H423" s="7"/>
      <c r="I423" s="7"/>
      <c r="J423" s="7">
        <v>2269.5290862412826</v>
      </c>
      <c r="K423" s="7"/>
      <c r="L423" s="7">
        <f t="shared" si="16"/>
        <v>147.00254068035167</v>
      </c>
      <c r="M423" s="7"/>
      <c r="N423" s="7"/>
      <c r="O423" s="7"/>
    </row>
    <row r="424" spans="3:15" x14ac:dyDescent="0.2">
      <c r="C424">
        <v>405</v>
      </c>
      <c r="D424" s="7">
        <v>3678.1144256397147</v>
      </c>
      <c r="E424" s="7"/>
      <c r="F424" s="7">
        <f t="shared" si="15"/>
        <v>297.01692835945823</v>
      </c>
      <c r="G424" s="7"/>
      <c r="H424" s="7"/>
      <c r="I424" s="7"/>
      <c r="J424" s="7">
        <v>2558.8855743602853</v>
      </c>
      <c r="K424" s="7"/>
      <c r="L424" s="7">
        <f t="shared" si="16"/>
        <v>165.74481597160354</v>
      </c>
      <c r="M424" s="7"/>
      <c r="N424" s="7"/>
      <c r="O424" s="7"/>
    </row>
    <row r="425" spans="3:15" x14ac:dyDescent="0.2">
      <c r="C425">
        <v>406</v>
      </c>
      <c r="D425" s="7">
        <v>3685.7187028196813</v>
      </c>
      <c r="E425" s="7"/>
      <c r="F425" s="7">
        <f t="shared" si="15"/>
        <v>297.63099273838105</v>
      </c>
      <c r="G425" s="7"/>
      <c r="H425" s="7"/>
      <c r="I425" s="7"/>
      <c r="J425" s="7">
        <v>1779.0812971803189</v>
      </c>
      <c r="K425" s="7"/>
      <c r="L425" s="7">
        <f t="shared" si="16"/>
        <v>115.2351262417786</v>
      </c>
      <c r="M425" s="7"/>
      <c r="N425" s="7"/>
      <c r="O425" s="7"/>
    </row>
    <row r="426" spans="3:15" x14ac:dyDescent="0.2">
      <c r="C426">
        <v>407</v>
      </c>
      <c r="D426" s="7">
        <v>3685.9744634938565</v>
      </c>
      <c r="E426" s="7"/>
      <c r="F426" s="7">
        <f t="shared" si="15"/>
        <v>297.65164605174976</v>
      </c>
      <c r="G426" s="7"/>
      <c r="H426" s="7"/>
      <c r="I426" s="7"/>
      <c r="J426" s="7">
        <v>1006.6255365061438</v>
      </c>
      <c r="K426" s="7"/>
      <c r="L426" s="7">
        <f t="shared" si="16"/>
        <v>65.201416574571837</v>
      </c>
      <c r="M426" s="7"/>
      <c r="N426" s="7"/>
      <c r="O426" s="7"/>
    </row>
    <row r="427" spans="3:15" x14ac:dyDescent="0.2">
      <c r="C427">
        <v>408</v>
      </c>
      <c r="D427" s="7">
        <v>3680.5997274860492</v>
      </c>
      <c r="E427" s="7"/>
      <c r="F427" s="7">
        <f t="shared" si="15"/>
        <v>297.21762269221159</v>
      </c>
      <c r="G427" s="7"/>
      <c r="H427" s="7"/>
      <c r="I427" s="7"/>
      <c r="J427" s="7">
        <v>239.8002725139504</v>
      </c>
      <c r="K427" s="7"/>
      <c r="L427" s="7">
        <f t="shared" si="16"/>
        <v>15.53240693371035</v>
      </c>
      <c r="M427" s="7"/>
      <c r="N427" s="7"/>
      <c r="O427" s="7"/>
    </row>
    <row r="428" spans="3:15" x14ac:dyDescent="0.2">
      <c r="C428">
        <v>409</v>
      </c>
      <c r="D428" s="7">
        <v>2524.5</v>
      </c>
      <c r="E428" s="7"/>
      <c r="F428" s="7">
        <f t="shared" si="15"/>
        <v>203.85968158482189</v>
      </c>
      <c r="G428" s="7"/>
      <c r="H428" s="7"/>
      <c r="I428" s="7"/>
      <c r="J428" s="7">
        <v>0</v>
      </c>
      <c r="K428" s="7"/>
      <c r="L428" s="7">
        <f t="shared" si="16"/>
        <v>0</v>
      </c>
      <c r="M428" s="7"/>
      <c r="N428" s="7"/>
      <c r="O428" s="7"/>
    </row>
    <row r="429" spans="3:15" x14ac:dyDescent="0.2">
      <c r="C429">
        <v>410</v>
      </c>
      <c r="D429" s="7">
        <v>2376</v>
      </c>
      <c r="E429" s="7"/>
      <c r="F429" s="7">
        <f t="shared" si="15"/>
        <v>191.86793560924414</v>
      </c>
      <c r="G429" s="7"/>
      <c r="H429" s="7"/>
      <c r="I429" s="7"/>
      <c r="J429" s="7">
        <v>0</v>
      </c>
      <c r="K429" s="7"/>
      <c r="L429" s="7">
        <f t="shared" si="16"/>
        <v>0</v>
      </c>
      <c r="M429" s="7"/>
      <c r="N429" s="7"/>
      <c r="O429" s="7"/>
    </row>
    <row r="430" spans="3:15" x14ac:dyDescent="0.2">
      <c r="C430">
        <v>411</v>
      </c>
      <c r="D430" s="7">
        <v>2524.5</v>
      </c>
      <c r="E430" s="7"/>
      <c r="F430" s="7">
        <f t="shared" si="15"/>
        <v>203.85968158482189</v>
      </c>
      <c r="G430" s="7"/>
      <c r="H430" s="7"/>
      <c r="I430" s="7"/>
      <c r="J430" s="7">
        <v>0</v>
      </c>
      <c r="K430" s="7"/>
      <c r="L430" s="7">
        <f t="shared" si="16"/>
        <v>0</v>
      </c>
      <c r="M430" s="7"/>
      <c r="N430" s="7"/>
      <c r="O430" s="7"/>
    </row>
    <row r="431" spans="3:15" x14ac:dyDescent="0.2">
      <c r="C431">
        <v>412</v>
      </c>
      <c r="D431" s="7">
        <v>2673</v>
      </c>
      <c r="E431" s="7"/>
      <c r="F431" s="7">
        <f t="shared" si="15"/>
        <v>215.85142756039966</v>
      </c>
      <c r="G431" s="7"/>
      <c r="H431" s="7"/>
      <c r="I431" s="7"/>
      <c r="J431" s="7">
        <v>0</v>
      </c>
      <c r="K431" s="7"/>
      <c r="L431" s="7">
        <f t="shared" si="16"/>
        <v>0</v>
      </c>
      <c r="M431" s="7"/>
      <c r="N431" s="7"/>
      <c r="O431" s="7"/>
    </row>
    <row r="432" spans="3:15" x14ac:dyDescent="0.2">
      <c r="C432">
        <v>413</v>
      </c>
      <c r="D432" s="7">
        <v>2969.9999999999995</v>
      </c>
      <c r="E432" s="7"/>
      <c r="F432" s="7">
        <f t="shared" si="15"/>
        <v>239.83491951155514</v>
      </c>
      <c r="G432" s="7"/>
      <c r="H432" s="7"/>
      <c r="I432" s="7"/>
      <c r="J432" s="7">
        <v>0</v>
      </c>
      <c r="K432" s="7"/>
      <c r="L432" s="7">
        <f t="shared" si="16"/>
        <v>0</v>
      </c>
      <c r="M432" s="7"/>
      <c r="N432" s="7"/>
      <c r="O432" s="7"/>
    </row>
    <row r="433" spans="3:15" x14ac:dyDescent="0.2">
      <c r="C433">
        <v>414</v>
      </c>
      <c r="D433" s="7">
        <v>3167.9999999999995</v>
      </c>
      <c r="E433" s="7"/>
      <c r="F433" s="7">
        <f t="shared" si="15"/>
        <v>255.82391414565882</v>
      </c>
      <c r="G433" s="7"/>
      <c r="H433" s="7"/>
      <c r="I433" s="7"/>
      <c r="J433" s="7">
        <v>0</v>
      </c>
      <c r="K433" s="7"/>
      <c r="L433" s="7">
        <f t="shared" si="16"/>
        <v>0</v>
      </c>
      <c r="M433" s="7"/>
      <c r="N433" s="7"/>
      <c r="O433" s="7"/>
    </row>
    <row r="434" spans="3:15" x14ac:dyDescent="0.2">
      <c r="C434">
        <v>415</v>
      </c>
      <c r="D434" s="7">
        <v>3365.9999999999995</v>
      </c>
      <c r="E434" s="7"/>
      <c r="F434" s="7">
        <f t="shared" si="15"/>
        <v>271.81290877976249</v>
      </c>
      <c r="G434" s="7"/>
      <c r="H434" s="7"/>
      <c r="I434" s="7"/>
      <c r="J434" s="7">
        <v>0</v>
      </c>
      <c r="K434" s="7"/>
      <c r="L434" s="7">
        <f t="shared" si="16"/>
        <v>0</v>
      </c>
      <c r="M434" s="7"/>
      <c r="N434" s="7"/>
      <c r="O434" s="7"/>
    </row>
    <row r="435" spans="3:15" x14ac:dyDescent="0.2">
      <c r="C435">
        <v>416</v>
      </c>
      <c r="D435" s="7">
        <v>3563.9999999999995</v>
      </c>
      <c r="E435" s="7"/>
      <c r="F435" s="7">
        <f t="shared" si="15"/>
        <v>287.80190341386617</v>
      </c>
      <c r="G435" s="7"/>
      <c r="H435" s="7"/>
      <c r="I435" s="7"/>
      <c r="J435" s="7">
        <v>0</v>
      </c>
      <c r="K435" s="7"/>
      <c r="L435" s="7">
        <f t="shared" si="16"/>
        <v>0</v>
      </c>
      <c r="M435" s="7"/>
      <c r="N435" s="7"/>
      <c r="O435" s="7"/>
    </row>
    <row r="436" spans="3:15" x14ac:dyDescent="0.2">
      <c r="C436">
        <v>417</v>
      </c>
      <c r="D436" s="7">
        <v>3680.1414027235382</v>
      </c>
      <c r="E436" s="7"/>
      <c r="F436" s="7">
        <f t="shared" si="15"/>
        <v>297.18061182267394</v>
      </c>
      <c r="G436" s="7"/>
      <c r="H436" s="7"/>
      <c r="I436" s="7"/>
      <c r="J436" s="7">
        <v>81.858597276460841</v>
      </c>
      <c r="K436" s="7"/>
      <c r="L436" s="7">
        <f t="shared" si="16"/>
        <v>5.3021668015274512</v>
      </c>
      <c r="M436" s="7"/>
      <c r="N436" s="7"/>
      <c r="O436" s="7"/>
    </row>
    <row r="437" spans="3:15" x14ac:dyDescent="0.2">
      <c r="C437">
        <v>418</v>
      </c>
      <c r="D437" s="7">
        <v>3688.6535932850343</v>
      </c>
      <c r="E437" s="7"/>
      <c r="F437" s="7">
        <f t="shared" si="15"/>
        <v>297.86799247526091</v>
      </c>
      <c r="G437" s="7"/>
      <c r="H437" s="7"/>
      <c r="I437" s="7"/>
      <c r="J437" s="7">
        <v>271.34640671496527</v>
      </c>
      <c r="K437" s="7"/>
      <c r="L437" s="7">
        <f t="shared" si="16"/>
        <v>17.575721515711482</v>
      </c>
      <c r="M437" s="7"/>
      <c r="N437" s="7"/>
      <c r="O437" s="7"/>
    </row>
    <row r="438" spans="3:15" x14ac:dyDescent="0.2">
      <c r="C438">
        <v>419</v>
      </c>
      <c r="D438" s="7">
        <v>3697.1326284318084</v>
      </c>
      <c r="E438" s="7"/>
      <c r="F438" s="7">
        <f t="shared" si="15"/>
        <v>298.55269574528188</v>
      </c>
      <c r="G438" s="7"/>
      <c r="H438" s="7"/>
      <c r="I438" s="7"/>
      <c r="J438" s="7">
        <v>460.86737156819163</v>
      </c>
      <c r="K438" s="7"/>
      <c r="L438" s="7">
        <f t="shared" si="16"/>
        <v>29.851423781222785</v>
      </c>
      <c r="M438" s="7"/>
      <c r="N438" s="7"/>
      <c r="O438" s="7"/>
    </row>
    <row r="439" spans="3:15" x14ac:dyDescent="0.2">
      <c r="C439">
        <v>420</v>
      </c>
      <c r="D439" s="7">
        <v>3705.5781333629457</v>
      </c>
      <c r="E439" s="7"/>
      <c r="F439" s="7">
        <f t="shared" si="15"/>
        <v>299.23469136662658</v>
      </c>
      <c r="G439" s="7"/>
      <c r="H439" s="7"/>
      <c r="I439" s="7"/>
      <c r="J439" s="7">
        <v>650.42186663705434</v>
      </c>
      <c r="K439" s="7"/>
      <c r="L439" s="7">
        <f t="shared" si="16"/>
        <v>42.129297874765719</v>
      </c>
      <c r="M439" s="7"/>
      <c r="N439" s="7"/>
      <c r="O439" s="7"/>
    </row>
    <row r="440" spans="3:15" x14ac:dyDescent="0.2">
      <c r="C440">
        <v>421</v>
      </c>
      <c r="D440" s="7">
        <v>3713.989735803334</v>
      </c>
      <c r="E440" s="7"/>
      <c r="F440" s="7">
        <f t="shared" si="15"/>
        <v>299.9139492771497</v>
      </c>
      <c r="G440" s="7"/>
      <c r="H440" s="7"/>
      <c r="I440" s="7"/>
      <c r="J440" s="7">
        <v>840.01026419666505</v>
      </c>
      <c r="K440" s="7"/>
      <c r="L440" s="7">
        <f t="shared" si="16"/>
        <v>54.409367909442679</v>
      </c>
      <c r="M440" s="7"/>
      <c r="N440" s="7"/>
      <c r="O440" s="7"/>
    </row>
    <row r="441" spans="3:15" x14ac:dyDescent="0.2">
      <c r="C441">
        <v>422</v>
      </c>
      <c r="D441" s="7">
        <v>3722.3670660356975</v>
      </c>
      <c r="E441" s="7"/>
      <c r="F441" s="7">
        <f t="shared" si="15"/>
        <v>300.59043962125764</v>
      </c>
      <c r="G441" s="7"/>
      <c r="H441" s="7"/>
      <c r="I441" s="7"/>
      <c r="J441" s="7">
        <v>1029.6329339643025</v>
      </c>
      <c r="K441" s="7"/>
      <c r="L441" s="7">
        <f t="shared" si="16"/>
        <v>66.691657832679439</v>
      </c>
      <c r="M441" s="7"/>
      <c r="N441" s="7"/>
      <c r="O441" s="7"/>
    </row>
    <row r="442" spans="3:15" x14ac:dyDescent="0.2">
      <c r="C442">
        <v>423</v>
      </c>
      <c r="D442" s="7">
        <v>3730.7099320797256</v>
      </c>
      <c r="E442" s="7"/>
      <c r="F442" s="7">
        <f t="shared" si="15"/>
        <v>301.26414689606077</v>
      </c>
      <c r="G442" s="7"/>
      <c r="H442" s="7"/>
      <c r="I442" s="7"/>
      <c r="J442" s="7">
        <v>872.7900679202744</v>
      </c>
      <c r="K442" s="7"/>
      <c r="L442" s="7">
        <f t="shared" si="16"/>
        <v>56.53259006138012</v>
      </c>
      <c r="M442" s="7"/>
      <c r="N442" s="7"/>
      <c r="O442" s="7"/>
    </row>
    <row r="443" spans="3:15" x14ac:dyDescent="0.2">
      <c r="C443">
        <v>424</v>
      </c>
      <c r="D443" s="7">
        <v>3739.018592800046</v>
      </c>
      <c r="E443" s="7"/>
      <c r="F443" s="7">
        <f t="shared" si="15"/>
        <v>301.93509200552433</v>
      </c>
      <c r="G443" s="7"/>
      <c r="H443" s="7"/>
      <c r="I443" s="7"/>
      <c r="J443" s="7">
        <v>1210.981407199954</v>
      </c>
      <c r="K443" s="7"/>
      <c r="L443" s="7">
        <f t="shared" si="16"/>
        <v>78.438009300813619</v>
      </c>
      <c r="M443" s="7"/>
      <c r="N443" s="7"/>
      <c r="O443" s="7"/>
    </row>
    <row r="444" spans="3:15" x14ac:dyDescent="0.2">
      <c r="C444">
        <v>425</v>
      </c>
      <c r="D444" s="7">
        <v>3747.2924811407024</v>
      </c>
      <c r="E444" s="7"/>
      <c r="F444" s="7">
        <f t="shared" si="15"/>
        <v>302.60322915846336</v>
      </c>
      <c r="G444" s="7"/>
      <c r="H444" s="7"/>
      <c r="I444" s="7"/>
      <c r="J444" s="7">
        <v>1549.2075188592976</v>
      </c>
      <c r="K444" s="7"/>
      <c r="L444" s="7">
        <f t="shared" si="16"/>
        <v>100.34568082605702</v>
      </c>
      <c r="M444" s="7"/>
      <c r="N444" s="7"/>
      <c r="O444" s="7"/>
    </row>
    <row r="445" spans="3:15" x14ac:dyDescent="0.2">
      <c r="C445">
        <v>426</v>
      </c>
      <c r="D445" s="7">
        <v>3755.5307844688673</v>
      </c>
      <c r="E445" s="7"/>
      <c r="F445" s="7">
        <f t="shared" si="15"/>
        <v>303.26849273274695</v>
      </c>
      <c r="G445" s="7"/>
      <c r="H445" s="7"/>
      <c r="I445" s="7"/>
      <c r="J445" s="7">
        <v>1887.4692155311318</v>
      </c>
      <c r="K445" s="7"/>
      <c r="L445" s="7">
        <f t="shared" si="16"/>
        <v>122.25565727317958</v>
      </c>
      <c r="M445" s="7"/>
      <c r="N445" s="7"/>
      <c r="O445" s="7"/>
    </row>
    <row r="446" spans="3:15" x14ac:dyDescent="0.2">
      <c r="C446">
        <v>427</v>
      </c>
      <c r="D446" s="7">
        <v>3763.4683992173573</v>
      </c>
      <c r="E446" s="7"/>
      <c r="F446" s="7">
        <f t="shared" si="15"/>
        <v>303.90947495305596</v>
      </c>
      <c r="G446" s="7"/>
      <c r="H446" s="7"/>
      <c r="I446" s="7"/>
      <c r="J446" s="7">
        <v>1471.1566007826427</v>
      </c>
      <c r="K446" s="7"/>
      <c r="L446" s="7">
        <f t="shared" si="16"/>
        <v>95.290146032843779</v>
      </c>
      <c r="M446" s="7"/>
      <c r="N446" s="7"/>
      <c r="O446" s="7"/>
    </row>
    <row r="447" spans="3:15" x14ac:dyDescent="0.2">
      <c r="C447">
        <v>428</v>
      </c>
      <c r="D447" s="7">
        <v>3768.9917579915896</v>
      </c>
      <c r="E447" s="7"/>
      <c r="F447" s="7">
        <f t="shared" si="15"/>
        <v>304.35549997226519</v>
      </c>
      <c r="G447" s="7"/>
      <c r="H447" s="7"/>
      <c r="I447" s="7"/>
      <c r="J447" s="7">
        <v>1057.2582420084104</v>
      </c>
      <c r="K447" s="7"/>
      <c r="L447" s="7">
        <f t="shared" si="16"/>
        <v>68.481011621613192</v>
      </c>
      <c r="M447" s="7"/>
      <c r="N447" s="7"/>
      <c r="O447" s="7"/>
    </row>
    <row r="448" spans="3:15" x14ac:dyDescent="0.2">
      <c r="C448">
        <v>429</v>
      </c>
      <c r="D448" s="7">
        <v>3774.4866820938523</v>
      </c>
      <c r="E448" s="7"/>
      <c r="F448" s="7">
        <f t="shared" si="15"/>
        <v>304.79922882067876</v>
      </c>
      <c r="G448" s="7"/>
      <c r="H448" s="7"/>
      <c r="I448" s="7"/>
      <c r="J448" s="7">
        <v>643.38831790614768</v>
      </c>
      <c r="K448" s="7"/>
      <c r="L448" s="7">
        <f t="shared" si="16"/>
        <v>41.673718988506664</v>
      </c>
      <c r="M448" s="7"/>
      <c r="N448" s="7"/>
      <c r="O448" s="7"/>
    </row>
    <row r="449" spans="3:15" x14ac:dyDescent="0.2">
      <c r="C449">
        <v>430</v>
      </c>
      <c r="D449" s="7">
        <v>3779.9546243278114</v>
      </c>
      <c r="E449" s="7"/>
      <c r="F449" s="7">
        <f t="shared" si="15"/>
        <v>305.24077881582201</v>
      </c>
      <c r="G449" s="7"/>
      <c r="H449" s="7"/>
      <c r="I449" s="7"/>
      <c r="J449" s="7">
        <v>229.54537567218858</v>
      </c>
      <c r="K449" s="7"/>
      <c r="L449" s="7">
        <f t="shared" si="16"/>
        <v>14.868174032139317</v>
      </c>
      <c r="M449" s="7"/>
      <c r="N449" s="7"/>
      <c r="O449" s="7"/>
    </row>
    <row r="450" spans="3:15" x14ac:dyDescent="0.2">
      <c r="C450">
        <v>431</v>
      </c>
      <c r="D450" s="7">
        <v>3601.1250000000005</v>
      </c>
      <c r="E450" s="7"/>
      <c r="F450" s="7">
        <f t="shared" si="15"/>
        <v>290.79983990776066</v>
      </c>
      <c r="G450" s="7"/>
      <c r="H450" s="7"/>
      <c r="I450" s="7"/>
      <c r="J450" s="7">
        <v>0</v>
      </c>
      <c r="K450" s="7"/>
      <c r="L450" s="7">
        <f t="shared" si="16"/>
        <v>0</v>
      </c>
      <c r="M450" s="7"/>
      <c r="N450" s="7"/>
      <c r="O450" s="7"/>
    </row>
    <row r="451" spans="3:15" x14ac:dyDescent="0.2">
      <c r="C451">
        <v>432</v>
      </c>
      <c r="D451" s="7">
        <v>2969.9999999999995</v>
      </c>
      <c r="E451" s="7"/>
      <c r="F451" s="7">
        <f t="shared" si="15"/>
        <v>239.83491951155514</v>
      </c>
      <c r="G451" s="7"/>
      <c r="H451" s="7"/>
      <c r="I451" s="7"/>
      <c r="J451" s="7">
        <v>0</v>
      </c>
      <c r="K451" s="7"/>
      <c r="L451" s="7">
        <f t="shared" si="16"/>
        <v>0</v>
      </c>
      <c r="M451" s="7"/>
      <c r="N451" s="7"/>
      <c r="O451" s="7"/>
    </row>
    <row r="452" spans="3:15" x14ac:dyDescent="0.2">
      <c r="C452">
        <v>433</v>
      </c>
      <c r="D452" s="7">
        <v>2524.5</v>
      </c>
      <c r="E452" s="7"/>
      <c r="F452" s="7">
        <f t="shared" si="15"/>
        <v>203.85968158482189</v>
      </c>
      <c r="G452" s="7"/>
      <c r="H452" s="7"/>
      <c r="I452" s="7"/>
      <c r="J452" s="7">
        <v>0</v>
      </c>
      <c r="K452" s="7"/>
      <c r="L452" s="7">
        <f t="shared" si="16"/>
        <v>0</v>
      </c>
      <c r="M452" s="7"/>
      <c r="N452" s="7"/>
      <c r="O452" s="7"/>
    </row>
    <row r="453" spans="3:15" x14ac:dyDescent="0.2">
      <c r="C453">
        <v>434</v>
      </c>
      <c r="D453" s="7">
        <v>2376</v>
      </c>
      <c r="E453" s="7"/>
      <c r="F453" s="7">
        <f t="shared" si="15"/>
        <v>191.86793560924414</v>
      </c>
      <c r="G453" s="7"/>
      <c r="H453" s="7"/>
      <c r="I453" s="7"/>
      <c r="J453" s="7">
        <v>0</v>
      </c>
      <c r="K453" s="7"/>
      <c r="L453" s="7">
        <f t="shared" si="16"/>
        <v>0</v>
      </c>
      <c r="M453" s="7"/>
      <c r="N453" s="7"/>
      <c r="O453" s="7"/>
    </row>
    <row r="454" spans="3:15" x14ac:dyDescent="0.2">
      <c r="C454">
        <v>435</v>
      </c>
      <c r="D454" s="7">
        <v>2524.5</v>
      </c>
      <c r="E454" s="7"/>
      <c r="F454" s="7">
        <f t="shared" si="15"/>
        <v>203.85968158482189</v>
      </c>
      <c r="G454" s="7"/>
      <c r="H454" s="7"/>
      <c r="I454" s="7"/>
      <c r="J454" s="7">
        <v>0</v>
      </c>
      <c r="K454" s="7"/>
      <c r="L454" s="7">
        <f t="shared" si="16"/>
        <v>0</v>
      </c>
      <c r="M454" s="7"/>
      <c r="N454" s="7"/>
      <c r="O454" s="7"/>
    </row>
    <row r="455" spans="3:15" x14ac:dyDescent="0.2">
      <c r="C455">
        <v>436</v>
      </c>
      <c r="D455" s="7">
        <v>2673</v>
      </c>
      <c r="E455" s="7"/>
      <c r="F455" s="7">
        <f t="shared" si="15"/>
        <v>215.85142756039966</v>
      </c>
      <c r="G455" s="7"/>
      <c r="H455" s="7"/>
      <c r="I455" s="7"/>
      <c r="J455" s="7">
        <v>0</v>
      </c>
      <c r="K455" s="7"/>
      <c r="L455" s="7">
        <f t="shared" si="16"/>
        <v>0</v>
      </c>
      <c r="M455" s="7"/>
      <c r="N455" s="7"/>
      <c r="O455" s="7"/>
    </row>
    <row r="456" spans="3:15" x14ac:dyDescent="0.2">
      <c r="C456">
        <v>437</v>
      </c>
      <c r="D456" s="7">
        <v>2943</v>
      </c>
      <c r="E456" s="7"/>
      <c r="F456" s="7">
        <f t="shared" si="15"/>
        <v>237.65460206145011</v>
      </c>
      <c r="G456" s="7"/>
      <c r="H456" s="7"/>
      <c r="I456" s="7"/>
      <c r="J456" s="7">
        <v>0</v>
      </c>
      <c r="K456" s="7"/>
      <c r="L456" s="7">
        <f t="shared" si="16"/>
        <v>0</v>
      </c>
      <c r="M456" s="7"/>
      <c r="N456" s="7"/>
      <c r="O456" s="7"/>
    </row>
    <row r="457" spans="3:15" x14ac:dyDescent="0.2">
      <c r="C457">
        <v>438</v>
      </c>
      <c r="D457" s="7">
        <v>3131.9999999999995</v>
      </c>
      <c r="E457" s="7"/>
      <c r="F457" s="7">
        <f t="shared" si="15"/>
        <v>252.91682421218542</v>
      </c>
      <c r="G457" s="7"/>
      <c r="H457" s="7"/>
      <c r="I457" s="7"/>
      <c r="J457" s="7">
        <v>0</v>
      </c>
      <c r="K457" s="7"/>
      <c r="L457" s="7">
        <f t="shared" si="16"/>
        <v>0</v>
      </c>
      <c r="M457" s="7"/>
      <c r="N457" s="7"/>
      <c r="O457" s="7"/>
    </row>
    <row r="458" spans="3:15" x14ac:dyDescent="0.2">
      <c r="C458">
        <v>439</v>
      </c>
      <c r="D458" s="7">
        <v>3321</v>
      </c>
      <c r="E458" s="7"/>
      <c r="F458" s="7">
        <f t="shared" si="15"/>
        <v>268.17904636292076</v>
      </c>
      <c r="G458" s="7"/>
      <c r="H458" s="7"/>
      <c r="I458" s="7"/>
      <c r="J458" s="7">
        <v>0</v>
      </c>
      <c r="K458" s="7"/>
      <c r="L458" s="7">
        <f t="shared" si="16"/>
        <v>0</v>
      </c>
      <c r="M458" s="7"/>
      <c r="N458" s="7"/>
      <c r="O458" s="7"/>
    </row>
    <row r="459" spans="3:15" x14ac:dyDescent="0.2">
      <c r="C459">
        <v>440</v>
      </c>
      <c r="D459" s="7">
        <v>3510</v>
      </c>
      <c r="E459" s="7"/>
      <c r="F459" s="7">
        <f t="shared" si="15"/>
        <v>283.4412685136561</v>
      </c>
      <c r="G459" s="7"/>
      <c r="H459" s="7"/>
      <c r="I459" s="7"/>
      <c r="J459" s="7">
        <v>0</v>
      </c>
      <c r="K459" s="7"/>
      <c r="L459" s="7">
        <f t="shared" si="16"/>
        <v>0</v>
      </c>
      <c r="M459" s="7"/>
      <c r="N459" s="7"/>
      <c r="O459" s="7"/>
    </row>
    <row r="460" spans="3:15" x14ac:dyDescent="0.2">
      <c r="C460">
        <v>441</v>
      </c>
      <c r="D460" s="7">
        <v>3699</v>
      </c>
      <c r="E460" s="7"/>
      <c r="F460" s="7">
        <f t="shared" si="15"/>
        <v>298.70349066439144</v>
      </c>
      <c r="G460" s="7"/>
      <c r="H460" s="7"/>
      <c r="I460" s="7"/>
      <c r="J460" s="7">
        <v>0</v>
      </c>
      <c r="K460" s="7"/>
      <c r="L460" s="7">
        <f t="shared" si="16"/>
        <v>0</v>
      </c>
      <c r="M460" s="7"/>
      <c r="N460" s="7"/>
      <c r="O460" s="7"/>
    </row>
    <row r="461" spans="3:15" x14ac:dyDescent="0.2">
      <c r="C461">
        <v>442</v>
      </c>
      <c r="D461" s="7">
        <v>3751.7524224692338</v>
      </c>
      <c r="E461" s="7"/>
      <c r="F461" s="7">
        <f t="shared" si="15"/>
        <v>302.96338056235379</v>
      </c>
      <c r="G461" s="7"/>
      <c r="H461" s="7"/>
      <c r="I461" s="7"/>
      <c r="J461" s="7">
        <v>136.24757753076574</v>
      </c>
      <c r="K461" s="7"/>
      <c r="L461" s="7">
        <f t="shared" si="16"/>
        <v>8.8250642743410186</v>
      </c>
      <c r="M461" s="7"/>
      <c r="N461" s="7"/>
      <c r="O461" s="7"/>
    </row>
    <row r="462" spans="3:15" x14ac:dyDescent="0.2">
      <c r="C462">
        <v>443</v>
      </c>
      <c r="D462" s="7">
        <v>3757.3109078602756</v>
      </c>
      <c r="E462" s="7"/>
      <c r="F462" s="7">
        <f t="shared" si="15"/>
        <v>303.41224214362205</v>
      </c>
      <c r="G462" s="7"/>
      <c r="H462" s="7"/>
      <c r="I462" s="7"/>
      <c r="J462" s="7">
        <v>319.68909213972393</v>
      </c>
      <c r="K462" s="7"/>
      <c r="L462" s="7">
        <f t="shared" si="16"/>
        <v>20.706986774144486</v>
      </c>
      <c r="M462" s="7"/>
      <c r="N462" s="7"/>
      <c r="O462" s="7"/>
    </row>
    <row r="463" spans="3:15" x14ac:dyDescent="0.2">
      <c r="C463">
        <v>444</v>
      </c>
      <c r="D463" s="7">
        <v>3762.8446154655608</v>
      </c>
      <c r="E463" s="7"/>
      <c r="F463" s="7">
        <f t="shared" si="15"/>
        <v>303.85910285679176</v>
      </c>
      <c r="G463" s="7"/>
      <c r="H463" s="7"/>
      <c r="I463" s="7"/>
      <c r="J463" s="7">
        <v>503.15538453443924</v>
      </c>
      <c r="K463" s="7"/>
      <c r="L463" s="7">
        <f t="shared" si="16"/>
        <v>32.590514187267118</v>
      </c>
      <c r="M463" s="7"/>
      <c r="N463" s="7"/>
      <c r="O463" s="7"/>
    </row>
    <row r="464" spans="3:15" x14ac:dyDescent="0.2">
      <c r="C464">
        <v>445</v>
      </c>
      <c r="D464" s="7">
        <v>3768.3531647082123</v>
      </c>
      <c r="E464" s="7"/>
      <c r="F464" s="7">
        <f t="shared" si="15"/>
        <v>304.30393196932937</v>
      </c>
      <c r="G464" s="7"/>
      <c r="H464" s="7"/>
      <c r="I464" s="7"/>
      <c r="J464" s="7">
        <v>686.64683529178774</v>
      </c>
      <c r="K464" s="7"/>
      <c r="L464" s="7">
        <f t="shared" si="16"/>
        <v>44.475671164535392</v>
      </c>
      <c r="M464" s="7"/>
      <c r="N464" s="7"/>
      <c r="O464" s="7"/>
    </row>
    <row r="465" spans="3:15" x14ac:dyDescent="0.2">
      <c r="C465">
        <v>446</v>
      </c>
      <c r="D465" s="7">
        <v>3773.8363157217655</v>
      </c>
      <c r="E465" s="7"/>
      <c r="F465" s="7">
        <f t="shared" si="15"/>
        <v>304.74671011141868</v>
      </c>
      <c r="G465" s="7"/>
      <c r="H465" s="7"/>
      <c r="I465" s="7"/>
      <c r="J465" s="7">
        <v>596.30654142109142</v>
      </c>
      <c r="K465" s="7"/>
      <c r="L465" s="7">
        <f t="shared" si="16"/>
        <v>38.624125658768698</v>
      </c>
      <c r="M465" s="7"/>
      <c r="N465" s="7"/>
      <c r="O465" s="7"/>
    </row>
    <row r="466" spans="3:15" x14ac:dyDescent="0.2">
      <c r="C466">
        <v>447</v>
      </c>
      <c r="D466" s="7">
        <v>3779.2943829636092</v>
      </c>
      <c r="E466" s="7"/>
      <c r="F466" s="7">
        <f t="shared" si="15"/>
        <v>305.18746267627938</v>
      </c>
      <c r="G466" s="7"/>
      <c r="H466" s="7"/>
      <c r="I466" s="7"/>
      <c r="J466" s="7">
        <v>505.99133132210545</v>
      </c>
      <c r="K466" s="7"/>
      <c r="L466" s="7">
        <f t="shared" si="16"/>
        <v>32.774204885724593</v>
      </c>
      <c r="M466" s="7"/>
      <c r="N466" s="7"/>
      <c r="O466" s="7"/>
    </row>
    <row r="467" spans="3:15" x14ac:dyDescent="0.2">
      <c r="C467">
        <v>448</v>
      </c>
      <c r="D467" s="7">
        <v>3784.7278169577667</v>
      </c>
      <c r="E467" s="7"/>
      <c r="F467" s="7">
        <f t="shared" si="15"/>
        <v>305.62622604485182</v>
      </c>
      <c r="G467" s="7"/>
      <c r="H467" s="7"/>
      <c r="I467" s="7"/>
      <c r="J467" s="7">
        <v>415.7007544708049</v>
      </c>
      <c r="K467" s="7"/>
      <c r="L467" s="7">
        <f t="shared" si="16"/>
        <v>26.925879663941277</v>
      </c>
      <c r="M467" s="7"/>
      <c r="N467" s="7"/>
      <c r="O467" s="7"/>
    </row>
    <row r="468" spans="3:15" x14ac:dyDescent="0.2">
      <c r="C468">
        <v>449</v>
      </c>
      <c r="D468" s="7">
        <v>3790.1370654222992</v>
      </c>
      <c r="E468" s="7"/>
      <c r="F468" s="7">
        <f t="shared" si="15"/>
        <v>306.0630363714879</v>
      </c>
      <c r="G468" s="7"/>
      <c r="H468" s="7"/>
      <c r="I468" s="7"/>
      <c r="J468" s="7">
        <v>325.43436314912924</v>
      </c>
      <c r="K468" s="7"/>
      <c r="L468" s="7">
        <f t="shared" si="16"/>
        <v>21.079120993705647</v>
      </c>
      <c r="M468" s="7"/>
      <c r="N468" s="7"/>
      <c r="O468" s="7"/>
    </row>
    <row r="469" spans="3:15" x14ac:dyDescent="0.2">
      <c r="C469">
        <v>450</v>
      </c>
      <c r="D469" s="7">
        <v>3795.5225732482331</v>
      </c>
      <c r="E469" s="7"/>
      <c r="F469" s="7">
        <f t="shared" ref="F469:F532" si="17">D469*(1-($C$2/($D$8-$D$6)*LN($D$8/$D$6)))</f>
        <v>306.49792958224941</v>
      </c>
      <c r="G469" s="7"/>
      <c r="H469" s="7"/>
      <c r="I469" s="7"/>
      <c r="J469" s="7">
        <v>235.19171246605265</v>
      </c>
      <c r="K469" s="7"/>
      <c r="L469" s="7">
        <f t="shared" ref="L469:L532" si="18">J469*(1-$C$2/($D$10-$D$9)*LN($D$10/$D$9))</f>
        <v>15.233900058418024</v>
      </c>
      <c r="M469" s="7"/>
      <c r="N469" s="7"/>
      <c r="O469" s="7"/>
    </row>
    <row r="470" spans="3:15" x14ac:dyDescent="0.2">
      <c r="C470">
        <v>451</v>
      </c>
      <c r="D470" s="7">
        <v>3800.8847824787345</v>
      </c>
      <c r="E470" s="7"/>
      <c r="F470" s="7">
        <f t="shared" si="17"/>
        <v>306.93094137322629</v>
      </c>
      <c r="G470" s="7"/>
      <c r="H470" s="7"/>
      <c r="I470" s="7"/>
      <c r="J470" s="7">
        <v>144.97236037840912</v>
      </c>
      <c r="K470" s="7"/>
      <c r="L470" s="7">
        <f t="shared" si="18"/>
        <v>9.3901882259410705</v>
      </c>
      <c r="M470" s="7"/>
      <c r="N470" s="7"/>
      <c r="O470" s="7"/>
    </row>
    <row r="471" spans="3:15" x14ac:dyDescent="0.2">
      <c r="C471">
        <v>452</v>
      </c>
      <c r="D471" s="7">
        <v>3806.2241322885193</v>
      </c>
      <c r="E471" s="7"/>
      <c r="F471" s="7">
        <f t="shared" si="17"/>
        <v>307.36210720887402</v>
      </c>
      <c r="G471" s="7"/>
      <c r="H471" s="7"/>
      <c r="I471" s="7"/>
      <c r="J471" s="7">
        <v>54.775867711480714</v>
      </c>
      <c r="K471" s="7"/>
      <c r="L471" s="7">
        <f t="shared" si="18"/>
        <v>3.5479570499333293</v>
      </c>
      <c r="M471" s="7"/>
      <c r="N471" s="7"/>
      <c r="O471" s="7"/>
    </row>
    <row r="472" spans="3:15" x14ac:dyDescent="0.2">
      <c r="C472">
        <v>453</v>
      </c>
      <c r="D472" s="7">
        <v>3811.5408659439586</v>
      </c>
      <c r="E472" s="7"/>
      <c r="F472" s="7">
        <f t="shared" si="17"/>
        <v>307.79144673355978</v>
      </c>
      <c r="G472" s="7"/>
      <c r="H472" s="7"/>
      <c r="I472" s="7"/>
      <c r="J472" s="7">
        <v>346.45913405604142</v>
      </c>
      <c r="K472" s="7"/>
      <c r="L472" s="7">
        <f t="shared" si="18"/>
        <v>22.440943038320697</v>
      </c>
      <c r="M472" s="7"/>
      <c r="N472" s="7"/>
      <c r="O472" s="7"/>
    </row>
    <row r="473" spans="3:15" x14ac:dyDescent="0.2">
      <c r="C473">
        <v>454</v>
      </c>
      <c r="D473" s="7">
        <v>3712.4999999999995</v>
      </c>
      <c r="E473" s="7"/>
      <c r="F473" s="7">
        <f t="shared" si="17"/>
        <v>299.79364938944394</v>
      </c>
      <c r="G473" s="7"/>
      <c r="H473" s="7"/>
      <c r="I473" s="7"/>
      <c r="J473" s="7">
        <v>0</v>
      </c>
      <c r="K473" s="7"/>
      <c r="L473" s="7">
        <f t="shared" si="18"/>
        <v>0</v>
      </c>
      <c r="M473" s="7"/>
      <c r="N473" s="7"/>
      <c r="O473" s="7"/>
    </row>
    <row r="474" spans="3:15" x14ac:dyDescent="0.2">
      <c r="C474">
        <v>455</v>
      </c>
      <c r="D474" s="7">
        <v>3267</v>
      </c>
      <c r="E474" s="7"/>
      <c r="F474" s="7">
        <f t="shared" si="17"/>
        <v>263.81841146271069</v>
      </c>
      <c r="G474" s="7"/>
      <c r="H474" s="7"/>
      <c r="I474" s="7"/>
      <c r="J474" s="7">
        <v>0</v>
      </c>
      <c r="K474" s="7"/>
      <c r="L474" s="7">
        <f t="shared" si="18"/>
        <v>0</v>
      </c>
      <c r="M474" s="7"/>
      <c r="N474" s="7"/>
      <c r="O474" s="7"/>
    </row>
    <row r="475" spans="3:15" x14ac:dyDescent="0.2">
      <c r="C475">
        <v>456</v>
      </c>
      <c r="D475" s="7">
        <v>2821.4999999999995</v>
      </c>
      <c r="E475" s="7"/>
      <c r="F475" s="7">
        <f t="shared" si="17"/>
        <v>227.84317353597737</v>
      </c>
      <c r="G475" s="7"/>
      <c r="H475" s="7"/>
      <c r="I475" s="7"/>
      <c r="J475" s="7">
        <v>0</v>
      </c>
      <c r="K475" s="7"/>
      <c r="L475" s="7">
        <f t="shared" si="18"/>
        <v>0</v>
      </c>
      <c r="M475" s="7"/>
      <c r="N475" s="7"/>
      <c r="O475" s="7"/>
    </row>
    <row r="476" spans="3:15" x14ac:dyDescent="0.2">
      <c r="C476">
        <v>457</v>
      </c>
      <c r="D476" s="7">
        <v>2376</v>
      </c>
      <c r="E476" s="7"/>
      <c r="F476" s="7">
        <f t="shared" si="17"/>
        <v>191.86793560924414</v>
      </c>
      <c r="G476" s="7"/>
      <c r="H476" s="7"/>
      <c r="I476" s="7"/>
      <c r="J476" s="7">
        <v>0</v>
      </c>
      <c r="K476" s="7"/>
      <c r="L476" s="7">
        <f t="shared" si="18"/>
        <v>0</v>
      </c>
      <c r="M476" s="7"/>
      <c r="N476" s="7"/>
      <c r="O476" s="7"/>
    </row>
    <row r="477" spans="3:15" x14ac:dyDescent="0.2">
      <c r="C477">
        <v>458</v>
      </c>
      <c r="D477" s="7">
        <v>2376</v>
      </c>
      <c r="E477" s="7"/>
      <c r="F477" s="7">
        <f t="shared" si="17"/>
        <v>191.86793560924414</v>
      </c>
      <c r="G477" s="7"/>
      <c r="H477" s="7"/>
      <c r="I477" s="7"/>
      <c r="J477" s="7">
        <v>0</v>
      </c>
      <c r="K477" s="7"/>
      <c r="L477" s="7">
        <f t="shared" si="18"/>
        <v>0</v>
      </c>
      <c r="M477" s="7"/>
      <c r="N477" s="7"/>
      <c r="O477" s="7"/>
    </row>
    <row r="478" spans="3:15" x14ac:dyDescent="0.2">
      <c r="C478">
        <v>459</v>
      </c>
      <c r="D478" s="7">
        <v>2545.7142857142858</v>
      </c>
      <c r="E478" s="7"/>
      <c r="F478" s="7">
        <f t="shared" si="17"/>
        <v>205.57278815276158</v>
      </c>
      <c r="G478" s="7"/>
      <c r="H478" s="7"/>
      <c r="I478" s="7"/>
      <c r="J478" s="7">
        <v>0</v>
      </c>
      <c r="K478" s="7"/>
      <c r="L478" s="7">
        <f t="shared" si="18"/>
        <v>0</v>
      </c>
      <c r="M478" s="7"/>
      <c r="N478" s="7"/>
      <c r="O478" s="7"/>
    </row>
    <row r="479" spans="3:15" x14ac:dyDescent="0.2">
      <c r="C479">
        <v>460</v>
      </c>
      <c r="D479" s="7">
        <v>2715.4285714285716</v>
      </c>
      <c r="E479" s="7"/>
      <c r="F479" s="7">
        <f t="shared" si="17"/>
        <v>219.27764069627901</v>
      </c>
      <c r="G479" s="7"/>
      <c r="H479" s="7"/>
      <c r="I479" s="7"/>
      <c r="J479" s="7">
        <v>0</v>
      </c>
      <c r="K479" s="7"/>
      <c r="L479" s="7">
        <f t="shared" si="18"/>
        <v>0</v>
      </c>
      <c r="M479" s="7"/>
      <c r="N479" s="7"/>
      <c r="O479" s="7"/>
    </row>
    <row r="480" spans="3:15" x14ac:dyDescent="0.2">
      <c r="C480">
        <v>461</v>
      </c>
      <c r="D480" s="7">
        <v>2885.1428571428573</v>
      </c>
      <c r="E480" s="7"/>
      <c r="F480" s="7">
        <f t="shared" si="17"/>
        <v>232.98249323979647</v>
      </c>
      <c r="G480" s="7"/>
      <c r="H480" s="7"/>
      <c r="I480" s="7"/>
      <c r="J480" s="7">
        <v>0</v>
      </c>
      <c r="K480" s="7"/>
      <c r="L480" s="7">
        <f t="shared" si="18"/>
        <v>0</v>
      </c>
      <c r="M480" s="7"/>
      <c r="N480" s="7"/>
      <c r="O480" s="7"/>
    </row>
    <row r="481" spans="3:15" x14ac:dyDescent="0.2">
      <c r="C481">
        <v>462</v>
      </c>
      <c r="D481" s="7">
        <v>3054.8571428571431</v>
      </c>
      <c r="E481" s="7"/>
      <c r="F481" s="7">
        <f t="shared" si="17"/>
        <v>246.6873457833139</v>
      </c>
      <c r="G481" s="7"/>
      <c r="H481" s="7"/>
      <c r="I481" s="7"/>
      <c r="J481" s="7">
        <v>0</v>
      </c>
      <c r="K481" s="7"/>
      <c r="L481" s="7">
        <f t="shared" si="18"/>
        <v>0</v>
      </c>
      <c r="M481" s="7"/>
      <c r="N481" s="7"/>
      <c r="O481" s="7"/>
    </row>
    <row r="482" spans="3:15" x14ac:dyDescent="0.2">
      <c r="C482">
        <v>463</v>
      </c>
      <c r="D482" s="7">
        <v>3224.5714285714284</v>
      </c>
      <c r="E482" s="7"/>
      <c r="F482" s="7">
        <f t="shared" si="17"/>
        <v>260.39219832683131</v>
      </c>
      <c r="G482" s="7"/>
      <c r="H482" s="7"/>
      <c r="I482" s="7"/>
      <c r="J482" s="7">
        <v>0</v>
      </c>
      <c r="K482" s="7"/>
      <c r="L482" s="7">
        <f t="shared" si="18"/>
        <v>0</v>
      </c>
      <c r="M482" s="7"/>
      <c r="N482" s="7"/>
      <c r="O482" s="7"/>
    </row>
    <row r="483" spans="3:15" x14ac:dyDescent="0.2">
      <c r="C483">
        <v>464</v>
      </c>
      <c r="D483" s="7">
        <v>3394.2857142857147</v>
      </c>
      <c r="E483" s="7"/>
      <c r="F483" s="7">
        <f t="shared" si="17"/>
        <v>274.09705087034877</v>
      </c>
      <c r="G483" s="7"/>
      <c r="H483" s="7"/>
      <c r="I483" s="7"/>
      <c r="J483" s="7">
        <v>0</v>
      </c>
      <c r="K483" s="7"/>
      <c r="L483" s="7">
        <f t="shared" si="18"/>
        <v>0</v>
      </c>
      <c r="M483" s="7"/>
      <c r="N483" s="7"/>
      <c r="O483" s="7"/>
    </row>
    <row r="484" spans="3:15" x14ac:dyDescent="0.2">
      <c r="C484">
        <v>465</v>
      </c>
      <c r="D484" s="7">
        <v>3564</v>
      </c>
      <c r="E484" s="7"/>
      <c r="F484" s="7">
        <f t="shared" si="17"/>
        <v>287.80190341386617</v>
      </c>
      <c r="G484" s="7"/>
      <c r="H484" s="7"/>
      <c r="I484" s="7"/>
      <c r="J484" s="7">
        <v>0</v>
      </c>
      <c r="K484" s="7"/>
      <c r="L484" s="7">
        <f t="shared" si="18"/>
        <v>0</v>
      </c>
      <c r="M484" s="7"/>
      <c r="N484" s="7"/>
      <c r="O484" s="7"/>
    </row>
    <row r="485" spans="3:15" x14ac:dyDescent="0.2">
      <c r="C485">
        <v>466</v>
      </c>
      <c r="D485" s="7">
        <v>3733.7142857142858</v>
      </c>
      <c r="E485" s="7"/>
      <c r="F485" s="7">
        <f t="shared" si="17"/>
        <v>301.50675595738363</v>
      </c>
      <c r="G485" s="7"/>
      <c r="H485" s="7"/>
      <c r="I485" s="7"/>
      <c r="J485" s="7">
        <v>0</v>
      </c>
      <c r="K485" s="7"/>
      <c r="L485" s="7">
        <f t="shared" si="18"/>
        <v>0</v>
      </c>
      <c r="M485" s="7"/>
      <c r="N485" s="7"/>
      <c r="O485" s="7"/>
    </row>
    <row r="486" spans="3:15" x14ac:dyDescent="0.2">
      <c r="C486">
        <v>467</v>
      </c>
      <c r="D486" s="7">
        <v>3759.1954373665603</v>
      </c>
      <c r="E486" s="7"/>
      <c r="F486" s="7">
        <f t="shared" si="17"/>
        <v>303.56442260909574</v>
      </c>
      <c r="G486" s="7"/>
      <c r="H486" s="7"/>
      <c r="I486" s="7"/>
      <c r="J486" s="7">
        <v>144.23313406201169</v>
      </c>
      <c r="K486" s="7"/>
      <c r="L486" s="7">
        <f t="shared" si="18"/>
        <v>9.3423068626631185</v>
      </c>
      <c r="M486" s="7"/>
      <c r="N486" s="7"/>
      <c r="O486" s="7"/>
    </row>
    <row r="487" spans="3:15" x14ac:dyDescent="0.2">
      <c r="C487">
        <v>468</v>
      </c>
      <c r="D487" s="7">
        <v>3749.9620417512133</v>
      </c>
      <c r="E487" s="7"/>
      <c r="F487" s="7">
        <f t="shared" si="17"/>
        <v>302.81880284673042</v>
      </c>
      <c r="G487" s="7"/>
      <c r="H487" s="7"/>
      <c r="I487" s="7"/>
      <c r="J487" s="7">
        <v>323.1808153916445</v>
      </c>
      <c r="K487" s="7"/>
      <c r="L487" s="7">
        <f t="shared" si="18"/>
        <v>20.933153599895586</v>
      </c>
      <c r="M487" s="7"/>
      <c r="N487" s="7"/>
      <c r="O487" s="7"/>
    </row>
    <row r="488" spans="3:15" x14ac:dyDescent="0.2">
      <c r="C488">
        <v>469</v>
      </c>
      <c r="D488" s="7">
        <v>3740.7663005766558</v>
      </c>
      <c r="E488" s="7"/>
      <c r="F488" s="7">
        <f t="shared" si="17"/>
        <v>302.07622377452532</v>
      </c>
      <c r="G488" s="7"/>
      <c r="H488" s="7"/>
      <c r="I488" s="7"/>
      <c r="J488" s="7">
        <v>417.23369942334421</v>
      </c>
      <c r="K488" s="7"/>
      <c r="L488" s="7">
        <f t="shared" si="18"/>
        <v>27.025171981502897</v>
      </c>
      <c r="M488" s="7"/>
      <c r="N488" s="7"/>
      <c r="O488" s="7"/>
    </row>
    <row r="489" spans="3:15" x14ac:dyDescent="0.2">
      <c r="C489">
        <v>470</v>
      </c>
      <c r="D489" s="7">
        <v>3731.6080993239261</v>
      </c>
      <c r="E489" s="7"/>
      <c r="F489" s="7">
        <f t="shared" si="17"/>
        <v>301.33667614478827</v>
      </c>
      <c r="G489" s="7"/>
      <c r="H489" s="7"/>
      <c r="I489" s="7"/>
      <c r="J489" s="7">
        <v>426.39190067607387</v>
      </c>
      <c r="K489" s="7"/>
      <c r="L489" s="7">
        <f t="shared" si="18"/>
        <v>27.618369425137736</v>
      </c>
      <c r="M489" s="7"/>
      <c r="N489" s="7"/>
      <c r="O489" s="7"/>
    </row>
    <row r="490" spans="3:15" x14ac:dyDescent="0.2">
      <c r="C490">
        <v>471</v>
      </c>
      <c r="D490" s="7">
        <v>3723.281207240525</v>
      </c>
      <c r="E490" s="7"/>
      <c r="F490" s="7">
        <f t="shared" si="17"/>
        <v>300.66425880721118</v>
      </c>
      <c r="G490" s="7"/>
      <c r="H490" s="7"/>
      <c r="I490" s="7"/>
      <c r="J490" s="7">
        <v>859.00450704518971</v>
      </c>
      <c r="K490" s="7"/>
      <c r="L490" s="7">
        <f t="shared" si="18"/>
        <v>55.639668051423712</v>
      </c>
      <c r="M490" s="7"/>
      <c r="N490" s="7"/>
      <c r="O490" s="7"/>
    </row>
    <row r="491" spans="3:15" x14ac:dyDescent="0.2">
      <c r="C491">
        <v>472</v>
      </c>
      <c r="D491" s="7">
        <v>3722.7273145750255</v>
      </c>
      <c r="E491" s="7"/>
      <c r="F491" s="7">
        <f t="shared" si="17"/>
        <v>300.61953059076404</v>
      </c>
      <c r="G491" s="7"/>
      <c r="H491" s="7"/>
      <c r="I491" s="7"/>
      <c r="J491" s="7">
        <v>1029.2726854249745</v>
      </c>
      <c r="K491" s="7"/>
      <c r="L491" s="7">
        <f t="shared" si="18"/>
        <v>66.668323718620854</v>
      </c>
      <c r="M491" s="7"/>
      <c r="N491" s="7"/>
      <c r="O491" s="7"/>
    </row>
    <row r="492" spans="3:15" x14ac:dyDescent="0.2">
      <c r="C492">
        <v>473</v>
      </c>
      <c r="D492" s="7">
        <v>3730.1975765853576</v>
      </c>
      <c r="E492" s="7"/>
      <c r="F492" s="7">
        <f t="shared" si="17"/>
        <v>301.22277290994862</v>
      </c>
      <c r="G492" s="7"/>
      <c r="H492" s="7"/>
      <c r="I492" s="7"/>
      <c r="J492" s="7">
        <v>784.202423414642</v>
      </c>
      <c r="K492" s="7"/>
      <c r="L492" s="7">
        <f t="shared" si="18"/>
        <v>50.794567625728781</v>
      </c>
      <c r="M492" s="7"/>
      <c r="N492" s="7"/>
      <c r="O492" s="7"/>
    </row>
    <row r="493" spans="3:15" x14ac:dyDescent="0.2">
      <c r="C493">
        <v>474</v>
      </c>
      <c r="D493" s="7">
        <v>3737.6402490213463</v>
      </c>
      <c r="E493" s="7"/>
      <c r="F493" s="7">
        <f t="shared" si="17"/>
        <v>301.823787302082</v>
      </c>
      <c r="G493" s="7"/>
      <c r="H493" s="7"/>
      <c r="I493" s="7"/>
      <c r="J493" s="7">
        <v>539.15975097865385</v>
      </c>
      <c r="K493" s="7"/>
      <c r="L493" s="7">
        <f t="shared" si="18"/>
        <v>34.92259857207295</v>
      </c>
      <c r="M493" s="7"/>
      <c r="N493" s="7"/>
      <c r="O493" s="7"/>
    </row>
    <row r="494" spans="3:15" x14ac:dyDescent="0.2">
      <c r="C494">
        <v>475</v>
      </c>
      <c r="D494" s="7">
        <v>3745.0560300704497</v>
      </c>
      <c r="E494" s="7"/>
      <c r="F494" s="7">
        <f t="shared" si="17"/>
        <v>302.42263014754565</v>
      </c>
      <c r="G494" s="7"/>
      <c r="H494" s="7"/>
      <c r="I494" s="7"/>
      <c r="J494" s="7">
        <v>412.94396992955035</v>
      </c>
      <c r="K494" s="7"/>
      <c r="L494" s="7">
        <f t="shared" si="18"/>
        <v>26.747316483531062</v>
      </c>
      <c r="M494" s="7"/>
      <c r="N494" s="7"/>
      <c r="O494" s="7"/>
    </row>
    <row r="495" spans="3:15" x14ac:dyDescent="0.2">
      <c r="C495">
        <v>476</v>
      </c>
      <c r="D495" s="7">
        <v>3752.4455039109025</v>
      </c>
      <c r="E495" s="7"/>
      <c r="F495" s="7">
        <f t="shared" si="17"/>
        <v>303.01934862019135</v>
      </c>
      <c r="G495" s="7"/>
      <c r="H495" s="7"/>
      <c r="I495" s="7"/>
      <c r="J495" s="7">
        <v>49.154496089096483</v>
      </c>
      <c r="K495" s="7"/>
      <c r="L495" s="7">
        <f t="shared" si="18"/>
        <v>3.1838480743715771</v>
      </c>
      <c r="M495" s="7"/>
      <c r="N495" s="7"/>
      <c r="O495" s="7"/>
    </row>
    <row r="496" spans="3:15" x14ac:dyDescent="0.2">
      <c r="C496">
        <v>477</v>
      </c>
      <c r="D496" s="7">
        <v>3563.9999999999991</v>
      </c>
      <c r="E496" s="7"/>
      <c r="F496" s="7">
        <f t="shared" si="17"/>
        <v>287.80190341386611</v>
      </c>
      <c r="G496" s="7"/>
      <c r="H496" s="7"/>
      <c r="I496" s="7"/>
      <c r="J496" s="7">
        <v>0</v>
      </c>
      <c r="K496" s="7"/>
      <c r="L496" s="7">
        <f t="shared" si="18"/>
        <v>0</v>
      </c>
      <c r="M496" s="7"/>
      <c r="N496" s="7"/>
      <c r="O496" s="7"/>
    </row>
    <row r="497" spans="3:15" x14ac:dyDescent="0.2">
      <c r="C497">
        <v>478</v>
      </c>
      <c r="D497" s="7">
        <v>3326.3999999999996</v>
      </c>
      <c r="E497" s="7"/>
      <c r="F497" s="7">
        <f t="shared" si="17"/>
        <v>268.61510985294177</v>
      </c>
      <c r="G497" s="7"/>
      <c r="H497" s="7"/>
      <c r="I497" s="7"/>
      <c r="J497" s="7">
        <v>0</v>
      </c>
      <c r="K497" s="7"/>
      <c r="L497" s="7">
        <f t="shared" si="18"/>
        <v>0</v>
      </c>
      <c r="M497" s="7"/>
      <c r="N497" s="7"/>
      <c r="O497" s="7"/>
    </row>
    <row r="498" spans="3:15" x14ac:dyDescent="0.2">
      <c r="C498">
        <v>479</v>
      </c>
      <c r="D498" s="7">
        <v>2673</v>
      </c>
      <c r="E498" s="7"/>
      <c r="F498" s="7">
        <f t="shared" si="17"/>
        <v>215.85142756039966</v>
      </c>
      <c r="G498" s="7"/>
      <c r="H498" s="7"/>
      <c r="I498" s="7"/>
      <c r="J498" s="7">
        <v>0</v>
      </c>
      <c r="K498" s="7"/>
      <c r="L498" s="7">
        <f t="shared" si="18"/>
        <v>0</v>
      </c>
      <c r="M498" s="7"/>
      <c r="N498" s="7"/>
      <c r="O498" s="7"/>
    </row>
    <row r="499" spans="3:15" x14ac:dyDescent="0.2">
      <c r="C499">
        <v>480</v>
      </c>
      <c r="D499" s="7">
        <v>2524.5</v>
      </c>
      <c r="E499" s="7"/>
      <c r="F499" s="7">
        <f t="shared" si="17"/>
        <v>203.85968158482189</v>
      </c>
      <c r="G499" s="7"/>
      <c r="H499" s="7"/>
      <c r="I499" s="7"/>
      <c r="J499" s="7">
        <v>0</v>
      </c>
      <c r="K499" s="7"/>
      <c r="L499" s="7">
        <f t="shared" si="18"/>
        <v>0</v>
      </c>
      <c r="M499" s="7"/>
      <c r="N499" s="7"/>
      <c r="O499" s="7"/>
    </row>
    <row r="500" spans="3:15" x14ac:dyDescent="0.2">
      <c r="C500">
        <v>481</v>
      </c>
      <c r="D500" s="7">
        <v>2376</v>
      </c>
      <c r="E500" s="7"/>
      <c r="F500" s="7">
        <f t="shared" si="17"/>
        <v>191.86793560924414</v>
      </c>
      <c r="G500" s="7"/>
      <c r="H500" s="7"/>
      <c r="I500" s="7"/>
      <c r="J500" s="7">
        <v>0</v>
      </c>
      <c r="K500" s="7"/>
      <c r="L500" s="7">
        <f t="shared" si="18"/>
        <v>0</v>
      </c>
      <c r="M500" s="7"/>
      <c r="N500" s="7"/>
      <c r="O500" s="7"/>
    </row>
    <row r="501" spans="3:15" x14ac:dyDescent="0.2">
      <c r="C501">
        <v>482</v>
      </c>
      <c r="D501" s="7">
        <v>2376</v>
      </c>
      <c r="E501" s="7"/>
      <c r="F501" s="7">
        <f t="shared" si="17"/>
        <v>191.86793560924414</v>
      </c>
      <c r="G501" s="7"/>
      <c r="H501" s="7"/>
      <c r="I501" s="7"/>
      <c r="J501" s="7">
        <v>0</v>
      </c>
      <c r="K501" s="7"/>
      <c r="L501" s="7">
        <f t="shared" si="18"/>
        <v>0</v>
      </c>
      <c r="M501" s="7"/>
      <c r="N501" s="7"/>
      <c r="O501" s="7"/>
    </row>
    <row r="502" spans="3:15" x14ac:dyDescent="0.2">
      <c r="C502">
        <v>483</v>
      </c>
      <c r="D502" s="7">
        <v>2524.5000000000005</v>
      </c>
      <c r="E502" s="7"/>
      <c r="F502" s="7">
        <f t="shared" si="17"/>
        <v>203.85968158482191</v>
      </c>
      <c r="G502" s="7"/>
      <c r="H502" s="7"/>
      <c r="I502" s="7"/>
      <c r="J502" s="7">
        <v>0</v>
      </c>
      <c r="K502" s="7"/>
      <c r="L502" s="7">
        <f t="shared" si="18"/>
        <v>0</v>
      </c>
      <c r="M502" s="7"/>
      <c r="N502" s="7"/>
      <c r="O502" s="7"/>
    </row>
    <row r="503" spans="3:15" x14ac:dyDescent="0.2">
      <c r="C503">
        <v>484</v>
      </c>
      <c r="D503" s="7">
        <v>2673</v>
      </c>
      <c r="E503" s="7"/>
      <c r="F503" s="7">
        <f t="shared" si="17"/>
        <v>215.85142756039966</v>
      </c>
      <c r="G503" s="7"/>
      <c r="H503" s="7"/>
      <c r="I503" s="7"/>
      <c r="J503" s="7">
        <v>0</v>
      </c>
      <c r="K503" s="7"/>
      <c r="L503" s="7">
        <f t="shared" si="18"/>
        <v>0</v>
      </c>
      <c r="M503" s="7"/>
      <c r="N503" s="7"/>
      <c r="O503" s="7"/>
    </row>
    <row r="504" spans="3:15" x14ac:dyDescent="0.2">
      <c r="C504">
        <v>485</v>
      </c>
      <c r="D504" s="7">
        <v>2821.4999999999995</v>
      </c>
      <c r="E504" s="7"/>
      <c r="F504" s="7">
        <f t="shared" si="17"/>
        <v>227.84317353597737</v>
      </c>
      <c r="G504" s="7"/>
      <c r="H504" s="7"/>
      <c r="I504" s="7"/>
      <c r="J504" s="7">
        <v>0</v>
      </c>
      <c r="K504" s="7"/>
      <c r="L504" s="7">
        <f t="shared" si="18"/>
        <v>0</v>
      </c>
      <c r="M504" s="7"/>
      <c r="N504" s="7"/>
      <c r="O504" s="7"/>
    </row>
    <row r="505" spans="3:15" x14ac:dyDescent="0.2">
      <c r="C505">
        <v>486</v>
      </c>
      <c r="D505" s="7">
        <v>2969.9999999999995</v>
      </c>
      <c r="E505" s="7"/>
      <c r="F505" s="7">
        <f t="shared" si="17"/>
        <v>239.83491951155514</v>
      </c>
      <c r="G505" s="7"/>
      <c r="H505" s="7"/>
      <c r="I505" s="7"/>
      <c r="J505" s="7">
        <v>0</v>
      </c>
      <c r="K505" s="7"/>
      <c r="L505" s="7">
        <f t="shared" si="18"/>
        <v>0</v>
      </c>
      <c r="M505" s="7"/>
      <c r="N505" s="7"/>
      <c r="O505" s="7"/>
    </row>
    <row r="506" spans="3:15" x14ac:dyDescent="0.2">
      <c r="C506">
        <v>487</v>
      </c>
      <c r="D506" s="7">
        <v>3118.5</v>
      </c>
      <c r="E506" s="7"/>
      <c r="F506" s="7">
        <f t="shared" si="17"/>
        <v>251.82666548713291</v>
      </c>
      <c r="G506" s="7"/>
      <c r="H506" s="7"/>
      <c r="I506" s="7"/>
      <c r="J506" s="7">
        <v>0</v>
      </c>
      <c r="K506" s="7"/>
      <c r="L506" s="7">
        <f t="shared" si="18"/>
        <v>0</v>
      </c>
      <c r="M506" s="7"/>
      <c r="N506" s="7"/>
      <c r="O506" s="7"/>
    </row>
    <row r="507" spans="3:15" x14ac:dyDescent="0.2">
      <c r="C507">
        <v>488</v>
      </c>
      <c r="D507" s="7">
        <v>3267</v>
      </c>
      <c r="E507" s="7"/>
      <c r="F507" s="7">
        <f t="shared" si="17"/>
        <v>263.81841146271069</v>
      </c>
      <c r="G507" s="7"/>
      <c r="H507" s="7"/>
      <c r="I507" s="7"/>
      <c r="J507" s="7">
        <v>0</v>
      </c>
      <c r="K507" s="7"/>
      <c r="L507" s="7">
        <f t="shared" si="18"/>
        <v>0</v>
      </c>
      <c r="M507" s="7"/>
      <c r="N507" s="7"/>
      <c r="O507" s="7"/>
    </row>
    <row r="508" spans="3:15" x14ac:dyDescent="0.2">
      <c r="C508">
        <v>489</v>
      </c>
      <c r="D508" s="7">
        <v>3415.5</v>
      </c>
      <c r="E508" s="7"/>
      <c r="F508" s="7">
        <f t="shared" si="17"/>
        <v>275.81015743828846</v>
      </c>
      <c r="G508" s="7"/>
      <c r="H508" s="7"/>
      <c r="I508" s="7"/>
      <c r="J508" s="7">
        <v>0</v>
      </c>
      <c r="K508" s="7"/>
      <c r="L508" s="7">
        <f t="shared" si="18"/>
        <v>0</v>
      </c>
      <c r="M508" s="7"/>
      <c r="N508" s="7"/>
      <c r="O508" s="7"/>
    </row>
    <row r="509" spans="3:15" x14ac:dyDescent="0.2">
      <c r="C509">
        <v>490</v>
      </c>
      <c r="D509" s="7">
        <v>3564</v>
      </c>
      <c r="E509" s="7"/>
      <c r="F509" s="7">
        <f t="shared" si="17"/>
        <v>287.80190341386617</v>
      </c>
      <c r="G509" s="7"/>
      <c r="H509" s="7"/>
      <c r="I509" s="7"/>
      <c r="J509" s="7">
        <v>0</v>
      </c>
      <c r="K509" s="7"/>
      <c r="L509" s="7">
        <f t="shared" si="18"/>
        <v>0</v>
      </c>
      <c r="M509" s="7"/>
      <c r="N509" s="7"/>
      <c r="O509" s="7"/>
    </row>
    <row r="510" spans="3:15" x14ac:dyDescent="0.2">
      <c r="C510">
        <v>491</v>
      </c>
      <c r="D510" s="7">
        <v>3712.5000000000005</v>
      </c>
      <c r="E510" s="7"/>
      <c r="F510" s="7">
        <f t="shared" si="17"/>
        <v>299.793649389444</v>
      </c>
      <c r="G510" s="7"/>
      <c r="H510" s="7"/>
      <c r="I510" s="7"/>
      <c r="J510" s="7">
        <v>0</v>
      </c>
      <c r="K510" s="7"/>
      <c r="L510" s="7">
        <f t="shared" si="18"/>
        <v>0</v>
      </c>
      <c r="M510" s="7"/>
      <c r="N510" s="7"/>
      <c r="O510" s="7"/>
    </row>
    <row r="511" spans="3:15" x14ac:dyDescent="0.2">
      <c r="C511">
        <v>492</v>
      </c>
      <c r="D511" s="7">
        <v>3722.3562966504742</v>
      </c>
      <c r="E511" s="7"/>
      <c r="F511" s="7">
        <f t="shared" si="17"/>
        <v>300.58956996649732</v>
      </c>
      <c r="G511" s="7"/>
      <c r="H511" s="7"/>
      <c r="I511" s="7"/>
      <c r="J511" s="7">
        <v>138.64370334952673</v>
      </c>
      <c r="K511" s="7"/>
      <c r="L511" s="7">
        <f t="shared" si="18"/>
        <v>8.9802667721997338</v>
      </c>
      <c r="M511" s="7"/>
      <c r="N511" s="7"/>
      <c r="O511" s="7"/>
    </row>
    <row r="512" spans="3:15" x14ac:dyDescent="0.2">
      <c r="C512">
        <v>493</v>
      </c>
      <c r="D512" s="7">
        <v>3716.8261777035914</v>
      </c>
      <c r="E512" s="7"/>
      <c r="F512" s="7">
        <f t="shared" si="17"/>
        <v>300.14299904645861</v>
      </c>
      <c r="G512" s="7"/>
      <c r="H512" s="7"/>
      <c r="I512" s="7"/>
      <c r="J512" s="7">
        <v>292.67382229640907</v>
      </c>
      <c r="K512" s="7"/>
      <c r="L512" s="7">
        <f t="shared" si="18"/>
        <v>18.957146541556973</v>
      </c>
      <c r="M512" s="7"/>
      <c r="N512" s="7"/>
      <c r="O512" s="7"/>
    </row>
    <row r="513" spans="3:15" x14ac:dyDescent="0.2">
      <c r="C513">
        <v>494</v>
      </c>
      <c r="D513" s="7">
        <v>3711.3264546854366</v>
      </c>
      <c r="E513" s="7"/>
      <c r="F513" s="7">
        <f t="shared" si="17"/>
        <v>299.69888267359835</v>
      </c>
      <c r="G513" s="7"/>
      <c r="H513" s="7"/>
      <c r="I513" s="7"/>
      <c r="J513" s="7">
        <v>446.67354531456431</v>
      </c>
      <c r="K513" s="7"/>
      <c r="L513" s="7">
        <f t="shared" si="18"/>
        <v>28.932057497746626</v>
      </c>
      <c r="M513" s="7"/>
      <c r="N513" s="7"/>
      <c r="O513" s="7"/>
    </row>
    <row r="514" spans="3:15" x14ac:dyDescent="0.2">
      <c r="C514">
        <v>495</v>
      </c>
      <c r="D514" s="7">
        <v>3705.8570229956845</v>
      </c>
      <c r="E514" s="7"/>
      <c r="F514" s="7">
        <f t="shared" si="17"/>
        <v>299.25721240117895</v>
      </c>
      <c r="G514" s="7"/>
      <c r="H514" s="7"/>
      <c r="I514" s="7"/>
      <c r="J514" s="7">
        <v>303.64297700431553</v>
      </c>
      <c r="K514" s="7"/>
      <c r="L514" s="7">
        <f t="shared" si="18"/>
        <v>19.667643543315453</v>
      </c>
      <c r="M514" s="7"/>
      <c r="N514" s="7"/>
      <c r="O514" s="7"/>
    </row>
    <row r="515" spans="3:15" x14ac:dyDescent="0.2">
      <c r="C515">
        <v>496</v>
      </c>
      <c r="D515" s="7">
        <v>3706.3756998921554</v>
      </c>
      <c r="E515" s="7"/>
      <c r="F515" s="7">
        <f t="shared" si="17"/>
        <v>299.2990968563027</v>
      </c>
      <c r="G515" s="7"/>
      <c r="H515" s="7"/>
      <c r="I515" s="7"/>
      <c r="J515" s="7">
        <v>451.62430010784465</v>
      </c>
      <c r="K515" s="7"/>
      <c r="L515" s="7">
        <f t="shared" si="18"/>
        <v>29.252729101961645</v>
      </c>
      <c r="M515" s="7"/>
      <c r="N515" s="7"/>
      <c r="O515" s="7"/>
    </row>
    <row r="516" spans="3:15" x14ac:dyDescent="0.2">
      <c r="C516">
        <v>497</v>
      </c>
      <c r="D516" s="7">
        <v>3714.9288799079313</v>
      </c>
      <c r="E516" s="7"/>
      <c r="F516" s="7">
        <f t="shared" si="17"/>
        <v>299.98978750972071</v>
      </c>
      <c r="G516" s="7"/>
      <c r="H516" s="7"/>
      <c r="I516" s="7"/>
      <c r="J516" s="7">
        <v>1037.0711200920687</v>
      </c>
      <c r="K516" s="7"/>
      <c r="L516" s="7">
        <f t="shared" si="18"/>
        <v>67.173445999865194</v>
      </c>
      <c r="M516" s="7"/>
      <c r="N516" s="7"/>
      <c r="O516" s="7"/>
    </row>
    <row r="517" spans="3:15" x14ac:dyDescent="0.2">
      <c r="C517">
        <v>498</v>
      </c>
      <c r="D517" s="7">
        <v>3723.4502227303101</v>
      </c>
      <c r="E517" s="7"/>
      <c r="F517" s="7">
        <f t="shared" si="17"/>
        <v>300.67790723023774</v>
      </c>
      <c r="G517" s="7"/>
      <c r="H517" s="7"/>
      <c r="I517" s="7"/>
      <c r="J517" s="7">
        <v>880.04977726968991</v>
      </c>
      <c r="K517" s="7"/>
      <c r="L517" s="7">
        <f t="shared" si="18"/>
        <v>57.002817883281466</v>
      </c>
      <c r="M517" s="7"/>
      <c r="N517" s="7"/>
      <c r="O517" s="7"/>
    </row>
    <row r="518" spans="3:15" x14ac:dyDescent="0.2">
      <c r="C518">
        <v>499</v>
      </c>
      <c r="D518" s="7">
        <v>3731.9396386467374</v>
      </c>
      <c r="E518" s="7"/>
      <c r="F518" s="7">
        <f t="shared" si="17"/>
        <v>301.36344877334091</v>
      </c>
      <c r="G518" s="7"/>
      <c r="H518" s="7"/>
      <c r="I518" s="7"/>
      <c r="J518" s="7">
        <v>1168.5603613532617</v>
      </c>
      <c r="K518" s="7"/>
      <c r="L518" s="7">
        <f t="shared" si="18"/>
        <v>75.690302053708308</v>
      </c>
      <c r="M518" s="7"/>
      <c r="N518" s="7"/>
      <c r="O518" s="7"/>
    </row>
    <row r="519" spans="3:15" x14ac:dyDescent="0.2">
      <c r="C519">
        <v>500</v>
      </c>
      <c r="D519" s="7">
        <v>3740.396828595829</v>
      </c>
      <c r="E519" s="7"/>
      <c r="F519" s="7">
        <f t="shared" si="17"/>
        <v>302.04638798907638</v>
      </c>
      <c r="G519" s="7"/>
      <c r="H519" s="7"/>
      <c r="I519" s="7"/>
      <c r="J519" s="7">
        <v>833.40317140417119</v>
      </c>
      <c r="K519" s="7"/>
      <c r="L519" s="7">
        <f t="shared" si="18"/>
        <v>53.981411540478049</v>
      </c>
      <c r="M519" s="7"/>
      <c r="N519" s="7"/>
      <c r="O519" s="7"/>
    </row>
    <row r="520" spans="3:15" x14ac:dyDescent="0.2">
      <c r="C520">
        <v>501</v>
      </c>
      <c r="D520" s="7">
        <v>3748.8225300530357</v>
      </c>
      <c r="E520" s="7"/>
      <c r="F520" s="7">
        <f t="shared" si="17"/>
        <v>302.72678443042912</v>
      </c>
      <c r="G520" s="7"/>
      <c r="H520" s="7"/>
      <c r="I520" s="7"/>
      <c r="J520" s="7">
        <v>498.27746994696463</v>
      </c>
      <c r="K520" s="7"/>
      <c r="L520" s="7">
        <f t="shared" si="18"/>
        <v>32.274560608206315</v>
      </c>
      <c r="M520" s="7"/>
      <c r="N520" s="7"/>
      <c r="O520" s="7"/>
    </row>
    <row r="521" spans="3:15" x14ac:dyDescent="0.2">
      <c r="C521">
        <v>502</v>
      </c>
      <c r="D521" s="7">
        <v>3757.2177903317797</v>
      </c>
      <c r="E521" s="7"/>
      <c r="F521" s="7">
        <f t="shared" si="17"/>
        <v>303.40472267057424</v>
      </c>
      <c r="G521" s="7"/>
      <c r="H521" s="7"/>
      <c r="I521" s="7"/>
      <c r="J521" s="7">
        <v>163.18220966821991</v>
      </c>
      <c r="K521" s="7"/>
      <c r="L521" s="7">
        <f t="shared" si="18"/>
        <v>10.569681420030012</v>
      </c>
      <c r="M521" s="7"/>
      <c r="N521" s="7"/>
      <c r="O521" s="7"/>
    </row>
    <row r="522" spans="3:15" x14ac:dyDescent="0.2">
      <c r="C522">
        <v>503</v>
      </c>
      <c r="D522" s="7">
        <v>3593.7</v>
      </c>
      <c r="E522" s="7"/>
      <c r="F522" s="7">
        <f t="shared" si="17"/>
        <v>290.20025260898171</v>
      </c>
      <c r="G522" s="7"/>
      <c r="H522" s="7"/>
      <c r="I522" s="7"/>
      <c r="J522" s="7">
        <v>0</v>
      </c>
      <c r="K522" s="7"/>
      <c r="L522" s="7">
        <f t="shared" si="18"/>
        <v>0</v>
      </c>
      <c r="M522" s="7"/>
      <c r="N522" s="7"/>
      <c r="O522" s="7"/>
    </row>
    <row r="523" spans="3:15" x14ac:dyDescent="0.2">
      <c r="C523">
        <v>504</v>
      </c>
      <c r="D523" s="7">
        <v>3267</v>
      </c>
      <c r="E523" s="7"/>
      <c r="F523" s="7">
        <f t="shared" si="17"/>
        <v>263.81841146271069</v>
      </c>
      <c r="G523" s="7"/>
      <c r="H523" s="7"/>
      <c r="I523" s="7"/>
      <c r="J523" s="7">
        <v>0</v>
      </c>
      <c r="K523" s="7"/>
      <c r="L523" s="7">
        <f t="shared" si="18"/>
        <v>0</v>
      </c>
      <c r="M523" s="7"/>
      <c r="N523" s="7"/>
      <c r="O523" s="7"/>
    </row>
    <row r="524" spans="3:15" x14ac:dyDescent="0.2">
      <c r="C524">
        <v>505</v>
      </c>
      <c r="D524" s="7">
        <v>2524.5</v>
      </c>
      <c r="E524" s="7"/>
      <c r="F524" s="7">
        <f t="shared" si="17"/>
        <v>203.85968158482189</v>
      </c>
      <c r="G524" s="7"/>
      <c r="H524" s="7"/>
      <c r="I524" s="7"/>
      <c r="J524" s="7">
        <v>0</v>
      </c>
      <c r="K524" s="7"/>
      <c r="L524" s="7">
        <f t="shared" si="18"/>
        <v>0</v>
      </c>
      <c r="M524" s="7"/>
      <c r="N524" s="7"/>
      <c r="O524" s="7"/>
    </row>
    <row r="525" spans="3:15" x14ac:dyDescent="0.2">
      <c r="C525">
        <v>506</v>
      </c>
      <c r="D525" s="7">
        <v>2376</v>
      </c>
      <c r="E525" s="7"/>
      <c r="F525" s="7">
        <f t="shared" si="17"/>
        <v>191.86793560924414</v>
      </c>
      <c r="G525" s="7"/>
      <c r="H525" s="7"/>
      <c r="I525" s="7"/>
      <c r="J525" s="7">
        <v>0</v>
      </c>
      <c r="K525" s="7"/>
      <c r="L525" s="7">
        <f t="shared" si="18"/>
        <v>0</v>
      </c>
      <c r="M525" s="7"/>
      <c r="N525" s="7"/>
      <c r="O525" s="7"/>
    </row>
    <row r="526" spans="3:15" x14ac:dyDescent="0.2">
      <c r="C526">
        <v>507</v>
      </c>
      <c r="D526" s="7">
        <v>2524.5</v>
      </c>
      <c r="E526" s="7"/>
      <c r="F526" s="7">
        <f t="shared" si="17"/>
        <v>203.85968158482189</v>
      </c>
      <c r="G526" s="7"/>
      <c r="H526" s="7"/>
      <c r="I526" s="7"/>
      <c r="J526" s="7">
        <v>0</v>
      </c>
      <c r="K526" s="7"/>
      <c r="L526" s="7">
        <f t="shared" si="18"/>
        <v>0</v>
      </c>
      <c r="M526" s="7"/>
      <c r="N526" s="7"/>
      <c r="O526" s="7"/>
    </row>
    <row r="527" spans="3:15" x14ac:dyDescent="0.2">
      <c r="C527">
        <v>508</v>
      </c>
      <c r="D527" s="7">
        <v>2673</v>
      </c>
      <c r="E527" s="7"/>
      <c r="F527" s="7">
        <f t="shared" si="17"/>
        <v>215.85142756039966</v>
      </c>
      <c r="G527" s="7"/>
      <c r="H527" s="7"/>
      <c r="I527" s="7"/>
      <c r="J527" s="7">
        <v>0</v>
      </c>
      <c r="K527" s="7"/>
      <c r="L527" s="7">
        <f t="shared" si="18"/>
        <v>0</v>
      </c>
      <c r="M527" s="7"/>
      <c r="N527" s="7"/>
      <c r="O527" s="7"/>
    </row>
    <row r="528" spans="3:15" x14ac:dyDescent="0.2">
      <c r="C528">
        <v>509</v>
      </c>
      <c r="D528" s="7">
        <v>3044.2499999999995</v>
      </c>
      <c r="E528" s="7"/>
      <c r="F528" s="7">
        <f t="shared" si="17"/>
        <v>245.830792499344</v>
      </c>
      <c r="G528" s="7"/>
      <c r="H528" s="7"/>
      <c r="I528" s="7"/>
      <c r="J528" s="7">
        <v>0</v>
      </c>
      <c r="K528" s="7"/>
      <c r="L528" s="7">
        <f t="shared" si="18"/>
        <v>0</v>
      </c>
      <c r="M528" s="7"/>
      <c r="N528" s="7"/>
      <c r="O528" s="7"/>
    </row>
    <row r="529" spans="3:15" x14ac:dyDescent="0.2">
      <c r="C529">
        <v>510</v>
      </c>
      <c r="D529" s="7">
        <v>3266.9999999999995</v>
      </c>
      <c r="E529" s="7"/>
      <c r="F529" s="7">
        <f t="shared" si="17"/>
        <v>263.81841146271063</v>
      </c>
      <c r="G529" s="7"/>
      <c r="H529" s="7"/>
      <c r="I529" s="7"/>
      <c r="J529" s="7">
        <v>0</v>
      </c>
      <c r="K529" s="7"/>
      <c r="L529" s="7">
        <f t="shared" si="18"/>
        <v>0</v>
      </c>
      <c r="M529" s="7"/>
      <c r="N529" s="7"/>
      <c r="O529" s="7"/>
    </row>
    <row r="530" spans="3:15" x14ac:dyDescent="0.2">
      <c r="C530">
        <v>511</v>
      </c>
      <c r="D530" s="7">
        <v>3489.7499999999995</v>
      </c>
      <c r="E530" s="7"/>
      <c r="F530" s="7">
        <f t="shared" si="17"/>
        <v>281.80603042607726</v>
      </c>
      <c r="G530" s="7"/>
      <c r="H530" s="7"/>
      <c r="I530" s="7"/>
      <c r="J530" s="7">
        <v>0</v>
      </c>
      <c r="K530" s="7"/>
      <c r="L530" s="7">
        <f t="shared" si="18"/>
        <v>0</v>
      </c>
      <c r="M530" s="7"/>
      <c r="N530" s="7"/>
      <c r="O530" s="7"/>
    </row>
    <row r="531" spans="3:15" x14ac:dyDescent="0.2">
      <c r="C531">
        <v>512</v>
      </c>
      <c r="D531" s="7">
        <v>3712.4999999999991</v>
      </c>
      <c r="E531" s="7"/>
      <c r="F531" s="7">
        <f t="shared" si="17"/>
        <v>299.79364938944389</v>
      </c>
      <c r="G531" s="7"/>
      <c r="H531" s="7"/>
      <c r="I531" s="7"/>
      <c r="J531" s="7">
        <v>0</v>
      </c>
      <c r="K531" s="7"/>
      <c r="L531" s="7">
        <f t="shared" si="18"/>
        <v>0</v>
      </c>
      <c r="M531" s="7"/>
      <c r="N531" s="7"/>
      <c r="O531" s="7"/>
    </row>
    <row r="532" spans="3:15" x14ac:dyDescent="0.2">
      <c r="C532">
        <v>513</v>
      </c>
      <c r="D532" s="7">
        <v>3743.5259909907286</v>
      </c>
      <c r="E532" s="7"/>
      <c r="F532" s="7">
        <f t="shared" si="17"/>
        <v>302.29907566958792</v>
      </c>
      <c r="G532" s="7"/>
      <c r="H532" s="7"/>
      <c r="I532" s="7"/>
      <c r="J532" s="7">
        <v>191.7240090092705</v>
      </c>
      <c r="K532" s="7"/>
      <c r="L532" s="7">
        <f t="shared" si="18"/>
        <v>12.418398426636887</v>
      </c>
      <c r="M532" s="7"/>
      <c r="N532" s="7"/>
      <c r="O532" s="7"/>
    </row>
    <row r="533" spans="3:15" x14ac:dyDescent="0.2">
      <c r="C533">
        <v>514</v>
      </c>
      <c r="D533" s="7">
        <v>3738.0022416851953</v>
      </c>
      <c r="E533" s="7"/>
      <c r="F533" s="7">
        <f t="shared" ref="F533:F596" si="19">D533*(1-($C$2/($D$8-$D$6)*LN($D$8/$D$6)))</f>
        <v>301.85301911400052</v>
      </c>
      <c r="G533" s="7"/>
      <c r="H533" s="7"/>
      <c r="I533" s="7"/>
      <c r="J533" s="7">
        <v>419.99775831480292</v>
      </c>
      <c r="K533" s="7"/>
      <c r="L533" s="7">
        <f t="shared" ref="L533:L596" si="20">J533*(1-$C$2/($D$10-$D$9)*LN($D$10/$D$9))</f>
        <v>27.204206338056345</v>
      </c>
      <c r="M533" s="7"/>
      <c r="N533" s="7"/>
      <c r="O533" s="7"/>
    </row>
    <row r="534" spans="3:15" x14ac:dyDescent="0.2">
      <c r="C534">
        <v>515</v>
      </c>
      <c r="D534" s="7">
        <v>3732.5087252611365</v>
      </c>
      <c r="E534" s="7"/>
      <c r="F534" s="7">
        <f t="shared" si="19"/>
        <v>301.40940393911853</v>
      </c>
      <c r="G534" s="7"/>
      <c r="H534" s="7"/>
      <c r="I534" s="7"/>
      <c r="J534" s="7">
        <v>648.24127473886165</v>
      </c>
      <c r="K534" s="7"/>
      <c r="L534" s="7">
        <f t="shared" si="20"/>
        <v>41.98805599724821</v>
      </c>
      <c r="M534" s="7"/>
      <c r="N534" s="7"/>
      <c r="O534" s="7"/>
    </row>
    <row r="535" spans="3:15" x14ac:dyDescent="0.2">
      <c r="C535">
        <v>516</v>
      </c>
      <c r="D535" s="7">
        <v>3727.0453378265515</v>
      </c>
      <c r="E535" s="7"/>
      <c r="F535" s="7">
        <f t="shared" si="19"/>
        <v>300.96822175540336</v>
      </c>
      <c r="G535" s="7"/>
      <c r="H535" s="7"/>
      <c r="I535" s="7"/>
      <c r="J535" s="7">
        <v>876.45466217344665</v>
      </c>
      <c r="K535" s="7"/>
      <c r="L535" s="7">
        <f t="shared" si="20"/>
        <v>56.769954133532693</v>
      </c>
      <c r="M535" s="7"/>
      <c r="N535" s="7"/>
      <c r="O535" s="7"/>
    </row>
    <row r="536" spans="3:15" x14ac:dyDescent="0.2">
      <c r="C536">
        <v>517</v>
      </c>
      <c r="D536" s="7">
        <v>3721.6119757753422</v>
      </c>
      <c r="E536" s="7"/>
      <c r="F536" s="7">
        <f t="shared" si="19"/>
        <v>300.52946419640369</v>
      </c>
      <c r="G536" s="7"/>
      <c r="H536" s="7"/>
      <c r="I536" s="7"/>
      <c r="J536" s="7">
        <v>1104.6380242246578</v>
      </c>
      <c r="K536" s="7"/>
      <c r="L536" s="7">
        <f t="shared" si="20"/>
        <v>71.549907457711612</v>
      </c>
      <c r="M536" s="7"/>
      <c r="N536" s="7"/>
      <c r="O536" s="7"/>
    </row>
    <row r="537" spans="3:15" x14ac:dyDescent="0.2">
      <c r="C537">
        <v>518</v>
      </c>
      <c r="D537" s="7">
        <v>3716.2085357866536</v>
      </c>
      <c r="E537" s="7"/>
      <c r="F537" s="7">
        <f t="shared" si="19"/>
        <v>300.09312291870248</v>
      </c>
      <c r="G537" s="7"/>
      <c r="H537" s="7"/>
      <c r="I537" s="7"/>
      <c r="J537" s="7">
        <v>1332.7914642133464</v>
      </c>
      <c r="K537" s="7"/>
      <c r="L537" s="7">
        <f t="shared" si="20"/>
        <v>86.327922662110581</v>
      </c>
      <c r="M537" s="7"/>
      <c r="N537" s="7"/>
      <c r="O537" s="7"/>
    </row>
    <row r="538" spans="3:15" x14ac:dyDescent="0.2">
      <c r="C538">
        <v>519</v>
      </c>
      <c r="D538" s="7">
        <v>3710.8349148242173</v>
      </c>
      <c r="E538" s="7"/>
      <c r="F538" s="7">
        <f t="shared" si="19"/>
        <v>299.6591896018636</v>
      </c>
      <c r="G538" s="7"/>
      <c r="H538" s="7"/>
      <c r="I538" s="7"/>
      <c r="J538" s="7">
        <v>1189.6650851757818</v>
      </c>
      <c r="K538" s="7"/>
      <c r="L538" s="7">
        <f t="shared" si="20"/>
        <v>77.057302829805778</v>
      </c>
      <c r="M538" s="7"/>
      <c r="N538" s="7"/>
      <c r="O538" s="7"/>
    </row>
    <row r="539" spans="3:15" x14ac:dyDescent="0.2">
      <c r="C539">
        <v>520</v>
      </c>
      <c r="D539" s="7">
        <v>3711.4752058750087</v>
      </c>
      <c r="E539" s="7"/>
      <c r="F539" s="7">
        <f t="shared" si="19"/>
        <v>299.71089470375938</v>
      </c>
      <c r="G539" s="7"/>
      <c r="H539" s="7"/>
      <c r="I539" s="7"/>
      <c r="J539" s="7">
        <v>1387.0247941249913</v>
      </c>
      <c r="K539" s="7"/>
      <c r="L539" s="7">
        <f t="shared" si="20"/>
        <v>89.840738309594173</v>
      </c>
      <c r="M539" s="7"/>
      <c r="N539" s="7"/>
      <c r="O539" s="7"/>
    </row>
    <row r="540" spans="3:15" x14ac:dyDescent="0.2">
      <c r="C540">
        <v>521</v>
      </c>
      <c r="D540" s="7">
        <v>3720.1502452383911</v>
      </c>
      <c r="E540" s="7"/>
      <c r="F540" s="7">
        <f t="shared" si="19"/>
        <v>300.41142580391977</v>
      </c>
      <c r="G540" s="7"/>
      <c r="H540" s="7"/>
      <c r="I540" s="7"/>
      <c r="J540" s="7">
        <v>2071.3497547616089</v>
      </c>
      <c r="K540" s="7"/>
      <c r="L540" s="7">
        <f t="shared" si="20"/>
        <v>134.16601639235742</v>
      </c>
      <c r="M540" s="7"/>
      <c r="N540" s="7"/>
      <c r="O540" s="7"/>
    </row>
    <row r="541" spans="3:15" x14ac:dyDescent="0.2">
      <c r="C541">
        <v>522</v>
      </c>
      <c r="D541" s="7">
        <v>3728.7883779103881</v>
      </c>
      <c r="E541" s="7"/>
      <c r="F541" s="7">
        <f t="shared" si="19"/>
        <v>301.10897659655228</v>
      </c>
      <c r="G541" s="7"/>
      <c r="H541" s="7"/>
      <c r="I541" s="7"/>
      <c r="J541" s="7">
        <v>1914.211622089611</v>
      </c>
      <c r="K541" s="7"/>
      <c r="L541" s="7">
        <f t="shared" si="20"/>
        <v>123.98782353261892</v>
      </c>
      <c r="M541" s="7"/>
      <c r="N541" s="7"/>
      <c r="O541" s="7"/>
    </row>
    <row r="542" spans="3:15" x14ac:dyDescent="0.2">
      <c r="C542">
        <v>523</v>
      </c>
      <c r="D542" s="7">
        <v>3737.3894918253127</v>
      </c>
      <c r="E542" s="7"/>
      <c r="F542" s="7">
        <f t="shared" si="19"/>
        <v>301.80353803207271</v>
      </c>
      <c r="G542" s="7"/>
      <c r="H542" s="7"/>
      <c r="I542" s="7"/>
      <c r="J542" s="7">
        <v>2202.6105081746864</v>
      </c>
      <c r="K542" s="7"/>
      <c r="L542" s="7">
        <f t="shared" si="20"/>
        <v>142.66807277062415</v>
      </c>
      <c r="M542" s="7"/>
      <c r="N542" s="7"/>
      <c r="O542" s="7"/>
    </row>
    <row r="543" spans="3:15" x14ac:dyDescent="0.2">
      <c r="C543">
        <v>524</v>
      </c>
      <c r="D543" s="7">
        <v>3745.9533010467303</v>
      </c>
      <c r="E543" s="7"/>
      <c r="F543" s="7">
        <f t="shared" si="19"/>
        <v>302.49508702039964</v>
      </c>
      <c r="G543" s="7"/>
      <c r="H543" s="7"/>
      <c r="I543" s="7"/>
      <c r="J543" s="7">
        <v>1897.0466989532688</v>
      </c>
      <c r="K543" s="7"/>
      <c r="L543" s="7">
        <f t="shared" si="20"/>
        <v>122.87601257283772</v>
      </c>
      <c r="M543" s="7"/>
      <c r="N543" s="7"/>
      <c r="O543" s="7"/>
    </row>
    <row r="544" spans="3:15" x14ac:dyDescent="0.2">
      <c r="C544">
        <v>525</v>
      </c>
      <c r="D544" s="7">
        <v>3754.4801212865468</v>
      </c>
      <c r="E544" s="7"/>
      <c r="F544" s="7">
        <f t="shared" si="19"/>
        <v>303.18364905605819</v>
      </c>
      <c r="G544" s="7"/>
      <c r="H544" s="7"/>
      <c r="I544" s="7"/>
      <c r="J544" s="7">
        <v>2334.0198787134523</v>
      </c>
      <c r="K544" s="7"/>
      <c r="L544" s="7">
        <f t="shared" si="20"/>
        <v>151.17975541682338</v>
      </c>
      <c r="M544" s="7"/>
      <c r="N544" s="7"/>
      <c r="O544" s="7"/>
    </row>
    <row r="545" spans="3:15" x14ac:dyDescent="0.2">
      <c r="C545">
        <v>526</v>
      </c>
      <c r="D545" s="7">
        <v>3762.9696677432994</v>
      </c>
      <c r="E545" s="7"/>
      <c r="F545" s="7">
        <f t="shared" si="19"/>
        <v>303.86920114061877</v>
      </c>
      <c r="G545" s="7"/>
      <c r="H545" s="7"/>
      <c r="I545" s="7"/>
      <c r="J545" s="7">
        <v>1583.0303322567006</v>
      </c>
      <c r="K545" s="7"/>
      <c r="L545" s="7">
        <f t="shared" si="20"/>
        <v>102.53646107757176</v>
      </c>
      <c r="M545" s="7"/>
      <c r="N545" s="7"/>
      <c r="O545" s="7"/>
    </row>
    <row r="546" spans="3:15" x14ac:dyDescent="0.2">
      <c r="C546">
        <v>527</v>
      </c>
      <c r="D546" s="7">
        <v>3760.7365565148025</v>
      </c>
      <c r="E546" s="7"/>
      <c r="F546" s="7">
        <f t="shared" si="19"/>
        <v>303.68887183026624</v>
      </c>
      <c r="G546" s="7"/>
      <c r="H546" s="7"/>
      <c r="I546" s="7"/>
      <c r="J546" s="7">
        <v>842.76344348519569</v>
      </c>
      <c r="K546" s="7"/>
      <c r="L546" s="7">
        <f t="shared" si="20"/>
        <v>54.587697569466037</v>
      </c>
      <c r="M546" s="7"/>
      <c r="N546" s="7"/>
      <c r="O546" s="7"/>
    </row>
    <row r="547" spans="3:15" x14ac:dyDescent="0.2">
      <c r="C547">
        <v>528</v>
      </c>
      <c r="D547" s="7">
        <v>3752.5513464052224</v>
      </c>
      <c r="E547" s="7"/>
      <c r="F547" s="7">
        <f t="shared" si="19"/>
        <v>303.02789566601837</v>
      </c>
      <c r="G547" s="7"/>
      <c r="H547" s="7"/>
      <c r="I547" s="7"/>
      <c r="J547" s="7">
        <v>108.44865359477672</v>
      </c>
      <c r="K547" s="7"/>
      <c r="L547" s="7">
        <f t="shared" si="20"/>
        <v>7.0244649907521168</v>
      </c>
      <c r="M547" s="7"/>
      <c r="N547" s="7"/>
      <c r="O547" s="7"/>
    </row>
    <row r="548" spans="3:15" x14ac:dyDescent="0.2">
      <c r="C548">
        <v>529</v>
      </c>
      <c r="D548" s="7">
        <v>2524.5</v>
      </c>
      <c r="E548" s="7"/>
      <c r="F548" s="7">
        <f t="shared" si="19"/>
        <v>203.85968158482189</v>
      </c>
      <c r="G548" s="7"/>
      <c r="H548" s="7"/>
      <c r="I548" s="7"/>
      <c r="J548" s="7">
        <v>0</v>
      </c>
      <c r="K548" s="7"/>
      <c r="L548" s="7">
        <f t="shared" si="20"/>
        <v>0</v>
      </c>
      <c r="M548" s="7"/>
      <c r="N548" s="7"/>
      <c r="O548" s="7"/>
    </row>
    <row r="549" spans="3:15" x14ac:dyDescent="0.2">
      <c r="C549">
        <v>530</v>
      </c>
      <c r="D549" s="7">
        <v>2376</v>
      </c>
      <c r="E549" s="7"/>
      <c r="F549" s="7">
        <f t="shared" si="19"/>
        <v>191.86793560924414</v>
      </c>
      <c r="G549" s="7"/>
      <c r="H549" s="7"/>
      <c r="I549" s="7"/>
      <c r="J549" s="7">
        <v>0</v>
      </c>
      <c r="K549" s="7"/>
      <c r="L549" s="7">
        <f t="shared" si="20"/>
        <v>0</v>
      </c>
      <c r="M549" s="7"/>
      <c r="N549" s="7"/>
      <c r="O549" s="7"/>
    </row>
    <row r="550" spans="3:15" x14ac:dyDescent="0.2">
      <c r="C550">
        <v>531</v>
      </c>
      <c r="D550" s="7">
        <v>2554.1999999999998</v>
      </c>
      <c r="E550" s="7"/>
      <c r="F550" s="7">
        <f t="shared" si="19"/>
        <v>206.25803077993743</v>
      </c>
      <c r="G550" s="7"/>
      <c r="H550" s="7"/>
      <c r="I550" s="7"/>
      <c r="J550" s="7">
        <v>0</v>
      </c>
      <c r="K550" s="7"/>
      <c r="L550" s="7">
        <f t="shared" si="20"/>
        <v>0</v>
      </c>
      <c r="M550" s="7"/>
      <c r="N550" s="7"/>
      <c r="O550" s="7"/>
    </row>
    <row r="551" spans="3:15" x14ac:dyDescent="0.2">
      <c r="C551">
        <v>532</v>
      </c>
      <c r="D551" s="7">
        <v>2673</v>
      </c>
      <c r="E551" s="7"/>
      <c r="F551" s="7">
        <f t="shared" si="19"/>
        <v>215.85142756039966</v>
      </c>
      <c r="G551" s="7"/>
      <c r="H551" s="7"/>
      <c r="I551" s="7"/>
      <c r="J551" s="7">
        <v>0</v>
      </c>
      <c r="K551" s="7"/>
      <c r="L551" s="7">
        <f t="shared" si="20"/>
        <v>0</v>
      </c>
      <c r="M551" s="7"/>
      <c r="N551" s="7"/>
      <c r="O551" s="7"/>
    </row>
    <row r="552" spans="3:15" x14ac:dyDescent="0.2">
      <c r="C552">
        <v>533</v>
      </c>
      <c r="D552" s="7">
        <v>2948.7857142857142</v>
      </c>
      <c r="E552" s="7"/>
      <c r="F552" s="7">
        <f t="shared" si="19"/>
        <v>238.12181294361548</v>
      </c>
      <c r="G552" s="7"/>
      <c r="H552" s="7"/>
      <c r="I552" s="7"/>
      <c r="J552" s="7">
        <v>0</v>
      </c>
      <c r="K552" s="7"/>
      <c r="L552" s="7">
        <f t="shared" si="20"/>
        <v>0</v>
      </c>
      <c r="M552" s="7"/>
      <c r="N552" s="7"/>
      <c r="O552" s="7"/>
    </row>
    <row r="553" spans="3:15" x14ac:dyDescent="0.2">
      <c r="C553">
        <v>534</v>
      </c>
      <c r="D553" s="7">
        <v>3139.7142857142858</v>
      </c>
      <c r="E553" s="7"/>
      <c r="F553" s="7">
        <f t="shared" si="19"/>
        <v>253.5397720550726</v>
      </c>
      <c r="G553" s="7"/>
      <c r="H553" s="7"/>
      <c r="I553" s="7"/>
      <c r="J553" s="7">
        <v>0</v>
      </c>
      <c r="K553" s="7"/>
      <c r="L553" s="7">
        <f t="shared" si="20"/>
        <v>0</v>
      </c>
      <c r="M553" s="7"/>
      <c r="N553" s="7"/>
      <c r="O553" s="7"/>
    </row>
    <row r="554" spans="3:15" x14ac:dyDescent="0.2">
      <c r="C554">
        <v>535</v>
      </c>
      <c r="D554" s="7">
        <v>3330.6428571428564</v>
      </c>
      <c r="E554" s="7"/>
      <c r="F554" s="7">
        <f t="shared" si="19"/>
        <v>268.95773116652964</v>
      </c>
      <c r="G554" s="7"/>
      <c r="H554" s="7"/>
      <c r="I554" s="7"/>
      <c r="J554" s="7">
        <v>0</v>
      </c>
      <c r="K554" s="7"/>
      <c r="L554" s="7">
        <f t="shared" si="20"/>
        <v>0</v>
      </c>
      <c r="M554" s="7"/>
      <c r="N554" s="7"/>
      <c r="O554" s="7"/>
    </row>
    <row r="555" spans="3:15" x14ac:dyDescent="0.2">
      <c r="C555">
        <v>536</v>
      </c>
      <c r="D555" s="7">
        <v>3521.5714285714284</v>
      </c>
      <c r="E555" s="7"/>
      <c r="F555" s="7">
        <f t="shared" si="19"/>
        <v>284.37569027798685</v>
      </c>
      <c r="G555" s="7"/>
      <c r="H555" s="7"/>
      <c r="I555" s="7"/>
      <c r="J555" s="7">
        <v>0</v>
      </c>
      <c r="K555" s="7"/>
      <c r="L555" s="7">
        <f t="shared" si="20"/>
        <v>0</v>
      </c>
      <c r="M555" s="7"/>
      <c r="N555" s="7"/>
      <c r="O555" s="7"/>
    </row>
    <row r="556" spans="3:15" x14ac:dyDescent="0.2">
      <c r="C556">
        <v>537</v>
      </c>
      <c r="D556" s="7">
        <v>3712.4999999999995</v>
      </c>
      <c r="E556" s="7"/>
      <c r="F556" s="7">
        <f t="shared" si="19"/>
        <v>299.79364938944394</v>
      </c>
      <c r="G556" s="7"/>
      <c r="H556" s="7"/>
      <c r="I556" s="7"/>
      <c r="J556" s="7">
        <v>0</v>
      </c>
      <c r="K556" s="7"/>
      <c r="L556" s="7">
        <f t="shared" si="20"/>
        <v>0</v>
      </c>
      <c r="M556" s="7"/>
      <c r="N556" s="7"/>
      <c r="O556" s="7"/>
    </row>
    <row r="557" spans="3:15" x14ac:dyDescent="0.2">
      <c r="C557">
        <v>538</v>
      </c>
      <c r="D557" s="7">
        <v>3722.1510535892985</v>
      </c>
      <c r="E557" s="7"/>
      <c r="F557" s="7">
        <f t="shared" si="19"/>
        <v>300.57299607657899</v>
      </c>
      <c r="G557" s="7"/>
      <c r="H557" s="7"/>
      <c r="I557" s="7"/>
      <c r="J557" s="7">
        <v>181.27751783927306</v>
      </c>
      <c r="K557" s="7"/>
      <c r="L557" s="7">
        <f t="shared" si="20"/>
        <v>11.741755526356728</v>
      </c>
      <c r="M557" s="7"/>
      <c r="N557" s="7"/>
      <c r="O557" s="7"/>
    </row>
    <row r="558" spans="3:15" x14ac:dyDescent="0.2">
      <c r="C558">
        <v>539</v>
      </c>
      <c r="D558" s="7">
        <v>3715.9064680504121</v>
      </c>
      <c r="E558" s="7"/>
      <c r="F558" s="7">
        <f t="shared" si="19"/>
        <v>300.06873019438984</v>
      </c>
      <c r="G558" s="7"/>
      <c r="H558" s="7"/>
      <c r="I558" s="7"/>
      <c r="J558" s="7">
        <v>378.45067480673015</v>
      </c>
      <c r="K558" s="7"/>
      <c r="L558" s="7">
        <f t="shared" si="20"/>
        <v>24.51310761164147</v>
      </c>
      <c r="M558" s="7"/>
      <c r="N558" s="7"/>
      <c r="O558" s="7"/>
    </row>
    <row r="559" spans="3:15" x14ac:dyDescent="0.2">
      <c r="C559">
        <v>540</v>
      </c>
      <c r="D559" s="7">
        <v>3709.6931822164729</v>
      </c>
      <c r="E559" s="7"/>
      <c r="F559" s="7">
        <f t="shared" si="19"/>
        <v>299.56699184156656</v>
      </c>
      <c r="G559" s="7"/>
      <c r="H559" s="7"/>
      <c r="I559" s="7"/>
      <c r="J559" s="7">
        <v>575.59253206924086</v>
      </c>
      <c r="K559" s="7"/>
      <c r="L559" s="7">
        <f t="shared" si="20"/>
        <v>37.282432344125333</v>
      </c>
      <c r="M559" s="7"/>
      <c r="N559" s="7"/>
      <c r="O559" s="7"/>
    </row>
    <row r="560" spans="3:15" x14ac:dyDescent="0.2">
      <c r="C560">
        <v>541</v>
      </c>
      <c r="D560" s="7">
        <v>3703.5110918535379</v>
      </c>
      <c r="E560" s="7"/>
      <c r="F560" s="7">
        <f t="shared" si="19"/>
        <v>299.06777260095794</v>
      </c>
      <c r="G560" s="7"/>
      <c r="H560" s="7"/>
      <c r="I560" s="7"/>
      <c r="J560" s="7">
        <v>772.70319386074652</v>
      </c>
      <c r="K560" s="7"/>
      <c r="L560" s="7">
        <f t="shared" si="20"/>
        <v>50.049736475276845</v>
      </c>
      <c r="M560" s="7"/>
      <c r="N560" s="7"/>
      <c r="O560" s="7"/>
    </row>
    <row r="561" spans="3:15" x14ac:dyDescent="0.2">
      <c r="C561">
        <v>542</v>
      </c>
      <c r="D561" s="7">
        <v>3697.3600930083935</v>
      </c>
      <c r="E561" s="7"/>
      <c r="F561" s="7">
        <f t="shared" si="19"/>
        <v>298.5710640780822</v>
      </c>
      <c r="G561" s="7"/>
      <c r="H561" s="7"/>
      <c r="I561" s="7"/>
      <c r="J561" s="7">
        <v>969.78276413446338</v>
      </c>
      <c r="K561" s="7"/>
      <c r="L561" s="7">
        <f t="shared" si="20"/>
        <v>62.815026738381341</v>
      </c>
      <c r="M561" s="7"/>
      <c r="N561" s="7"/>
      <c r="O561" s="7"/>
    </row>
    <row r="562" spans="3:15" x14ac:dyDescent="0.2">
      <c r="C562">
        <v>543</v>
      </c>
      <c r="D562" s="7">
        <v>3691.2400820079201</v>
      </c>
      <c r="E562" s="7"/>
      <c r="F562" s="7">
        <f t="shared" si="19"/>
        <v>298.07685790107604</v>
      </c>
      <c r="G562" s="7"/>
      <c r="H562" s="7"/>
      <c r="I562" s="7"/>
      <c r="J562" s="7">
        <v>1166.8313465635083</v>
      </c>
      <c r="K562" s="7"/>
      <c r="L562" s="7">
        <f t="shared" si="20"/>
        <v>75.578309848581483</v>
      </c>
      <c r="M562" s="7"/>
      <c r="N562" s="7"/>
      <c r="O562" s="7"/>
    </row>
    <row r="563" spans="3:15" x14ac:dyDescent="0.2">
      <c r="C563">
        <v>544</v>
      </c>
      <c r="D563" s="7">
        <v>3691.1146690416804</v>
      </c>
      <c r="E563" s="7"/>
      <c r="F563" s="7">
        <f t="shared" si="19"/>
        <v>298.06673049075152</v>
      </c>
      <c r="G563" s="7"/>
      <c r="H563" s="7"/>
      <c r="I563" s="7"/>
      <c r="J563" s="7">
        <v>1357.8853309583196</v>
      </c>
      <c r="K563" s="7"/>
      <c r="L563" s="7">
        <f t="shared" si="20"/>
        <v>87.953309262955869</v>
      </c>
      <c r="M563" s="7"/>
      <c r="N563" s="7"/>
      <c r="O563" s="7"/>
    </row>
    <row r="564" spans="3:15" x14ac:dyDescent="0.2">
      <c r="C564">
        <v>545</v>
      </c>
      <c r="D564" s="7">
        <v>3699.0208521519835</v>
      </c>
      <c r="E564" s="7"/>
      <c r="F564" s="7">
        <f t="shared" si="19"/>
        <v>298.70517452775596</v>
      </c>
      <c r="G564" s="7"/>
      <c r="H564" s="7"/>
      <c r="I564" s="7"/>
      <c r="J564" s="7">
        <v>1201.4791478480156</v>
      </c>
      <c r="K564" s="7"/>
      <c r="L564" s="7">
        <f t="shared" si="20"/>
        <v>77.822526434607212</v>
      </c>
      <c r="M564" s="7"/>
      <c r="N564" s="7"/>
      <c r="O564" s="7"/>
    </row>
    <row r="565" spans="3:15" x14ac:dyDescent="0.2">
      <c r="C565">
        <v>546</v>
      </c>
      <c r="D565" s="7">
        <v>3706.8921006959072</v>
      </c>
      <c r="E565" s="7"/>
      <c r="F565" s="7">
        <f t="shared" si="19"/>
        <v>299.34079751125336</v>
      </c>
      <c r="G565" s="7"/>
      <c r="H565" s="7"/>
      <c r="I565" s="7"/>
      <c r="J565" s="7">
        <v>1490.6078993040928</v>
      </c>
      <c r="K565" s="7"/>
      <c r="L565" s="7">
        <f t="shared" si="20"/>
        <v>96.550050706249294</v>
      </c>
      <c r="M565" s="7"/>
      <c r="N565" s="7"/>
      <c r="O565" s="7"/>
    </row>
    <row r="566" spans="3:15" x14ac:dyDescent="0.2">
      <c r="C566">
        <v>547</v>
      </c>
      <c r="D566" s="7">
        <v>3714.7278219466625</v>
      </c>
      <c r="E566" s="7"/>
      <c r="F566" s="7">
        <f t="shared" si="19"/>
        <v>299.97355157707489</v>
      </c>
      <c r="G566" s="7"/>
      <c r="H566" s="7"/>
      <c r="I566" s="7"/>
      <c r="J566" s="7">
        <v>1779.7721780533375</v>
      </c>
      <c r="K566" s="7"/>
      <c r="L566" s="7">
        <f t="shared" si="20"/>
        <v>115.27987616115919</v>
      </c>
      <c r="M566" s="7"/>
      <c r="N566" s="7"/>
      <c r="O566" s="7"/>
    </row>
    <row r="567" spans="3:15" x14ac:dyDescent="0.2">
      <c r="C567">
        <v>548</v>
      </c>
      <c r="D567" s="7">
        <v>3722.5272778302829</v>
      </c>
      <c r="E567" s="7"/>
      <c r="F567" s="7">
        <f t="shared" si="19"/>
        <v>300.60337712390384</v>
      </c>
      <c r="G567" s="7"/>
      <c r="H567" s="7"/>
      <c r="I567" s="7"/>
      <c r="J567" s="7">
        <v>1920.4727221697162</v>
      </c>
      <c r="K567" s="7"/>
      <c r="L567" s="7">
        <f t="shared" si="20"/>
        <v>124.39336916973333</v>
      </c>
      <c r="M567" s="7"/>
      <c r="N567" s="7"/>
      <c r="O567" s="7"/>
    </row>
    <row r="568" spans="3:15" x14ac:dyDescent="0.2">
      <c r="C568">
        <v>549</v>
      </c>
      <c r="D568" s="7">
        <v>3730.289885003207</v>
      </c>
      <c r="E568" s="7"/>
      <c r="F568" s="7">
        <f t="shared" si="19"/>
        <v>301.23022704529041</v>
      </c>
      <c r="G568" s="7"/>
      <c r="H568" s="7"/>
      <c r="I568" s="7"/>
      <c r="J568" s="7">
        <v>2358.2101149967921</v>
      </c>
      <c r="K568" s="7"/>
      <c r="L568" s="7">
        <f t="shared" si="20"/>
        <v>152.74661182543559</v>
      </c>
      <c r="M568" s="7"/>
      <c r="N568" s="7"/>
      <c r="O568" s="7"/>
    </row>
    <row r="569" spans="3:15" x14ac:dyDescent="0.2">
      <c r="C569">
        <v>550</v>
      </c>
      <c r="D569" s="7">
        <v>3738.0151400666937</v>
      </c>
      <c r="E569" s="7"/>
      <c r="F569" s="7">
        <f t="shared" si="19"/>
        <v>301.85406069052863</v>
      </c>
      <c r="G569" s="7"/>
      <c r="H569" s="7"/>
      <c r="I569" s="7"/>
      <c r="J569" s="7">
        <v>1607.9848599333063</v>
      </c>
      <c r="K569" s="7"/>
      <c r="L569" s="7">
        <f t="shared" si="20"/>
        <v>104.15282237127724</v>
      </c>
      <c r="M569" s="7"/>
      <c r="N569" s="7"/>
      <c r="O569" s="7"/>
    </row>
    <row r="570" spans="3:15" x14ac:dyDescent="0.2">
      <c r="C570">
        <v>551</v>
      </c>
      <c r="D570" s="7">
        <v>3737.6663816062678</v>
      </c>
      <c r="E570" s="7"/>
      <c r="F570" s="7">
        <f t="shared" si="19"/>
        <v>301.82589757359762</v>
      </c>
      <c r="G570" s="7"/>
      <c r="H570" s="7"/>
      <c r="I570" s="7"/>
      <c r="J570" s="7">
        <v>865.83361839373038</v>
      </c>
      <c r="K570" s="7"/>
      <c r="L570" s="7">
        <f t="shared" si="20"/>
        <v>56.082005065260851</v>
      </c>
      <c r="M570" s="7"/>
      <c r="N570" s="7"/>
      <c r="O570" s="7"/>
    </row>
    <row r="571" spans="3:15" x14ac:dyDescent="0.2">
      <c r="C571">
        <v>552</v>
      </c>
      <c r="D571" s="7">
        <v>3731.3856672740326</v>
      </c>
      <c r="E571" s="7"/>
      <c r="F571" s="7">
        <f t="shared" si="19"/>
        <v>301.3187142010903</v>
      </c>
      <c r="G571" s="7"/>
      <c r="H571" s="7"/>
      <c r="I571" s="7"/>
      <c r="J571" s="7">
        <v>129.61433272596651</v>
      </c>
      <c r="K571" s="7"/>
      <c r="L571" s="7">
        <f t="shared" si="20"/>
        <v>8.3954139802902983</v>
      </c>
      <c r="M571" s="7"/>
      <c r="N571" s="7"/>
      <c r="O571" s="7"/>
    </row>
    <row r="572" spans="3:15" x14ac:dyDescent="0.2">
      <c r="C572">
        <v>553</v>
      </c>
      <c r="D572" s="7">
        <v>2524.5</v>
      </c>
      <c r="E572" s="7"/>
      <c r="F572" s="7">
        <f t="shared" si="19"/>
        <v>203.85968158482189</v>
      </c>
      <c r="G572" s="7"/>
      <c r="H572" s="7"/>
      <c r="I572" s="7"/>
      <c r="J572" s="7">
        <v>0</v>
      </c>
      <c r="K572" s="7"/>
      <c r="L572" s="7">
        <f t="shared" si="20"/>
        <v>0</v>
      </c>
      <c r="M572" s="7"/>
      <c r="N572" s="7"/>
      <c r="O572" s="7"/>
    </row>
    <row r="573" spans="3:15" x14ac:dyDescent="0.2">
      <c r="C573">
        <v>554</v>
      </c>
      <c r="D573" s="7">
        <v>2376</v>
      </c>
      <c r="E573" s="7"/>
      <c r="F573" s="7">
        <f t="shared" si="19"/>
        <v>191.86793560924414</v>
      </c>
      <c r="G573" s="7"/>
      <c r="H573" s="7"/>
      <c r="I573" s="7"/>
      <c r="J573" s="7">
        <v>0</v>
      </c>
      <c r="K573" s="7"/>
      <c r="L573" s="7">
        <f t="shared" si="20"/>
        <v>0</v>
      </c>
      <c r="M573" s="7"/>
      <c r="N573" s="7"/>
      <c r="O573" s="7"/>
    </row>
    <row r="574" spans="3:15" x14ac:dyDescent="0.2">
      <c r="C574">
        <v>555</v>
      </c>
      <c r="D574" s="7">
        <v>2524.5</v>
      </c>
      <c r="E574" s="7"/>
      <c r="F574" s="7">
        <f t="shared" si="19"/>
        <v>203.85968158482189</v>
      </c>
      <c r="G574" s="7"/>
      <c r="H574" s="7"/>
      <c r="I574" s="7"/>
      <c r="J574" s="7">
        <v>0</v>
      </c>
      <c r="K574" s="7"/>
      <c r="L574" s="7">
        <f t="shared" si="20"/>
        <v>0</v>
      </c>
      <c r="M574" s="7"/>
      <c r="N574" s="7"/>
      <c r="O574" s="7"/>
    </row>
    <row r="575" spans="3:15" x14ac:dyDescent="0.2">
      <c r="C575">
        <v>556</v>
      </c>
      <c r="D575" s="7">
        <v>2673</v>
      </c>
      <c r="E575" s="7"/>
      <c r="F575" s="7">
        <f t="shared" si="19"/>
        <v>215.85142756039966</v>
      </c>
      <c r="G575" s="7"/>
      <c r="H575" s="7"/>
      <c r="I575" s="7"/>
      <c r="J575" s="7">
        <v>0</v>
      </c>
      <c r="K575" s="7"/>
      <c r="L575" s="7">
        <f t="shared" si="20"/>
        <v>0</v>
      </c>
      <c r="M575" s="7"/>
      <c r="N575" s="7"/>
      <c r="O575" s="7"/>
    </row>
    <row r="576" spans="3:15" x14ac:dyDescent="0.2">
      <c r="C576">
        <v>557</v>
      </c>
      <c r="D576" s="7">
        <v>2992.8461538461534</v>
      </c>
      <c r="E576" s="7"/>
      <c r="F576" s="7">
        <f t="shared" si="19"/>
        <v>241.67980350779786</v>
      </c>
      <c r="G576" s="7"/>
      <c r="H576" s="7"/>
      <c r="I576" s="7"/>
      <c r="J576" s="7">
        <v>0</v>
      </c>
      <c r="K576" s="7"/>
      <c r="L576" s="7">
        <f t="shared" si="20"/>
        <v>0</v>
      </c>
      <c r="M576" s="7"/>
      <c r="N576" s="7"/>
      <c r="O576" s="7"/>
    </row>
    <row r="577" spans="3:15" x14ac:dyDescent="0.2">
      <c r="C577">
        <v>558</v>
      </c>
      <c r="D577" s="7">
        <v>3198.4615384615386</v>
      </c>
      <c r="E577" s="7"/>
      <c r="F577" s="7">
        <f t="shared" si="19"/>
        <v>258.28375947398251</v>
      </c>
      <c r="G577" s="7"/>
      <c r="H577" s="7"/>
      <c r="I577" s="7"/>
      <c r="J577" s="7">
        <v>0</v>
      </c>
      <c r="K577" s="7"/>
      <c r="L577" s="7">
        <f t="shared" si="20"/>
        <v>0</v>
      </c>
      <c r="M577" s="7"/>
      <c r="N577" s="7"/>
      <c r="O577" s="7"/>
    </row>
    <row r="578" spans="3:15" x14ac:dyDescent="0.2">
      <c r="C578">
        <v>559</v>
      </c>
      <c r="D578" s="7">
        <v>3404.0769230769229</v>
      </c>
      <c r="E578" s="7"/>
      <c r="F578" s="7">
        <f t="shared" si="19"/>
        <v>274.88771544016709</v>
      </c>
      <c r="G578" s="7"/>
      <c r="H578" s="7"/>
      <c r="I578" s="7"/>
      <c r="J578" s="7">
        <v>0</v>
      </c>
      <c r="K578" s="7"/>
      <c r="L578" s="7">
        <f t="shared" si="20"/>
        <v>0</v>
      </c>
      <c r="M578" s="7"/>
      <c r="N578" s="7"/>
      <c r="O578" s="7"/>
    </row>
    <row r="579" spans="3:15" x14ac:dyDescent="0.2">
      <c r="C579">
        <v>560</v>
      </c>
      <c r="D579" s="7">
        <v>3609.6923076923063</v>
      </c>
      <c r="E579" s="7"/>
      <c r="F579" s="7">
        <f t="shared" si="19"/>
        <v>291.49167140635154</v>
      </c>
      <c r="G579" s="7"/>
      <c r="H579" s="7"/>
      <c r="I579" s="7"/>
      <c r="J579" s="7">
        <v>0</v>
      </c>
      <c r="K579" s="7"/>
      <c r="L579" s="7">
        <f t="shared" si="20"/>
        <v>0</v>
      </c>
      <c r="M579" s="7"/>
      <c r="N579" s="7"/>
      <c r="O579" s="7"/>
    </row>
    <row r="580" spans="3:15" x14ac:dyDescent="0.2">
      <c r="C580">
        <v>561</v>
      </c>
      <c r="D580" s="7">
        <v>3715.8668198689693</v>
      </c>
      <c r="E580" s="7"/>
      <c r="F580" s="7">
        <f t="shared" si="19"/>
        <v>300.06552850469114</v>
      </c>
      <c r="G580" s="7"/>
      <c r="H580" s="7"/>
      <c r="I580" s="7"/>
      <c r="J580" s="7">
        <v>99.440872438722181</v>
      </c>
      <c r="K580" s="7"/>
      <c r="L580" s="7">
        <f t="shared" si="20"/>
        <v>6.4410105975653558</v>
      </c>
      <c r="M580" s="7"/>
      <c r="N580" s="7"/>
      <c r="O580" s="7"/>
    </row>
    <row r="581" spans="3:15" x14ac:dyDescent="0.2">
      <c r="C581">
        <v>562</v>
      </c>
      <c r="D581" s="7">
        <v>3709.7126457186819</v>
      </c>
      <c r="E581" s="7"/>
      <c r="F581" s="7">
        <f t="shared" si="19"/>
        <v>299.56856356799273</v>
      </c>
      <c r="G581" s="7"/>
      <c r="H581" s="7"/>
      <c r="I581" s="7"/>
      <c r="J581" s="7">
        <v>311.21043120439435</v>
      </c>
      <c r="K581" s="7"/>
      <c r="L581" s="7">
        <f t="shared" si="20"/>
        <v>20.157804696410064</v>
      </c>
      <c r="M581" s="7"/>
      <c r="N581" s="7"/>
      <c r="O581" s="7"/>
    </row>
    <row r="582" spans="3:15" x14ac:dyDescent="0.2">
      <c r="C582">
        <v>563</v>
      </c>
      <c r="D582" s="7">
        <v>3703.5893958971237</v>
      </c>
      <c r="E582" s="7"/>
      <c r="F582" s="7">
        <f t="shared" si="19"/>
        <v>299.0740958480929</v>
      </c>
      <c r="G582" s="7"/>
      <c r="H582" s="7"/>
      <c r="I582" s="7"/>
      <c r="J582" s="7">
        <v>522.94906564133726</v>
      </c>
      <c r="K582" s="7"/>
      <c r="L582" s="7">
        <f t="shared" si="20"/>
        <v>33.872595756421916</v>
      </c>
      <c r="M582" s="7"/>
      <c r="N582" s="7"/>
      <c r="O582" s="7"/>
    </row>
    <row r="583" spans="3:15" x14ac:dyDescent="0.2">
      <c r="C583">
        <v>564</v>
      </c>
      <c r="D583" s="7">
        <v>3697.4969673223313</v>
      </c>
      <c r="E583" s="7"/>
      <c r="F583" s="7">
        <f t="shared" si="19"/>
        <v>298.58211702086555</v>
      </c>
      <c r="G583" s="7"/>
      <c r="H583" s="7"/>
      <c r="I583" s="7"/>
      <c r="J583" s="7">
        <v>734.6568788315144</v>
      </c>
      <c r="K583" s="7"/>
      <c r="L583" s="7">
        <f t="shared" si="20"/>
        <v>47.585390454453226</v>
      </c>
      <c r="M583" s="7"/>
      <c r="N583" s="7"/>
      <c r="O583" s="7"/>
    </row>
    <row r="584" spans="3:15" x14ac:dyDescent="0.2">
      <c r="C584">
        <v>565</v>
      </c>
      <c r="D584" s="7">
        <v>3691.4352571901491</v>
      </c>
      <c r="E584" s="7"/>
      <c r="F584" s="7">
        <f t="shared" si="19"/>
        <v>298.09261878461831</v>
      </c>
      <c r="G584" s="7"/>
      <c r="H584" s="7"/>
      <c r="I584" s="7"/>
      <c r="J584" s="7">
        <v>946.33397357908052</v>
      </c>
      <c r="K584" s="7"/>
      <c r="L584" s="7">
        <f t="shared" si="20"/>
        <v>61.29619544936201</v>
      </c>
      <c r="M584" s="7"/>
      <c r="N584" s="7"/>
      <c r="O584" s="7"/>
    </row>
    <row r="585" spans="3:15" x14ac:dyDescent="0.2">
      <c r="C585">
        <v>566</v>
      </c>
      <c r="D585" s="7">
        <v>3685.4041629736148</v>
      </c>
      <c r="E585" s="7"/>
      <c r="F585" s="7">
        <f t="shared" si="19"/>
        <v>297.60559286004286</v>
      </c>
      <c r="G585" s="7"/>
      <c r="H585" s="7"/>
      <c r="I585" s="7"/>
      <c r="J585" s="7">
        <v>1157.9804524110004</v>
      </c>
      <c r="K585" s="7"/>
      <c r="L585" s="7">
        <f t="shared" si="20"/>
        <v>75.00501738205206</v>
      </c>
      <c r="M585" s="7"/>
      <c r="N585" s="7"/>
      <c r="O585" s="7"/>
    </row>
    <row r="586" spans="3:15" x14ac:dyDescent="0.2">
      <c r="C586">
        <v>567</v>
      </c>
      <c r="D586" s="7">
        <v>3679.4035824223215</v>
      </c>
      <c r="E586" s="7"/>
      <c r="F586" s="7">
        <f t="shared" si="19"/>
        <v>297.12103099016338</v>
      </c>
      <c r="G586" s="7"/>
      <c r="H586" s="7"/>
      <c r="I586" s="7"/>
      <c r="J586" s="7">
        <v>1369.5964175776785</v>
      </c>
      <c r="K586" s="7"/>
      <c r="L586" s="7">
        <f t="shared" si="20"/>
        <v>88.711862875513717</v>
      </c>
      <c r="M586" s="7"/>
      <c r="N586" s="7"/>
      <c r="O586" s="7"/>
    </row>
    <row r="587" spans="3:15" x14ac:dyDescent="0.2">
      <c r="C587">
        <v>568</v>
      </c>
      <c r="D587" s="7">
        <v>3679.3522291282816</v>
      </c>
      <c r="E587" s="7"/>
      <c r="F587" s="7">
        <f t="shared" si="19"/>
        <v>297.11688408338131</v>
      </c>
      <c r="G587" s="7"/>
      <c r="H587" s="7"/>
      <c r="I587" s="7"/>
      <c r="J587" s="7">
        <v>1221.1477708717175</v>
      </c>
      <c r="K587" s="7"/>
      <c r="L587" s="7">
        <f t="shared" si="20"/>
        <v>79.096507708386255</v>
      </c>
      <c r="M587" s="7"/>
      <c r="N587" s="7"/>
      <c r="O587" s="7"/>
    </row>
    <row r="588" spans="3:15" x14ac:dyDescent="0.2">
      <c r="C588">
        <v>569</v>
      </c>
      <c r="D588" s="7">
        <v>3687.3230162454711</v>
      </c>
      <c r="E588" s="7"/>
      <c r="F588" s="7">
        <f t="shared" si="19"/>
        <v>297.76054505533244</v>
      </c>
      <c r="G588" s="7"/>
      <c r="H588" s="7"/>
      <c r="I588" s="7"/>
      <c r="J588" s="7">
        <v>1480.4769837545291</v>
      </c>
      <c r="K588" s="7"/>
      <c r="L588" s="7">
        <f t="shared" si="20"/>
        <v>95.893848353861543</v>
      </c>
      <c r="M588" s="7"/>
      <c r="N588" s="7"/>
      <c r="O588" s="7"/>
    </row>
    <row r="589" spans="3:15" x14ac:dyDescent="0.2">
      <c r="C589">
        <v>570</v>
      </c>
      <c r="D589" s="7">
        <v>3695.2568584263399</v>
      </c>
      <c r="E589" s="7"/>
      <c r="F589" s="7">
        <f t="shared" si="19"/>
        <v>298.40122263138164</v>
      </c>
      <c r="G589" s="7"/>
      <c r="H589" s="7"/>
      <c r="I589" s="7"/>
      <c r="J589" s="7">
        <v>1739.8431415736604</v>
      </c>
      <c r="K589" s="7"/>
      <c r="L589" s="7">
        <f t="shared" si="20"/>
        <v>112.6935820065634</v>
      </c>
      <c r="M589" s="7"/>
      <c r="N589" s="7"/>
      <c r="O589" s="7"/>
    </row>
    <row r="590" spans="3:15" x14ac:dyDescent="0.2">
      <c r="C590">
        <v>571</v>
      </c>
      <c r="D590" s="7">
        <v>3703.1529251027678</v>
      </c>
      <c r="E590" s="7"/>
      <c r="F590" s="7">
        <f t="shared" si="19"/>
        <v>299.03884974107825</v>
      </c>
      <c r="G590" s="7"/>
      <c r="H590" s="7"/>
      <c r="I590" s="7"/>
      <c r="J590" s="7">
        <v>2236.8470748972313</v>
      </c>
      <c r="K590" s="7"/>
      <c r="L590" s="7">
        <f t="shared" si="20"/>
        <v>144.88565276239316</v>
      </c>
      <c r="M590" s="7"/>
      <c r="N590" s="7"/>
      <c r="O590" s="7"/>
    </row>
    <row r="591" spans="3:15" x14ac:dyDescent="0.2">
      <c r="C591">
        <v>572</v>
      </c>
      <c r="D591" s="7">
        <v>3711.0101670008194</v>
      </c>
      <c r="E591" s="7"/>
      <c r="F591" s="7">
        <f t="shared" si="19"/>
        <v>299.67334165293079</v>
      </c>
      <c r="G591" s="7"/>
      <c r="H591" s="7"/>
      <c r="I591" s="7"/>
      <c r="J591" s="7">
        <v>2228.9898329991797</v>
      </c>
      <c r="K591" s="7"/>
      <c r="L591" s="7">
        <f t="shared" si="20"/>
        <v>144.37672140356813</v>
      </c>
      <c r="M591" s="7"/>
      <c r="N591" s="7"/>
      <c r="O591" s="7"/>
    </row>
    <row r="592" spans="3:15" x14ac:dyDescent="0.2">
      <c r="C592">
        <v>573</v>
      </c>
      <c r="D592" s="7">
        <v>3718.8282914813876</v>
      </c>
      <c r="E592" s="7"/>
      <c r="F592" s="7">
        <f t="shared" si="19"/>
        <v>300.30467473560026</v>
      </c>
      <c r="G592" s="7"/>
      <c r="H592" s="7"/>
      <c r="I592" s="7"/>
      <c r="J592" s="7">
        <v>2518.1717085186124</v>
      </c>
      <c r="K592" s="7"/>
      <c r="L592" s="7">
        <f t="shared" si="20"/>
        <v>163.10768664114971</v>
      </c>
      <c r="M592" s="7"/>
      <c r="N592" s="7"/>
      <c r="O592" s="7"/>
    </row>
    <row r="593" spans="3:15" x14ac:dyDescent="0.2">
      <c r="C593">
        <v>574</v>
      </c>
      <c r="D593" s="7">
        <v>3726.7836391117303</v>
      </c>
      <c r="E593" s="7"/>
      <c r="F593" s="7">
        <f t="shared" si="19"/>
        <v>300.94708893041832</v>
      </c>
      <c r="G593" s="7"/>
      <c r="H593" s="7"/>
      <c r="I593" s="7"/>
      <c r="J593" s="7">
        <v>1738.0163608882699</v>
      </c>
      <c r="K593" s="7"/>
      <c r="L593" s="7">
        <f t="shared" si="20"/>
        <v>112.57525728288121</v>
      </c>
      <c r="M593" s="7"/>
      <c r="N593" s="7"/>
      <c r="O593" s="7"/>
    </row>
    <row r="594" spans="3:15" x14ac:dyDescent="0.2">
      <c r="C594">
        <v>575</v>
      </c>
      <c r="D594" s="7">
        <v>3727.3776955415774</v>
      </c>
      <c r="E594" s="7"/>
      <c r="F594" s="7">
        <f t="shared" si="19"/>
        <v>300.99506047117177</v>
      </c>
      <c r="G594" s="7"/>
      <c r="H594" s="7"/>
      <c r="I594" s="7"/>
      <c r="J594" s="7">
        <v>965.22230445842297</v>
      </c>
      <c r="K594" s="7"/>
      <c r="L594" s="7">
        <f t="shared" si="20"/>
        <v>62.519635433148714</v>
      </c>
      <c r="M594" s="7"/>
      <c r="N594" s="7"/>
      <c r="O594" s="7"/>
    </row>
    <row r="595" spans="3:15" x14ac:dyDescent="0.2">
      <c r="C595">
        <v>576</v>
      </c>
      <c r="D595" s="7">
        <v>3722.0937804326859</v>
      </c>
      <c r="E595" s="7"/>
      <c r="F595" s="7">
        <f t="shared" si="19"/>
        <v>300.56837112610549</v>
      </c>
      <c r="G595" s="7"/>
      <c r="H595" s="7"/>
      <c r="I595" s="7"/>
      <c r="J595" s="7">
        <v>198.30621956731375</v>
      </c>
      <c r="K595" s="7"/>
      <c r="L595" s="7">
        <f t="shared" si="20"/>
        <v>12.844743116903846</v>
      </c>
      <c r="M595" s="7"/>
      <c r="N595" s="7"/>
      <c r="O595" s="7"/>
    </row>
    <row r="596" spans="3:15" x14ac:dyDescent="0.2">
      <c r="C596">
        <v>577</v>
      </c>
      <c r="D596" s="7">
        <v>2524.5</v>
      </c>
      <c r="E596" s="7"/>
      <c r="F596" s="7">
        <f t="shared" si="19"/>
        <v>203.85968158482189</v>
      </c>
      <c r="G596" s="7"/>
      <c r="H596" s="7"/>
      <c r="I596" s="7"/>
      <c r="J596" s="7">
        <v>0</v>
      </c>
      <c r="K596" s="7"/>
      <c r="L596" s="7">
        <f t="shared" si="20"/>
        <v>0</v>
      </c>
      <c r="M596" s="7"/>
      <c r="N596" s="7"/>
      <c r="O596" s="7"/>
    </row>
    <row r="597" spans="3:15" x14ac:dyDescent="0.2">
      <c r="C597">
        <v>578</v>
      </c>
      <c r="D597" s="7">
        <v>2376</v>
      </c>
      <c r="E597" s="7"/>
      <c r="F597" s="7">
        <f t="shared" ref="F597:F660" si="21">D597*(1-($C$2/($D$8-$D$6)*LN($D$8/$D$6)))</f>
        <v>191.86793560924414</v>
      </c>
      <c r="G597" s="7"/>
      <c r="H597" s="7"/>
      <c r="I597" s="7"/>
      <c r="J597" s="7">
        <v>0</v>
      </c>
      <c r="K597" s="7"/>
      <c r="L597" s="7">
        <f t="shared" ref="L597:L660" si="22">J597*(1-$C$2/($D$10-$D$9)*LN($D$10/$D$9))</f>
        <v>0</v>
      </c>
      <c r="M597" s="7"/>
      <c r="N597" s="7"/>
      <c r="O597" s="7"/>
    </row>
    <row r="598" spans="3:15" x14ac:dyDescent="0.2">
      <c r="C598">
        <v>579</v>
      </c>
      <c r="D598" s="7">
        <v>2524.5</v>
      </c>
      <c r="E598" s="7"/>
      <c r="F598" s="7">
        <f t="shared" si="21"/>
        <v>203.85968158482189</v>
      </c>
      <c r="G598" s="7"/>
      <c r="H598" s="7"/>
      <c r="I598" s="7"/>
      <c r="J598" s="7">
        <v>0</v>
      </c>
      <c r="K598" s="7"/>
      <c r="L598" s="7">
        <f t="shared" si="22"/>
        <v>0</v>
      </c>
      <c r="M598" s="7"/>
      <c r="N598" s="7"/>
      <c r="O598" s="7"/>
    </row>
    <row r="599" spans="3:15" x14ac:dyDescent="0.2">
      <c r="C599">
        <v>580</v>
      </c>
      <c r="D599" s="7">
        <v>2673</v>
      </c>
      <c r="E599" s="7"/>
      <c r="F599" s="7">
        <f t="shared" si="21"/>
        <v>215.85142756039966</v>
      </c>
      <c r="G599" s="7"/>
      <c r="H599" s="7"/>
      <c r="I599" s="7"/>
      <c r="J599" s="7">
        <v>0</v>
      </c>
      <c r="K599" s="7"/>
      <c r="L599" s="7">
        <f t="shared" si="22"/>
        <v>0</v>
      </c>
      <c r="M599" s="7"/>
      <c r="N599" s="7"/>
      <c r="O599" s="7"/>
    </row>
    <row r="600" spans="3:15" x14ac:dyDescent="0.2">
      <c r="C600">
        <v>581</v>
      </c>
      <c r="D600" s="7">
        <v>2969.9999999999995</v>
      </c>
      <c r="E600" s="7"/>
      <c r="F600" s="7">
        <f t="shared" si="21"/>
        <v>239.83491951155514</v>
      </c>
      <c r="G600" s="7"/>
      <c r="H600" s="7"/>
      <c r="I600" s="7"/>
      <c r="J600" s="7">
        <v>0</v>
      </c>
      <c r="K600" s="7"/>
      <c r="L600" s="7">
        <f t="shared" si="22"/>
        <v>0</v>
      </c>
      <c r="M600" s="7"/>
      <c r="N600" s="7"/>
      <c r="O600" s="7"/>
    </row>
    <row r="601" spans="3:15" x14ac:dyDescent="0.2">
      <c r="C601">
        <v>582</v>
      </c>
      <c r="D601" s="7">
        <v>3167.9999999999995</v>
      </c>
      <c r="E601" s="7"/>
      <c r="F601" s="7">
        <f t="shared" si="21"/>
        <v>255.82391414565882</v>
      </c>
      <c r="G601" s="7"/>
      <c r="H601" s="7"/>
      <c r="I601" s="7"/>
      <c r="J601" s="7">
        <v>0</v>
      </c>
      <c r="K601" s="7"/>
      <c r="L601" s="7">
        <f t="shared" si="22"/>
        <v>0</v>
      </c>
      <c r="M601" s="7"/>
      <c r="N601" s="7"/>
      <c r="O601" s="7"/>
    </row>
    <row r="602" spans="3:15" x14ac:dyDescent="0.2">
      <c r="C602">
        <v>583</v>
      </c>
      <c r="D602" s="7">
        <v>3365.9999999999995</v>
      </c>
      <c r="E602" s="7"/>
      <c r="F602" s="7">
        <f t="shared" si="21"/>
        <v>271.81290877976249</v>
      </c>
      <c r="G602" s="7"/>
      <c r="H602" s="7"/>
      <c r="I602" s="7"/>
      <c r="J602" s="7">
        <v>0</v>
      </c>
      <c r="K602" s="7"/>
      <c r="L602" s="7">
        <f t="shared" si="22"/>
        <v>0</v>
      </c>
      <c r="M602" s="7"/>
      <c r="N602" s="7"/>
      <c r="O602" s="7"/>
    </row>
    <row r="603" spans="3:15" x14ac:dyDescent="0.2">
      <c r="C603">
        <v>584</v>
      </c>
      <c r="D603" s="7">
        <v>3563.9999999999995</v>
      </c>
      <c r="E603" s="7"/>
      <c r="F603" s="7">
        <f t="shared" si="21"/>
        <v>287.80190341386617</v>
      </c>
      <c r="G603" s="7"/>
      <c r="H603" s="7"/>
      <c r="I603" s="7"/>
      <c r="J603" s="7">
        <v>0</v>
      </c>
      <c r="K603" s="7"/>
      <c r="L603" s="7">
        <f t="shared" si="22"/>
        <v>0</v>
      </c>
      <c r="M603" s="7"/>
      <c r="N603" s="7"/>
      <c r="O603" s="7"/>
    </row>
    <row r="604" spans="3:15" x14ac:dyDescent="0.2">
      <c r="C604">
        <v>585</v>
      </c>
      <c r="D604" s="7">
        <v>3723.4546374692163</v>
      </c>
      <c r="E604" s="7"/>
      <c r="F604" s="7">
        <f t="shared" si="21"/>
        <v>300.67826373143311</v>
      </c>
      <c r="G604" s="7"/>
      <c r="H604" s="7"/>
      <c r="I604" s="7"/>
      <c r="J604" s="7">
        <v>38.545362530782768</v>
      </c>
      <c r="K604" s="7"/>
      <c r="L604" s="7">
        <f t="shared" si="22"/>
        <v>2.4966704581233525</v>
      </c>
      <c r="M604" s="7"/>
      <c r="N604" s="7"/>
      <c r="O604" s="7"/>
    </row>
    <row r="605" spans="3:15" x14ac:dyDescent="0.2">
      <c r="C605">
        <v>586</v>
      </c>
      <c r="D605" s="7">
        <v>3732.1285339831052</v>
      </c>
      <c r="E605" s="7"/>
      <c r="F605" s="7">
        <f t="shared" si="21"/>
        <v>301.37870254364191</v>
      </c>
      <c r="G605" s="7"/>
      <c r="H605" s="7"/>
      <c r="I605" s="7"/>
      <c r="J605" s="7">
        <v>227.87146601689437</v>
      </c>
      <c r="K605" s="7"/>
      <c r="L605" s="7">
        <f t="shared" si="22"/>
        <v>14.759751111415639</v>
      </c>
      <c r="M605" s="7"/>
      <c r="N605" s="7"/>
      <c r="O605" s="7"/>
    </row>
    <row r="606" spans="3:15" x14ac:dyDescent="0.2">
      <c r="C606">
        <v>587</v>
      </c>
      <c r="D606" s="7">
        <v>3740.7674349361641</v>
      </c>
      <c r="E606" s="7"/>
      <c r="F606" s="7">
        <f t="shared" si="21"/>
        <v>302.07631537688945</v>
      </c>
      <c r="G606" s="7"/>
      <c r="H606" s="7"/>
      <c r="I606" s="7"/>
      <c r="J606" s="7">
        <v>417.23256506383586</v>
      </c>
      <c r="K606" s="7"/>
      <c r="L606" s="7">
        <f t="shared" si="22"/>
        <v>27.025098506467575</v>
      </c>
      <c r="M606" s="7"/>
      <c r="N606" s="7"/>
      <c r="O606" s="7"/>
    </row>
    <row r="607" spans="3:15" x14ac:dyDescent="0.2">
      <c r="C607">
        <v>588</v>
      </c>
      <c r="D607" s="7">
        <v>3749.3708279886614</v>
      </c>
      <c r="E607" s="7"/>
      <c r="F607" s="7">
        <f t="shared" si="21"/>
        <v>302.77106085846248</v>
      </c>
      <c r="G607" s="7"/>
      <c r="H607" s="7"/>
      <c r="I607" s="7"/>
      <c r="J607" s="7">
        <v>606.6291720113386</v>
      </c>
      <c r="K607" s="7"/>
      <c r="L607" s="7">
        <f t="shared" si="22"/>
        <v>39.292745828684303</v>
      </c>
      <c r="M607" s="7"/>
      <c r="N607" s="7"/>
      <c r="O607" s="7"/>
    </row>
    <row r="608" spans="3:15" x14ac:dyDescent="0.2">
      <c r="C608">
        <v>589</v>
      </c>
      <c r="D608" s="7">
        <v>3757.9382042710654</v>
      </c>
      <c r="E608" s="7"/>
      <c r="F608" s="7">
        <f t="shared" si="21"/>
        <v>303.46289789587513</v>
      </c>
      <c r="G608" s="7"/>
      <c r="H608" s="7"/>
      <c r="I608" s="7"/>
      <c r="J608" s="7">
        <v>796.0617957289337</v>
      </c>
      <c r="K608" s="7"/>
      <c r="L608" s="7">
        <f t="shared" si="22"/>
        <v>51.56272603869823</v>
      </c>
      <c r="M608" s="7"/>
      <c r="N608" s="7"/>
      <c r="O608" s="7"/>
    </row>
    <row r="609" spans="3:15" x14ac:dyDescent="0.2">
      <c r="C609">
        <v>590</v>
      </c>
      <c r="D609" s="7">
        <v>3765.4106472945191</v>
      </c>
      <c r="E609" s="7"/>
      <c r="F609" s="7">
        <f t="shared" si="21"/>
        <v>304.0663163373178</v>
      </c>
      <c r="G609" s="7"/>
      <c r="H609" s="7"/>
      <c r="I609" s="7"/>
      <c r="J609" s="7">
        <v>986.58935270548091</v>
      </c>
      <c r="K609" s="7"/>
      <c r="L609" s="7">
        <f t="shared" si="22"/>
        <v>63.903627556536392</v>
      </c>
      <c r="M609" s="7"/>
      <c r="N609" s="7"/>
      <c r="O609" s="7"/>
    </row>
    <row r="610" spans="3:15" x14ac:dyDescent="0.2">
      <c r="C610">
        <v>591</v>
      </c>
      <c r="D610" s="7">
        <v>3771.2621289605509</v>
      </c>
      <c r="E610" s="7"/>
      <c r="F610" s="7">
        <f t="shared" si="21"/>
        <v>304.5388380997407</v>
      </c>
      <c r="G610" s="7"/>
      <c r="H610" s="7"/>
      <c r="I610" s="7"/>
      <c r="J610" s="7">
        <v>832.23787103944915</v>
      </c>
      <c r="K610" s="7"/>
      <c r="L610" s="7">
        <f t="shared" si="22"/>
        <v>53.905932395791879</v>
      </c>
      <c r="M610" s="7"/>
      <c r="N610" s="7"/>
      <c r="O610" s="7"/>
    </row>
    <row r="611" spans="3:15" x14ac:dyDescent="0.2">
      <c r="C611">
        <v>592</v>
      </c>
      <c r="D611" s="7">
        <v>3777.0818814896475</v>
      </c>
      <c r="E611" s="7"/>
      <c r="F611" s="7">
        <f t="shared" si="21"/>
        <v>305.00879765509188</v>
      </c>
      <c r="G611" s="7"/>
      <c r="H611" s="7"/>
      <c r="I611" s="7"/>
      <c r="J611" s="7">
        <v>1172.9181185103525</v>
      </c>
      <c r="K611" s="7"/>
      <c r="L611" s="7">
        <f t="shared" si="22"/>
        <v>75.972563857552956</v>
      </c>
      <c r="M611" s="7"/>
      <c r="N611" s="7"/>
      <c r="O611" s="7"/>
    </row>
    <row r="612" spans="3:15" x14ac:dyDescent="0.2">
      <c r="C612">
        <v>593</v>
      </c>
      <c r="D612" s="7">
        <v>3782.8691908999313</v>
      </c>
      <c r="E612" s="7"/>
      <c r="F612" s="7">
        <f t="shared" si="21"/>
        <v>305.47613734755112</v>
      </c>
      <c r="G612" s="7"/>
      <c r="H612" s="7"/>
      <c r="I612" s="7"/>
      <c r="J612" s="7">
        <v>1513.6308091000687</v>
      </c>
      <c r="K612" s="7"/>
      <c r="L612" s="7">
        <f t="shared" si="22"/>
        <v>98.041296733621508</v>
      </c>
      <c r="M612" s="7"/>
      <c r="N612" s="7"/>
      <c r="O612" s="7"/>
    </row>
    <row r="613" spans="3:15" x14ac:dyDescent="0.2">
      <c r="C613">
        <v>594</v>
      </c>
      <c r="D613" s="7">
        <v>3788.623098683172</v>
      </c>
      <c r="E613" s="7"/>
      <c r="F613" s="7">
        <f t="shared" si="21"/>
        <v>305.94077977518424</v>
      </c>
      <c r="G613" s="7"/>
      <c r="H613" s="7"/>
      <c r="I613" s="7"/>
      <c r="J613" s="7">
        <v>1854.3769013168271</v>
      </c>
      <c r="K613" s="7"/>
      <c r="L613" s="7">
        <f t="shared" si="22"/>
        <v>120.11219310874714</v>
      </c>
      <c r="M613" s="7"/>
      <c r="N613" s="7"/>
      <c r="O613" s="7"/>
    </row>
    <row r="614" spans="3:15" x14ac:dyDescent="0.2">
      <c r="C614">
        <v>595</v>
      </c>
      <c r="D614" s="7">
        <v>3794.3430344201151</v>
      </c>
      <c r="E614" s="7"/>
      <c r="F614" s="7">
        <f t="shared" si="21"/>
        <v>306.40267887521156</v>
      </c>
      <c r="G614" s="7"/>
      <c r="H614" s="7"/>
      <c r="I614" s="7"/>
      <c r="J614" s="7">
        <v>1440.2819655798849</v>
      </c>
      <c r="K614" s="7"/>
      <c r="L614" s="7">
        <f t="shared" si="22"/>
        <v>93.290325962284044</v>
      </c>
      <c r="M614" s="7"/>
      <c r="N614" s="7"/>
      <c r="O614" s="7"/>
    </row>
    <row r="615" spans="3:15" x14ac:dyDescent="0.2">
      <c r="C615">
        <v>596</v>
      </c>
      <c r="D615" s="7">
        <v>3800.0299558668603</v>
      </c>
      <c r="E615" s="7"/>
      <c r="F615" s="7">
        <f t="shared" si="21"/>
        <v>306.86191198883063</v>
      </c>
      <c r="G615" s="7"/>
      <c r="H615" s="7"/>
      <c r="I615" s="7"/>
      <c r="J615" s="7">
        <v>1026.2200441331397</v>
      </c>
      <c r="K615" s="7"/>
      <c r="L615" s="7">
        <f t="shared" si="22"/>
        <v>66.470597226193007</v>
      </c>
      <c r="M615" s="7"/>
      <c r="N615" s="7"/>
      <c r="O615" s="7"/>
    </row>
    <row r="616" spans="3:15" x14ac:dyDescent="0.2">
      <c r="C616">
        <v>597</v>
      </c>
      <c r="D616" s="7">
        <v>3805.6851960269505</v>
      </c>
      <c r="E616" s="7"/>
      <c r="F616" s="7">
        <f t="shared" si="21"/>
        <v>307.31858675940765</v>
      </c>
      <c r="G616" s="7"/>
      <c r="H616" s="7"/>
      <c r="I616" s="7"/>
      <c r="J616" s="7">
        <v>612.18980397304949</v>
      </c>
      <c r="K616" s="7"/>
      <c r="L616" s="7">
        <f t="shared" si="22"/>
        <v>39.652920558814628</v>
      </c>
      <c r="M616" s="7"/>
      <c r="N616" s="7"/>
      <c r="O616" s="7"/>
    </row>
    <row r="617" spans="3:15" x14ac:dyDescent="0.2">
      <c r="C617">
        <v>598</v>
      </c>
      <c r="D617" s="7">
        <v>3811.3100803347306</v>
      </c>
      <c r="E617" s="7"/>
      <c r="F617" s="7">
        <f t="shared" si="21"/>
        <v>307.77281021907709</v>
      </c>
      <c r="G617" s="7"/>
      <c r="H617" s="7"/>
      <c r="I617" s="7"/>
      <c r="J617" s="7">
        <v>198.18991966526937</v>
      </c>
      <c r="K617" s="7"/>
      <c r="L617" s="7">
        <f t="shared" si="22"/>
        <v>12.837210108763504</v>
      </c>
      <c r="M617" s="7"/>
      <c r="N617" s="7"/>
      <c r="O617" s="7"/>
    </row>
    <row r="618" spans="3:15" x14ac:dyDescent="0.2">
      <c r="C618">
        <v>599</v>
      </c>
      <c r="D618" s="7">
        <v>3601.1250000000005</v>
      </c>
      <c r="E618" s="7"/>
      <c r="F618" s="7">
        <f t="shared" si="21"/>
        <v>290.79983990776066</v>
      </c>
      <c r="G618" s="7"/>
      <c r="H618" s="7"/>
      <c r="I618" s="7"/>
      <c r="J618" s="7">
        <v>0</v>
      </c>
      <c r="K618" s="7"/>
      <c r="L618" s="7">
        <f t="shared" si="22"/>
        <v>0</v>
      </c>
      <c r="M618" s="7"/>
      <c r="N618" s="7"/>
      <c r="O618" s="7"/>
    </row>
    <row r="619" spans="3:15" x14ac:dyDescent="0.2">
      <c r="C619">
        <v>600</v>
      </c>
      <c r="D619" s="7">
        <v>2969.9999999999995</v>
      </c>
      <c r="E619" s="7"/>
      <c r="F619" s="7">
        <f t="shared" si="21"/>
        <v>239.83491951155514</v>
      </c>
      <c r="G619" s="7"/>
      <c r="H619" s="7"/>
      <c r="I619" s="7"/>
      <c r="J619" s="7">
        <v>0</v>
      </c>
      <c r="K619" s="7"/>
      <c r="L619" s="7">
        <f t="shared" si="22"/>
        <v>0</v>
      </c>
      <c r="M619" s="7"/>
      <c r="N619" s="7"/>
      <c r="O619" s="7"/>
    </row>
    <row r="620" spans="3:15" x14ac:dyDescent="0.2">
      <c r="C620">
        <v>601</v>
      </c>
      <c r="D620" s="7">
        <v>2524.5</v>
      </c>
      <c r="E620" s="7"/>
      <c r="F620" s="7">
        <f t="shared" si="21"/>
        <v>203.85968158482189</v>
      </c>
      <c r="G620" s="7"/>
      <c r="H620" s="7"/>
      <c r="I620" s="7"/>
      <c r="J620" s="7">
        <v>0</v>
      </c>
      <c r="K620" s="7"/>
      <c r="L620" s="7">
        <f t="shared" si="22"/>
        <v>0</v>
      </c>
      <c r="M620" s="7"/>
      <c r="N620" s="7"/>
      <c r="O620" s="7"/>
    </row>
    <row r="621" spans="3:15" x14ac:dyDescent="0.2">
      <c r="C621">
        <v>602</v>
      </c>
      <c r="D621" s="7">
        <v>2376</v>
      </c>
      <c r="E621" s="7"/>
      <c r="F621" s="7">
        <f t="shared" si="21"/>
        <v>191.86793560924414</v>
      </c>
      <c r="G621" s="7"/>
      <c r="H621" s="7"/>
      <c r="I621" s="7"/>
      <c r="J621" s="7">
        <v>0</v>
      </c>
      <c r="K621" s="7"/>
      <c r="L621" s="7">
        <f t="shared" si="22"/>
        <v>0</v>
      </c>
      <c r="M621" s="7"/>
      <c r="N621" s="7"/>
      <c r="O621" s="7"/>
    </row>
    <row r="622" spans="3:15" x14ac:dyDescent="0.2">
      <c r="C622">
        <v>603</v>
      </c>
      <c r="D622" s="7">
        <v>2524.5</v>
      </c>
      <c r="E622" s="7"/>
      <c r="F622" s="7">
        <f t="shared" si="21"/>
        <v>203.85968158482189</v>
      </c>
      <c r="G622" s="7"/>
      <c r="H622" s="7"/>
      <c r="I622" s="7"/>
      <c r="J622" s="7">
        <v>0</v>
      </c>
      <c r="K622" s="7"/>
      <c r="L622" s="7">
        <f t="shared" si="22"/>
        <v>0</v>
      </c>
      <c r="M622" s="7"/>
      <c r="N622" s="7"/>
      <c r="O622" s="7"/>
    </row>
    <row r="623" spans="3:15" x14ac:dyDescent="0.2">
      <c r="C623">
        <v>604</v>
      </c>
      <c r="D623" s="7">
        <v>2673</v>
      </c>
      <c r="E623" s="7"/>
      <c r="F623" s="7">
        <f t="shared" si="21"/>
        <v>215.85142756039966</v>
      </c>
      <c r="G623" s="7"/>
      <c r="H623" s="7"/>
      <c r="I623" s="7"/>
      <c r="J623" s="7">
        <v>0</v>
      </c>
      <c r="K623" s="7"/>
      <c r="L623" s="7">
        <f t="shared" si="22"/>
        <v>0</v>
      </c>
      <c r="M623" s="7"/>
      <c r="N623" s="7"/>
      <c r="O623" s="7"/>
    </row>
    <row r="624" spans="3:15" x14ac:dyDescent="0.2">
      <c r="C624">
        <v>605</v>
      </c>
      <c r="D624" s="7">
        <v>2943</v>
      </c>
      <c r="E624" s="7"/>
      <c r="F624" s="7">
        <f t="shared" si="21"/>
        <v>237.65460206145011</v>
      </c>
      <c r="G624" s="7"/>
      <c r="H624" s="7"/>
      <c r="I624" s="7"/>
      <c r="J624" s="7">
        <v>0</v>
      </c>
      <c r="K624" s="7"/>
      <c r="L624" s="7">
        <f t="shared" si="22"/>
        <v>0</v>
      </c>
      <c r="M624" s="7"/>
      <c r="N624" s="7"/>
      <c r="O624" s="7"/>
    </row>
    <row r="625" spans="3:15" x14ac:dyDescent="0.2">
      <c r="C625">
        <v>606</v>
      </c>
      <c r="D625" s="7">
        <v>3131.9999999999995</v>
      </c>
      <c r="E625" s="7"/>
      <c r="F625" s="7">
        <f t="shared" si="21"/>
        <v>252.91682421218542</v>
      </c>
      <c r="G625" s="7"/>
      <c r="H625" s="7"/>
      <c r="I625" s="7"/>
      <c r="J625" s="7">
        <v>0</v>
      </c>
      <c r="K625" s="7"/>
      <c r="L625" s="7">
        <f t="shared" si="22"/>
        <v>0</v>
      </c>
      <c r="M625" s="7"/>
      <c r="N625" s="7"/>
      <c r="O625" s="7"/>
    </row>
    <row r="626" spans="3:15" x14ac:dyDescent="0.2">
      <c r="C626">
        <v>607</v>
      </c>
      <c r="D626" s="7">
        <v>3321</v>
      </c>
      <c r="E626" s="7"/>
      <c r="F626" s="7">
        <f t="shared" si="21"/>
        <v>268.17904636292076</v>
      </c>
      <c r="G626" s="7"/>
      <c r="H626" s="7"/>
      <c r="I626" s="7"/>
      <c r="J626" s="7">
        <v>0</v>
      </c>
      <c r="K626" s="7"/>
      <c r="L626" s="7">
        <f t="shared" si="22"/>
        <v>0</v>
      </c>
      <c r="M626" s="7"/>
      <c r="N626" s="7"/>
      <c r="O626" s="7"/>
    </row>
    <row r="627" spans="3:15" x14ac:dyDescent="0.2">
      <c r="C627">
        <v>608</v>
      </c>
      <c r="D627" s="7">
        <v>3510</v>
      </c>
      <c r="E627" s="7"/>
      <c r="F627" s="7">
        <f t="shared" si="21"/>
        <v>283.4412685136561</v>
      </c>
      <c r="G627" s="7"/>
      <c r="H627" s="7"/>
      <c r="I627" s="7"/>
      <c r="J627" s="7">
        <v>0</v>
      </c>
      <c r="K627" s="7"/>
      <c r="L627" s="7">
        <f t="shared" si="22"/>
        <v>0</v>
      </c>
      <c r="M627" s="7"/>
      <c r="N627" s="7"/>
      <c r="O627" s="7"/>
    </row>
    <row r="628" spans="3:15" x14ac:dyDescent="0.2">
      <c r="C628">
        <v>609</v>
      </c>
      <c r="D628" s="7">
        <v>3699</v>
      </c>
      <c r="E628" s="7"/>
      <c r="F628" s="7">
        <f t="shared" si="21"/>
        <v>298.70349066439144</v>
      </c>
      <c r="G628" s="7"/>
      <c r="H628" s="7"/>
      <c r="I628" s="7"/>
      <c r="J628" s="7">
        <v>0</v>
      </c>
      <c r="K628" s="7"/>
      <c r="L628" s="7">
        <f t="shared" si="22"/>
        <v>0</v>
      </c>
      <c r="M628" s="7"/>
      <c r="N628" s="7"/>
      <c r="O628" s="7"/>
    </row>
    <row r="629" spans="3:15" x14ac:dyDescent="0.2">
      <c r="C629">
        <v>610</v>
      </c>
      <c r="D629" s="7">
        <v>3785.1332444073864</v>
      </c>
      <c r="E629" s="7"/>
      <c r="F629" s="7">
        <f t="shared" si="21"/>
        <v>305.65896532422801</v>
      </c>
      <c r="G629" s="7"/>
      <c r="H629" s="7"/>
      <c r="I629" s="7"/>
      <c r="J629" s="7">
        <v>102.86675559261312</v>
      </c>
      <c r="K629" s="7"/>
      <c r="L629" s="7">
        <f t="shared" si="22"/>
        <v>6.6629128110020872</v>
      </c>
      <c r="M629" s="7"/>
      <c r="N629" s="7"/>
      <c r="O629" s="7"/>
    </row>
    <row r="630" spans="3:15" x14ac:dyDescent="0.2">
      <c r="C630">
        <v>611</v>
      </c>
      <c r="D630" s="7">
        <v>3790.8012085771802</v>
      </c>
      <c r="E630" s="7"/>
      <c r="F630" s="7">
        <f t="shared" si="21"/>
        <v>306.11666759037513</v>
      </c>
      <c r="G630" s="7"/>
      <c r="H630" s="7"/>
      <c r="I630" s="7"/>
      <c r="J630" s="7">
        <v>286.19879142281934</v>
      </c>
      <c r="K630" s="7"/>
      <c r="L630" s="7">
        <f t="shared" si="22"/>
        <v>18.537744122274557</v>
      </c>
      <c r="M630" s="7"/>
      <c r="N630" s="7"/>
      <c r="O630" s="7"/>
    </row>
    <row r="631" spans="3:15" x14ac:dyDescent="0.2">
      <c r="C631">
        <v>612</v>
      </c>
      <c r="D631" s="7">
        <v>3796.4410680828169</v>
      </c>
      <c r="E631" s="7"/>
      <c r="F631" s="7">
        <f t="shared" si="21"/>
        <v>306.57210033468181</v>
      </c>
      <c r="G631" s="7"/>
      <c r="H631" s="7"/>
      <c r="I631" s="7"/>
      <c r="J631" s="7">
        <v>469.55893191718314</v>
      </c>
      <c r="K631" s="7"/>
      <c r="L631" s="7">
        <f t="shared" si="22"/>
        <v>30.414395836317443</v>
      </c>
      <c r="M631" s="7"/>
      <c r="N631" s="7"/>
      <c r="O631" s="7"/>
    </row>
    <row r="632" spans="3:15" x14ac:dyDescent="0.2">
      <c r="C632">
        <v>613</v>
      </c>
      <c r="D632" s="7">
        <v>3802.0524588735684</v>
      </c>
      <c r="E632" s="7"/>
      <c r="F632" s="7">
        <f t="shared" si="21"/>
        <v>307.02523415914231</v>
      </c>
      <c r="G632" s="7"/>
      <c r="H632" s="7"/>
      <c r="I632" s="7"/>
      <c r="J632" s="7">
        <v>652.94754112643159</v>
      </c>
      <c r="K632" s="7"/>
      <c r="L632" s="7">
        <f t="shared" si="22"/>
        <v>42.292891533521114</v>
      </c>
      <c r="M632" s="7"/>
      <c r="N632" s="7"/>
      <c r="O632" s="7"/>
    </row>
    <row r="633" spans="3:15" x14ac:dyDescent="0.2">
      <c r="C633">
        <v>614</v>
      </c>
      <c r="D633" s="7">
        <v>3807.6351577804858</v>
      </c>
      <c r="E633" s="7"/>
      <c r="F633" s="7">
        <f t="shared" si="21"/>
        <v>307.47605104230655</v>
      </c>
      <c r="G633" s="7"/>
      <c r="H633" s="7"/>
      <c r="I633" s="7"/>
      <c r="J633" s="7">
        <v>562.50769936237111</v>
      </c>
      <c r="K633" s="7"/>
      <c r="L633" s="7">
        <f t="shared" si="22"/>
        <v>36.43489808516906</v>
      </c>
      <c r="M633" s="7"/>
      <c r="N633" s="7"/>
      <c r="O633" s="7"/>
    </row>
    <row r="634" spans="3:15" x14ac:dyDescent="0.2">
      <c r="C634">
        <v>615</v>
      </c>
      <c r="D634" s="7">
        <v>3813.1894961284629</v>
      </c>
      <c r="E634" s="7"/>
      <c r="F634" s="7">
        <f t="shared" si="21"/>
        <v>307.92457773948735</v>
      </c>
      <c r="G634" s="7"/>
      <c r="H634" s="7"/>
      <c r="I634" s="7"/>
      <c r="J634" s="7">
        <v>472.09621815725177</v>
      </c>
      <c r="K634" s="7"/>
      <c r="L634" s="7">
        <f t="shared" si="22"/>
        <v>30.578741614472293</v>
      </c>
      <c r="M634" s="7"/>
      <c r="N634" s="7"/>
      <c r="O634" s="7"/>
    </row>
    <row r="635" spans="3:15" x14ac:dyDescent="0.2">
      <c r="C635">
        <v>616</v>
      </c>
      <c r="D635" s="7">
        <v>3818.7159414776238</v>
      </c>
      <c r="E635" s="7"/>
      <c r="F635" s="7">
        <f t="shared" si="21"/>
        <v>308.37085200733281</v>
      </c>
      <c r="G635" s="7"/>
      <c r="H635" s="7"/>
      <c r="I635" s="7"/>
      <c r="J635" s="7">
        <v>381.71262995094776</v>
      </c>
      <c r="K635" s="7"/>
      <c r="L635" s="7">
        <f t="shared" si="22"/>
        <v>24.724391836502182</v>
      </c>
      <c r="M635" s="7"/>
      <c r="N635" s="7"/>
      <c r="O635" s="7"/>
    </row>
    <row r="636" spans="3:15" x14ac:dyDescent="0.2">
      <c r="C636">
        <v>617</v>
      </c>
      <c r="D636" s="7">
        <v>3824.2149587493072</v>
      </c>
      <c r="E636" s="7"/>
      <c r="F636" s="7">
        <f t="shared" si="21"/>
        <v>308.81491138940248</v>
      </c>
      <c r="G636" s="7"/>
      <c r="H636" s="7"/>
      <c r="I636" s="7"/>
      <c r="J636" s="7">
        <v>291.3564698221212</v>
      </c>
      <c r="K636" s="7"/>
      <c r="L636" s="7">
        <f t="shared" si="22"/>
        <v>18.871818637250364</v>
      </c>
      <c r="M636" s="7"/>
      <c r="N636" s="7"/>
      <c r="O636" s="7"/>
    </row>
    <row r="637" spans="3:15" x14ac:dyDescent="0.2">
      <c r="C637">
        <v>618</v>
      </c>
      <c r="D637" s="7">
        <v>3829.6870102035855</v>
      </c>
      <c r="E637" s="7"/>
      <c r="F637" s="7">
        <f t="shared" si="21"/>
        <v>309.25679321435194</v>
      </c>
      <c r="G637" s="7"/>
      <c r="H637" s="7"/>
      <c r="I637" s="7"/>
      <c r="J637" s="7">
        <v>201.02727551070029</v>
      </c>
      <c r="K637" s="7"/>
      <c r="L637" s="7">
        <f t="shared" si="22"/>
        <v>13.02099207508471</v>
      </c>
      <c r="M637" s="7"/>
      <c r="N637" s="7"/>
      <c r="O637" s="7"/>
    </row>
    <row r="638" spans="3:15" x14ac:dyDescent="0.2">
      <c r="C638">
        <v>619</v>
      </c>
      <c r="D638" s="7">
        <v>3835.1325554169925</v>
      </c>
      <c r="E638" s="7"/>
      <c r="F638" s="7">
        <f t="shared" si="21"/>
        <v>309.69653459413445</v>
      </c>
      <c r="G638" s="7"/>
      <c r="H638" s="7"/>
      <c r="I638" s="7"/>
      <c r="J638" s="7">
        <v>110.72458744015103</v>
      </c>
      <c r="K638" s="7"/>
      <c r="L638" s="7">
        <f t="shared" si="22"/>
        <v>7.1718823821919093</v>
      </c>
      <c r="M638" s="7"/>
      <c r="N638" s="7"/>
      <c r="O638" s="7"/>
    </row>
    <row r="639" spans="3:15" x14ac:dyDescent="0.2">
      <c r="C639">
        <v>620</v>
      </c>
      <c r="D639" s="7">
        <v>3840.5520512604958</v>
      </c>
      <c r="E639" s="7"/>
      <c r="F639" s="7">
        <f t="shared" si="21"/>
        <v>310.13417242222192</v>
      </c>
      <c r="G639" s="7"/>
      <c r="H639" s="7"/>
      <c r="I639" s="7"/>
      <c r="J639" s="7">
        <v>20.447948739504227</v>
      </c>
      <c r="K639" s="7"/>
      <c r="L639" s="7">
        <f t="shared" si="22"/>
        <v>1.3244599660042191</v>
      </c>
      <c r="M639" s="7"/>
      <c r="N639" s="7"/>
      <c r="O639" s="7"/>
    </row>
    <row r="640" spans="3:15" x14ac:dyDescent="0.2">
      <c r="C640">
        <v>621</v>
      </c>
      <c r="D640" s="7">
        <v>3845.9457588581263</v>
      </c>
      <c r="E640" s="7"/>
      <c r="F640" s="7">
        <f t="shared" si="21"/>
        <v>310.56972778503223</v>
      </c>
      <c r="G640" s="7"/>
      <c r="H640" s="7"/>
      <c r="I640" s="7"/>
      <c r="J640" s="7">
        <v>312.05424114187372</v>
      </c>
      <c r="K640" s="7"/>
      <c r="L640" s="7">
        <f t="shared" si="22"/>
        <v>20.212460177766431</v>
      </c>
      <c r="M640" s="7"/>
      <c r="N640" s="7"/>
      <c r="O640" s="7"/>
    </row>
    <row r="641" spans="3:15" x14ac:dyDescent="0.2">
      <c r="C641">
        <v>622</v>
      </c>
      <c r="D641" s="7">
        <v>3712.4999999999995</v>
      </c>
      <c r="E641" s="7"/>
      <c r="F641" s="7">
        <f t="shared" si="21"/>
        <v>299.79364938944394</v>
      </c>
      <c r="G641" s="7"/>
      <c r="H641" s="7"/>
      <c r="I641" s="7"/>
      <c r="J641" s="7">
        <v>0</v>
      </c>
      <c r="K641" s="7"/>
      <c r="L641" s="7">
        <f t="shared" si="22"/>
        <v>0</v>
      </c>
      <c r="M641" s="7"/>
      <c r="N641" s="7"/>
      <c r="O641" s="7"/>
    </row>
    <row r="642" spans="3:15" x14ac:dyDescent="0.2">
      <c r="C642">
        <v>623</v>
      </c>
      <c r="D642" s="7">
        <v>3267</v>
      </c>
      <c r="E642" s="7"/>
      <c r="F642" s="7">
        <f t="shared" si="21"/>
        <v>263.81841146271069</v>
      </c>
      <c r="G642" s="7"/>
      <c r="H642" s="7"/>
      <c r="I642" s="7"/>
      <c r="J642" s="7">
        <v>0</v>
      </c>
      <c r="K642" s="7"/>
      <c r="L642" s="7">
        <f t="shared" si="22"/>
        <v>0</v>
      </c>
      <c r="M642" s="7"/>
      <c r="N642" s="7"/>
      <c r="O642" s="7"/>
    </row>
    <row r="643" spans="3:15" x14ac:dyDescent="0.2">
      <c r="C643">
        <v>624</v>
      </c>
      <c r="D643" s="7">
        <v>2821.4999999999995</v>
      </c>
      <c r="E643" s="7"/>
      <c r="F643" s="7">
        <f t="shared" si="21"/>
        <v>227.84317353597737</v>
      </c>
      <c r="G643" s="7"/>
      <c r="H643" s="7"/>
      <c r="I643" s="7"/>
      <c r="J643" s="7">
        <v>0</v>
      </c>
      <c r="K643" s="7"/>
      <c r="L643" s="7">
        <f t="shared" si="22"/>
        <v>0</v>
      </c>
      <c r="M643" s="7"/>
      <c r="N643" s="7"/>
      <c r="O643" s="7"/>
    </row>
    <row r="644" spans="3:15" x14ac:dyDescent="0.2">
      <c r="C644">
        <v>625</v>
      </c>
      <c r="D644" s="7">
        <v>2376</v>
      </c>
      <c r="E644" s="7"/>
      <c r="F644" s="7">
        <f t="shared" si="21"/>
        <v>191.86793560924414</v>
      </c>
      <c r="G644" s="7"/>
      <c r="H644" s="7"/>
      <c r="I644" s="7"/>
      <c r="J644" s="7">
        <v>0</v>
      </c>
      <c r="K644" s="7"/>
      <c r="L644" s="7">
        <f t="shared" si="22"/>
        <v>0</v>
      </c>
      <c r="M644" s="7"/>
      <c r="N644" s="7"/>
      <c r="O644" s="7"/>
    </row>
    <row r="645" spans="3:15" x14ac:dyDescent="0.2">
      <c r="C645">
        <v>626</v>
      </c>
      <c r="D645" s="7">
        <v>2376</v>
      </c>
      <c r="E645" s="7"/>
      <c r="F645" s="7">
        <f t="shared" si="21"/>
        <v>191.86793560924414</v>
      </c>
      <c r="G645" s="7"/>
      <c r="H645" s="7"/>
      <c r="I645" s="7"/>
      <c r="J645" s="7">
        <v>0</v>
      </c>
      <c r="K645" s="7"/>
      <c r="L645" s="7">
        <f t="shared" si="22"/>
        <v>0</v>
      </c>
      <c r="M645" s="7"/>
      <c r="N645" s="7"/>
      <c r="O645" s="7"/>
    </row>
    <row r="646" spans="3:15" x14ac:dyDescent="0.2">
      <c r="C646">
        <v>627</v>
      </c>
      <c r="D646" s="7">
        <v>2545.7142857142858</v>
      </c>
      <c r="E646" s="7"/>
      <c r="F646" s="7">
        <f t="shared" si="21"/>
        <v>205.57278815276158</v>
      </c>
      <c r="G646" s="7"/>
      <c r="H646" s="7"/>
      <c r="I646" s="7"/>
      <c r="J646" s="7">
        <v>0</v>
      </c>
      <c r="K646" s="7"/>
      <c r="L646" s="7">
        <f t="shared" si="22"/>
        <v>0</v>
      </c>
      <c r="M646" s="7"/>
      <c r="N646" s="7"/>
      <c r="O646" s="7"/>
    </row>
    <row r="647" spans="3:15" x14ac:dyDescent="0.2">
      <c r="C647">
        <v>628</v>
      </c>
      <c r="D647" s="7">
        <v>2715.4285714285716</v>
      </c>
      <c r="E647" s="7"/>
      <c r="F647" s="7">
        <f t="shared" si="21"/>
        <v>219.27764069627901</v>
      </c>
      <c r="G647" s="7"/>
      <c r="H647" s="7"/>
      <c r="I647" s="7"/>
      <c r="J647" s="7">
        <v>0</v>
      </c>
      <c r="K647" s="7"/>
      <c r="L647" s="7">
        <f t="shared" si="22"/>
        <v>0</v>
      </c>
      <c r="M647" s="7"/>
      <c r="N647" s="7"/>
      <c r="O647" s="7"/>
    </row>
    <row r="648" spans="3:15" x14ac:dyDescent="0.2">
      <c r="C648">
        <v>629</v>
      </c>
      <c r="D648" s="7">
        <v>2885.1428571428573</v>
      </c>
      <c r="E648" s="7"/>
      <c r="F648" s="7">
        <f t="shared" si="21"/>
        <v>232.98249323979647</v>
      </c>
      <c r="G648" s="7"/>
      <c r="H648" s="7"/>
      <c r="I648" s="7"/>
      <c r="J648" s="7">
        <v>0</v>
      </c>
      <c r="K648" s="7"/>
      <c r="L648" s="7">
        <f t="shared" si="22"/>
        <v>0</v>
      </c>
      <c r="M648" s="7"/>
      <c r="N648" s="7"/>
      <c r="O648" s="7"/>
    </row>
    <row r="649" spans="3:15" x14ac:dyDescent="0.2">
      <c r="C649">
        <v>630</v>
      </c>
      <c r="D649" s="7">
        <v>3054.8571428571431</v>
      </c>
      <c r="E649" s="7"/>
      <c r="F649" s="7">
        <f t="shared" si="21"/>
        <v>246.6873457833139</v>
      </c>
      <c r="G649" s="7"/>
      <c r="H649" s="7"/>
      <c r="I649" s="7"/>
      <c r="J649" s="7">
        <v>0</v>
      </c>
      <c r="K649" s="7"/>
      <c r="L649" s="7">
        <f t="shared" si="22"/>
        <v>0</v>
      </c>
      <c r="M649" s="7"/>
      <c r="N649" s="7"/>
      <c r="O649" s="7"/>
    </row>
    <row r="650" spans="3:15" x14ac:dyDescent="0.2">
      <c r="C650">
        <v>631</v>
      </c>
      <c r="D650" s="7">
        <v>3224.5714285714284</v>
      </c>
      <c r="E650" s="7"/>
      <c r="F650" s="7">
        <f t="shared" si="21"/>
        <v>260.39219832683131</v>
      </c>
      <c r="G650" s="7"/>
      <c r="H650" s="7"/>
      <c r="I650" s="7"/>
      <c r="J650" s="7">
        <v>0</v>
      </c>
      <c r="K650" s="7"/>
      <c r="L650" s="7">
        <f t="shared" si="22"/>
        <v>0</v>
      </c>
      <c r="M650" s="7"/>
      <c r="N650" s="7"/>
      <c r="O650" s="7"/>
    </row>
    <row r="651" spans="3:15" x14ac:dyDescent="0.2">
      <c r="C651">
        <v>632</v>
      </c>
      <c r="D651" s="7">
        <v>3394.2857142857147</v>
      </c>
      <c r="E651" s="7"/>
      <c r="F651" s="7">
        <f t="shared" si="21"/>
        <v>274.09705087034877</v>
      </c>
      <c r="G651" s="7"/>
      <c r="H651" s="7"/>
      <c r="I651" s="7"/>
      <c r="J651" s="7">
        <v>0</v>
      </c>
      <c r="K651" s="7"/>
      <c r="L651" s="7">
        <f t="shared" si="22"/>
        <v>0</v>
      </c>
      <c r="M651" s="7"/>
      <c r="N651" s="7"/>
      <c r="O651" s="7"/>
    </row>
    <row r="652" spans="3:15" x14ac:dyDescent="0.2">
      <c r="C652">
        <v>633</v>
      </c>
      <c r="D652" s="7">
        <v>3564</v>
      </c>
      <c r="E652" s="7"/>
      <c r="F652" s="7">
        <f t="shared" si="21"/>
        <v>287.80190341386617</v>
      </c>
      <c r="G652" s="7"/>
      <c r="H652" s="7"/>
      <c r="I652" s="7"/>
      <c r="J652" s="7">
        <v>0</v>
      </c>
      <c r="K652" s="7"/>
      <c r="L652" s="7">
        <f t="shared" si="22"/>
        <v>0</v>
      </c>
      <c r="M652" s="7"/>
      <c r="N652" s="7"/>
      <c r="O652" s="7"/>
    </row>
    <row r="653" spans="3:15" x14ac:dyDescent="0.2">
      <c r="C653">
        <v>634</v>
      </c>
      <c r="D653" s="7">
        <v>3733.7142857142858</v>
      </c>
      <c r="E653" s="7"/>
      <c r="F653" s="7">
        <f t="shared" si="21"/>
        <v>301.50675595738363</v>
      </c>
      <c r="G653" s="7"/>
      <c r="H653" s="7"/>
      <c r="I653" s="7"/>
      <c r="J653" s="7">
        <v>0</v>
      </c>
      <c r="K653" s="7"/>
      <c r="L653" s="7">
        <f t="shared" si="22"/>
        <v>0</v>
      </c>
      <c r="M653" s="7"/>
      <c r="N653" s="7"/>
      <c r="O653" s="7"/>
    </row>
    <row r="654" spans="3:15" x14ac:dyDescent="0.2">
      <c r="C654">
        <v>635</v>
      </c>
      <c r="D654" s="7">
        <v>3795.3094435483558</v>
      </c>
      <c r="E654" s="7"/>
      <c r="F654" s="7">
        <f t="shared" si="21"/>
        <v>306.48071882655393</v>
      </c>
      <c r="G654" s="7"/>
      <c r="H654" s="7"/>
      <c r="I654" s="7"/>
      <c r="J654" s="7">
        <v>108.11912788021618</v>
      </c>
      <c r="K654" s="7"/>
      <c r="L654" s="7">
        <f t="shared" si="22"/>
        <v>7.0031208636582738</v>
      </c>
      <c r="M654" s="7"/>
      <c r="N654" s="7"/>
      <c r="O654" s="7"/>
    </row>
    <row r="655" spans="3:15" x14ac:dyDescent="0.2">
      <c r="C655">
        <v>636</v>
      </c>
      <c r="D655" s="7">
        <v>3786.1391070190198</v>
      </c>
      <c r="E655" s="7"/>
      <c r="F655" s="7">
        <f t="shared" si="21"/>
        <v>305.74019124291516</v>
      </c>
      <c r="G655" s="7"/>
      <c r="H655" s="7"/>
      <c r="I655" s="7"/>
      <c r="J655" s="7">
        <v>287.00375012383802</v>
      </c>
      <c r="K655" s="7"/>
      <c r="L655" s="7">
        <f t="shared" si="22"/>
        <v>18.589883121025384</v>
      </c>
      <c r="M655" s="7"/>
      <c r="N655" s="7"/>
      <c r="O655" s="7"/>
    </row>
    <row r="656" spans="3:15" x14ac:dyDescent="0.2">
      <c r="C656">
        <v>637</v>
      </c>
      <c r="D656" s="7">
        <v>3777.005907155798</v>
      </c>
      <c r="E656" s="7"/>
      <c r="F656" s="7">
        <f t="shared" si="21"/>
        <v>305.00266253783815</v>
      </c>
      <c r="G656" s="7"/>
      <c r="H656" s="7"/>
      <c r="I656" s="7"/>
      <c r="J656" s="7">
        <v>380.99409284420199</v>
      </c>
      <c r="K656" s="7"/>
      <c r="L656" s="7">
        <f t="shared" si="22"/>
        <v>24.677850560206107</v>
      </c>
      <c r="M656" s="7"/>
      <c r="N656" s="7"/>
      <c r="O656" s="7"/>
    </row>
    <row r="657" spans="3:15" x14ac:dyDescent="0.2">
      <c r="C657">
        <v>638</v>
      </c>
      <c r="D657" s="7">
        <v>3767.9097314183687</v>
      </c>
      <c r="E657" s="7"/>
      <c r="F657" s="7">
        <f t="shared" si="21"/>
        <v>304.26812362341076</v>
      </c>
      <c r="G657" s="7"/>
      <c r="H657" s="7"/>
      <c r="I657" s="7"/>
      <c r="J657" s="7">
        <v>390.09026858163134</v>
      </c>
      <c r="K657" s="7"/>
      <c r="L657" s="7">
        <f t="shared" si="22"/>
        <v>25.267030470692138</v>
      </c>
      <c r="M657" s="7"/>
      <c r="N657" s="7"/>
      <c r="O657" s="7"/>
    </row>
    <row r="658" spans="3:15" x14ac:dyDescent="0.2">
      <c r="C658">
        <v>639</v>
      </c>
      <c r="D658" s="7">
        <v>3758.850467548375</v>
      </c>
      <c r="E658" s="7"/>
      <c r="F658" s="7">
        <f t="shared" si="21"/>
        <v>303.53656543449023</v>
      </c>
      <c r="G658" s="7"/>
      <c r="H658" s="7"/>
      <c r="I658" s="7"/>
      <c r="J658" s="7">
        <v>823.43524673733964</v>
      </c>
      <c r="K658" s="7"/>
      <c r="L658" s="7">
        <f t="shared" si="22"/>
        <v>53.335766476831218</v>
      </c>
      <c r="M658" s="7"/>
      <c r="N658" s="7"/>
      <c r="O658" s="7"/>
    </row>
    <row r="659" spans="3:15" x14ac:dyDescent="0.2">
      <c r="C659">
        <v>640</v>
      </c>
      <c r="D659" s="7">
        <v>3755.6737594219244</v>
      </c>
      <c r="E659" s="7"/>
      <c r="F659" s="7">
        <f t="shared" si="21"/>
        <v>303.28003831737948</v>
      </c>
      <c r="G659" s="7"/>
      <c r="H659" s="7"/>
      <c r="I659" s="7"/>
      <c r="J659" s="7">
        <v>996.32624057807561</v>
      </c>
      <c r="K659" s="7"/>
      <c r="L659" s="7">
        <f t="shared" si="22"/>
        <v>64.534307843591748</v>
      </c>
      <c r="M659" s="7"/>
      <c r="N659" s="7"/>
      <c r="O659" s="7"/>
    </row>
    <row r="660" spans="3:15" x14ac:dyDescent="0.2">
      <c r="C660">
        <v>641</v>
      </c>
      <c r="D660" s="7">
        <v>3760.5162661102113</v>
      </c>
      <c r="E660" s="7"/>
      <c r="F660" s="7">
        <f t="shared" si="21"/>
        <v>303.67108282977659</v>
      </c>
      <c r="G660" s="7"/>
      <c r="H660" s="7"/>
      <c r="I660" s="7"/>
      <c r="J660" s="7">
        <v>753.88373388978835</v>
      </c>
      <c r="K660" s="7"/>
      <c r="L660" s="7">
        <f t="shared" si="22"/>
        <v>48.830757416257683</v>
      </c>
      <c r="M660" s="7"/>
      <c r="N660" s="7"/>
      <c r="O660" s="7"/>
    </row>
    <row r="661" spans="3:15" x14ac:dyDescent="0.2">
      <c r="C661">
        <v>642</v>
      </c>
      <c r="D661" s="7">
        <v>3765.3337649112482</v>
      </c>
      <c r="E661" s="7"/>
      <c r="F661" s="7">
        <f t="shared" ref="F661:F691" si="23">D661*(1-($C$2/($D$8-$D$6)*LN($D$8/$D$6)))</f>
        <v>304.06010789280475</v>
      </c>
      <c r="G661" s="7"/>
      <c r="H661" s="7"/>
      <c r="I661" s="7"/>
      <c r="J661" s="7">
        <v>511.466235088752</v>
      </c>
      <c r="K661" s="7"/>
      <c r="L661" s="7">
        <f t="shared" ref="L661:L691" si="24">J661*(1-$C$2/($D$10-$D$9)*LN($D$10/$D$9))</f>
        <v>33.128826806437843</v>
      </c>
      <c r="M661" s="7"/>
      <c r="N661" s="7"/>
      <c r="O661" s="7"/>
    </row>
    <row r="662" spans="3:15" x14ac:dyDescent="0.2">
      <c r="C662">
        <v>643</v>
      </c>
      <c r="D662" s="7">
        <v>3770.1271082886001</v>
      </c>
      <c r="E662" s="7"/>
      <c r="F662" s="7">
        <f t="shared" si="23"/>
        <v>304.44718234502648</v>
      </c>
      <c r="G662" s="7"/>
      <c r="H662" s="7"/>
      <c r="I662" s="7"/>
      <c r="J662" s="7">
        <v>387.87289171139992</v>
      </c>
      <c r="K662" s="7"/>
      <c r="L662" s="7">
        <f t="shared" si="24"/>
        <v>25.123405947196954</v>
      </c>
      <c r="M662" s="7"/>
      <c r="N662" s="7"/>
      <c r="O662" s="7"/>
    </row>
    <row r="663" spans="3:15" x14ac:dyDescent="0.2">
      <c r="C663">
        <v>644</v>
      </c>
      <c r="D663" s="7">
        <v>3774.8970237368681</v>
      </c>
      <c r="E663" s="7"/>
      <c r="F663" s="7">
        <f t="shared" si="23"/>
        <v>304.8323649334481</v>
      </c>
      <c r="G663" s="7"/>
      <c r="H663" s="7"/>
      <c r="I663" s="7"/>
      <c r="J663" s="7">
        <v>26.70297626313095</v>
      </c>
      <c r="K663" s="7"/>
      <c r="L663" s="7">
        <f t="shared" si="24"/>
        <v>1.7296122698777552</v>
      </c>
      <c r="M663" s="7"/>
      <c r="N663" s="7"/>
      <c r="O663" s="7"/>
    </row>
    <row r="664" spans="3:15" x14ac:dyDescent="0.2">
      <c r="C664">
        <v>645</v>
      </c>
      <c r="D664" s="7">
        <v>3563.9999999999991</v>
      </c>
      <c r="E664" s="7"/>
      <c r="F664" s="7">
        <f t="shared" si="23"/>
        <v>287.80190341386611</v>
      </c>
      <c r="G664" s="7"/>
      <c r="H664" s="7"/>
      <c r="I664" s="7"/>
      <c r="J664" s="7">
        <v>0</v>
      </c>
      <c r="K664" s="7"/>
      <c r="L664" s="7">
        <f t="shared" si="24"/>
        <v>0</v>
      </c>
      <c r="M664" s="7"/>
      <c r="N664" s="7"/>
      <c r="O664" s="7"/>
    </row>
    <row r="665" spans="3:15" x14ac:dyDescent="0.2">
      <c r="C665">
        <v>646</v>
      </c>
      <c r="D665" s="7">
        <v>3326.3999999999996</v>
      </c>
      <c r="E665" s="7"/>
      <c r="F665" s="7">
        <f t="shared" si="23"/>
        <v>268.61510985294177</v>
      </c>
      <c r="G665" s="7"/>
      <c r="H665" s="7"/>
      <c r="I665" s="7"/>
      <c r="J665" s="7">
        <v>0</v>
      </c>
      <c r="K665" s="7"/>
      <c r="L665" s="7">
        <f t="shared" si="24"/>
        <v>0</v>
      </c>
      <c r="M665" s="7"/>
      <c r="N665" s="7"/>
      <c r="O665" s="7"/>
    </row>
    <row r="666" spans="3:15" x14ac:dyDescent="0.2">
      <c r="C666">
        <v>647</v>
      </c>
      <c r="D666" s="7">
        <v>2673</v>
      </c>
      <c r="E666" s="7"/>
      <c r="F666" s="7">
        <f t="shared" si="23"/>
        <v>215.85142756039966</v>
      </c>
      <c r="G666" s="7"/>
      <c r="H666" s="7"/>
      <c r="I666" s="7"/>
      <c r="J666" s="7">
        <v>0</v>
      </c>
      <c r="K666" s="7"/>
      <c r="L666" s="7">
        <f t="shared" si="24"/>
        <v>0</v>
      </c>
      <c r="M666" s="7"/>
      <c r="N666" s="7"/>
      <c r="O666" s="7"/>
    </row>
    <row r="667" spans="3:15" x14ac:dyDescent="0.2">
      <c r="C667">
        <v>648</v>
      </c>
      <c r="D667" s="7">
        <v>2524.5</v>
      </c>
      <c r="E667" s="7"/>
      <c r="F667" s="7">
        <f t="shared" si="23"/>
        <v>203.85968158482189</v>
      </c>
      <c r="G667" s="7"/>
      <c r="H667" s="7"/>
      <c r="I667" s="7"/>
      <c r="J667" s="7">
        <v>0</v>
      </c>
      <c r="K667" s="7"/>
      <c r="L667" s="7">
        <f t="shared" si="24"/>
        <v>0</v>
      </c>
      <c r="M667" s="7"/>
      <c r="N667" s="7"/>
      <c r="O667" s="7"/>
    </row>
    <row r="668" spans="3:15" x14ac:dyDescent="0.2">
      <c r="C668">
        <v>649</v>
      </c>
      <c r="D668" s="7">
        <v>2376</v>
      </c>
      <c r="E668" s="7"/>
      <c r="F668" s="7">
        <f t="shared" si="23"/>
        <v>191.86793560924414</v>
      </c>
      <c r="G668" s="7"/>
      <c r="H668" s="7"/>
      <c r="I668" s="7"/>
      <c r="J668" s="7">
        <v>0</v>
      </c>
      <c r="K668" s="7"/>
      <c r="L668" s="7">
        <f t="shared" si="24"/>
        <v>0</v>
      </c>
      <c r="M668" s="7"/>
      <c r="N668" s="7"/>
      <c r="O668" s="7"/>
    </row>
    <row r="669" spans="3:15" x14ac:dyDescent="0.2">
      <c r="C669">
        <v>650</v>
      </c>
      <c r="D669" s="7">
        <v>2376</v>
      </c>
      <c r="E669" s="7"/>
      <c r="F669" s="7">
        <f t="shared" si="23"/>
        <v>191.86793560924414</v>
      </c>
      <c r="G669" s="7"/>
      <c r="H669" s="7"/>
      <c r="I669" s="7"/>
      <c r="J669" s="7">
        <v>0</v>
      </c>
      <c r="K669" s="7"/>
      <c r="L669" s="7">
        <f t="shared" si="24"/>
        <v>0</v>
      </c>
      <c r="M669" s="7"/>
      <c r="N669" s="7"/>
      <c r="O669" s="7"/>
    </row>
    <row r="670" spans="3:15" x14ac:dyDescent="0.2">
      <c r="C670">
        <v>651</v>
      </c>
      <c r="D670" s="7">
        <v>2524.5000000000005</v>
      </c>
      <c r="E670" s="7"/>
      <c r="F670" s="7">
        <f t="shared" si="23"/>
        <v>203.85968158482191</v>
      </c>
      <c r="G670" s="7"/>
      <c r="H670" s="7"/>
      <c r="I670" s="7"/>
      <c r="J670" s="7">
        <v>0</v>
      </c>
      <c r="K670" s="7"/>
      <c r="L670" s="7">
        <f t="shared" si="24"/>
        <v>0</v>
      </c>
      <c r="M670" s="7"/>
      <c r="N670" s="7"/>
      <c r="O670" s="7"/>
    </row>
    <row r="671" spans="3:15" x14ac:dyDescent="0.2">
      <c r="C671">
        <v>652</v>
      </c>
      <c r="D671" s="7">
        <v>2673</v>
      </c>
      <c r="E671" s="7"/>
      <c r="F671" s="7">
        <f t="shared" si="23"/>
        <v>215.85142756039966</v>
      </c>
      <c r="G671" s="7"/>
      <c r="H671" s="7"/>
      <c r="I671" s="7"/>
      <c r="J671" s="7">
        <v>0</v>
      </c>
      <c r="K671" s="7"/>
      <c r="L671" s="7">
        <f t="shared" si="24"/>
        <v>0</v>
      </c>
      <c r="M671" s="7"/>
      <c r="N671" s="7"/>
      <c r="O671" s="7"/>
    </row>
    <row r="672" spans="3:15" x14ac:dyDescent="0.2">
      <c r="C672">
        <v>653</v>
      </c>
      <c r="D672" s="7">
        <v>2821.4999999999995</v>
      </c>
      <c r="E672" s="7"/>
      <c r="F672" s="7">
        <f t="shared" si="23"/>
        <v>227.84317353597737</v>
      </c>
      <c r="G672" s="7"/>
      <c r="H672" s="7"/>
      <c r="I672" s="7"/>
      <c r="J672" s="7">
        <v>0</v>
      </c>
      <c r="K672" s="7"/>
      <c r="L672" s="7">
        <f t="shared" si="24"/>
        <v>0</v>
      </c>
      <c r="M672" s="7"/>
      <c r="N672" s="7"/>
      <c r="O672" s="7"/>
    </row>
    <row r="673" spans="3:15" x14ac:dyDescent="0.2">
      <c r="C673">
        <v>654</v>
      </c>
      <c r="D673" s="7">
        <v>2969.9999999999995</v>
      </c>
      <c r="E673" s="7"/>
      <c r="F673" s="7">
        <f t="shared" si="23"/>
        <v>239.83491951155514</v>
      </c>
      <c r="G673" s="7"/>
      <c r="H673" s="7"/>
      <c r="I673" s="7"/>
      <c r="J673" s="7">
        <v>0</v>
      </c>
      <c r="K673" s="7"/>
      <c r="L673" s="7">
        <f t="shared" si="24"/>
        <v>0</v>
      </c>
      <c r="M673" s="7"/>
      <c r="N673" s="7"/>
      <c r="O673" s="7"/>
    </row>
    <row r="674" spans="3:15" x14ac:dyDescent="0.2">
      <c r="C674">
        <v>655</v>
      </c>
      <c r="D674" s="7">
        <v>3118.5</v>
      </c>
      <c r="E674" s="7"/>
      <c r="F674" s="7">
        <f t="shared" si="23"/>
        <v>251.82666548713291</v>
      </c>
      <c r="G674" s="7"/>
      <c r="H674" s="7"/>
      <c r="I674" s="7"/>
      <c r="J674" s="7">
        <v>0</v>
      </c>
      <c r="K674" s="7"/>
      <c r="L674" s="7">
        <f t="shared" si="24"/>
        <v>0</v>
      </c>
      <c r="M674" s="7"/>
      <c r="N674" s="7"/>
      <c r="O674" s="7"/>
    </row>
    <row r="675" spans="3:15" x14ac:dyDescent="0.2">
      <c r="C675">
        <v>656</v>
      </c>
      <c r="D675" s="7">
        <v>3267</v>
      </c>
      <c r="E675" s="7"/>
      <c r="F675" s="7">
        <f t="shared" si="23"/>
        <v>263.81841146271069</v>
      </c>
      <c r="G675" s="7"/>
      <c r="H675" s="7"/>
      <c r="I675" s="7"/>
      <c r="J675" s="7">
        <v>0</v>
      </c>
      <c r="K675" s="7"/>
      <c r="L675" s="7">
        <f t="shared" si="24"/>
        <v>0</v>
      </c>
      <c r="M675" s="7"/>
      <c r="N675" s="7"/>
      <c r="O675" s="7"/>
    </row>
    <row r="676" spans="3:15" x14ac:dyDescent="0.2">
      <c r="C676">
        <v>657</v>
      </c>
      <c r="D676" s="7">
        <v>3415.5</v>
      </c>
      <c r="E676" s="7"/>
      <c r="F676" s="7">
        <f t="shared" si="23"/>
        <v>275.81015743828846</v>
      </c>
      <c r="G676" s="7"/>
      <c r="H676" s="7"/>
      <c r="I676" s="7"/>
      <c r="J676" s="7">
        <v>0</v>
      </c>
      <c r="K676" s="7"/>
      <c r="L676" s="7">
        <f t="shared" si="24"/>
        <v>0</v>
      </c>
      <c r="M676" s="7"/>
      <c r="N676" s="7"/>
      <c r="O676" s="7"/>
    </row>
    <row r="677" spans="3:15" x14ac:dyDescent="0.2">
      <c r="C677">
        <v>658</v>
      </c>
      <c r="D677" s="7">
        <v>3564</v>
      </c>
      <c r="E677" s="7"/>
      <c r="F677" s="7">
        <f t="shared" si="23"/>
        <v>287.80190341386617</v>
      </c>
      <c r="G677" s="7"/>
      <c r="H677" s="7"/>
      <c r="I677" s="7"/>
      <c r="J677" s="7">
        <v>0</v>
      </c>
      <c r="K677" s="7"/>
      <c r="L677" s="7">
        <f t="shared" si="24"/>
        <v>0</v>
      </c>
      <c r="M677" s="7"/>
      <c r="N677" s="7"/>
      <c r="O677" s="7"/>
    </row>
    <row r="678" spans="3:15" x14ac:dyDescent="0.2">
      <c r="C678">
        <v>659</v>
      </c>
      <c r="D678" s="7">
        <v>3712.5000000000005</v>
      </c>
      <c r="E678" s="7"/>
      <c r="F678" s="7">
        <f t="shared" si="23"/>
        <v>299.793649389444</v>
      </c>
      <c r="G678" s="7"/>
      <c r="H678" s="7"/>
      <c r="I678" s="7"/>
      <c r="J678" s="7">
        <v>0</v>
      </c>
      <c r="K678" s="7"/>
      <c r="L678" s="7">
        <f t="shared" si="24"/>
        <v>0</v>
      </c>
      <c r="M678" s="7"/>
      <c r="N678" s="7"/>
      <c r="O678" s="7"/>
    </row>
    <row r="679" spans="3:15" x14ac:dyDescent="0.2">
      <c r="C679">
        <v>660</v>
      </c>
      <c r="D679" s="7">
        <v>3717.5011424170707</v>
      </c>
      <c r="E679" s="7"/>
      <c r="F679" s="7">
        <f t="shared" si="23"/>
        <v>300.19750413323652</v>
      </c>
      <c r="G679" s="7"/>
      <c r="H679" s="7"/>
      <c r="I679" s="7"/>
      <c r="J679" s="7">
        <v>143.49885758293021</v>
      </c>
      <c r="K679" s="7"/>
      <c r="L679" s="7">
        <f t="shared" si="24"/>
        <v>9.2947461115622954</v>
      </c>
      <c r="M679" s="7"/>
      <c r="N679" s="7"/>
      <c r="O679" s="7"/>
    </row>
    <row r="680" spans="3:15" x14ac:dyDescent="0.2">
      <c r="C680">
        <v>661</v>
      </c>
      <c r="D680" s="7">
        <v>3711.2215429146258</v>
      </c>
      <c r="E680" s="7"/>
      <c r="F680" s="7">
        <f t="shared" si="23"/>
        <v>299.69041078601981</v>
      </c>
      <c r="G680" s="7"/>
      <c r="H680" s="7"/>
      <c r="I680" s="7"/>
      <c r="J680" s="7">
        <v>298.27845708537461</v>
      </c>
      <c r="K680" s="7"/>
      <c r="L680" s="7">
        <f t="shared" si="24"/>
        <v>19.320171434499823</v>
      </c>
      <c r="M680" s="7"/>
      <c r="N680" s="7"/>
      <c r="O680" s="7"/>
    </row>
    <row r="681" spans="3:15" x14ac:dyDescent="0.2">
      <c r="C681">
        <v>662</v>
      </c>
      <c r="D681" s="7">
        <v>3704.9734332625867</v>
      </c>
      <c r="E681" s="7"/>
      <c r="F681" s="7">
        <f t="shared" si="23"/>
        <v>299.18586032288977</v>
      </c>
      <c r="G681" s="7"/>
      <c r="H681" s="7"/>
      <c r="I681" s="7"/>
      <c r="J681" s="7">
        <v>453.02656673741421</v>
      </c>
      <c r="K681" s="7"/>
      <c r="L681" s="7">
        <f t="shared" si="24"/>
        <v>29.343557088484346</v>
      </c>
      <c r="M681" s="7"/>
      <c r="N681" s="7"/>
      <c r="O681" s="7"/>
    </row>
    <row r="682" spans="3:15" x14ac:dyDescent="0.2">
      <c r="C682">
        <v>663</v>
      </c>
      <c r="D682" s="7">
        <v>3698.7567085753203</v>
      </c>
      <c r="E682" s="7"/>
      <c r="F682" s="7">
        <f t="shared" si="23"/>
        <v>298.6838442740696</v>
      </c>
      <c r="G682" s="7"/>
      <c r="H682" s="7"/>
      <c r="I682" s="7"/>
      <c r="J682" s="7">
        <v>310.74329142467968</v>
      </c>
      <c r="K682" s="7"/>
      <c r="L682" s="7">
        <f t="shared" si="24"/>
        <v>20.127546994542648</v>
      </c>
      <c r="M682" s="7"/>
      <c r="N682" s="7"/>
      <c r="O682" s="7"/>
    </row>
    <row r="683" spans="3:15" x14ac:dyDescent="0.2">
      <c r="C683">
        <v>664</v>
      </c>
      <c r="D683" s="7">
        <v>3698.469687126898</v>
      </c>
      <c r="E683" s="7"/>
      <c r="F683" s="7">
        <f t="shared" si="23"/>
        <v>298.66066657508628</v>
      </c>
      <c r="G683" s="7"/>
      <c r="H683" s="7"/>
      <c r="I683" s="7"/>
      <c r="J683" s="7">
        <v>459.53031287310205</v>
      </c>
      <c r="K683" s="7"/>
      <c r="L683" s="7">
        <f t="shared" si="24"/>
        <v>29.764819460349134</v>
      </c>
      <c r="M683" s="7"/>
      <c r="N683" s="7"/>
      <c r="O683" s="7"/>
    </row>
    <row r="684" spans="3:15" x14ac:dyDescent="0.2">
      <c r="C684">
        <v>665</v>
      </c>
      <c r="D684" s="7">
        <v>3706.2076014766203</v>
      </c>
      <c r="E684" s="7"/>
      <c r="F684" s="7">
        <f t="shared" si="23"/>
        <v>299.28552248931283</v>
      </c>
      <c r="G684" s="7"/>
      <c r="H684" s="7"/>
      <c r="I684" s="7"/>
      <c r="J684" s="7">
        <v>1045.7923985233797</v>
      </c>
      <c r="K684" s="7"/>
      <c r="L684" s="7">
        <f t="shared" si="24"/>
        <v>67.738342962479919</v>
      </c>
      <c r="M684" s="7"/>
      <c r="N684" s="7"/>
      <c r="O684" s="7"/>
    </row>
    <row r="685" spans="3:15" x14ac:dyDescent="0.2">
      <c r="C685">
        <v>666</v>
      </c>
      <c r="D685" s="7">
        <v>3713.9149628798691</v>
      </c>
      <c r="E685" s="7"/>
      <c r="F685" s="7">
        <f t="shared" si="23"/>
        <v>299.90791117678577</v>
      </c>
      <c r="G685" s="7"/>
      <c r="H685" s="7"/>
      <c r="I685" s="7"/>
      <c r="J685" s="7">
        <v>889.58503712013089</v>
      </c>
      <c r="K685" s="7"/>
      <c r="L685" s="7">
        <f t="shared" si="24"/>
        <v>57.620438266540631</v>
      </c>
      <c r="M685" s="7"/>
      <c r="N685" s="7"/>
      <c r="O685" s="7"/>
    </row>
    <row r="686" spans="3:15" x14ac:dyDescent="0.2">
      <c r="C686">
        <v>667</v>
      </c>
      <c r="D686" s="7">
        <v>3721.5916850762183</v>
      </c>
      <c r="E686" s="7"/>
      <c r="F686" s="7">
        <f t="shared" si="23"/>
        <v>300.52782567176018</v>
      </c>
      <c r="G686" s="7"/>
      <c r="H686" s="7"/>
      <c r="I686" s="7"/>
      <c r="J686" s="7">
        <v>1178.9083149237808</v>
      </c>
      <c r="K686" s="7"/>
      <c r="L686" s="7">
        <f t="shared" si="24"/>
        <v>76.360562450426983</v>
      </c>
      <c r="M686" s="7"/>
      <c r="N686" s="7"/>
      <c r="O686" s="7"/>
    </row>
    <row r="687" spans="3:15" x14ac:dyDescent="0.2">
      <c r="C687">
        <v>668</v>
      </c>
      <c r="D687" s="7">
        <v>3729.237472441635</v>
      </c>
      <c r="E687" s="7"/>
      <c r="F687" s="7">
        <f t="shared" si="23"/>
        <v>301.14524210185687</v>
      </c>
      <c r="G687" s="7"/>
      <c r="H687" s="7"/>
      <c r="I687" s="7"/>
      <c r="J687" s="7">
        <v>844.56252755836522</v>
      </c>
      <c r="K687" s="7"/>
      <c r="L687" s="7">
        <f t="shared" si="24"/>
        <v>54.704228320826218</v>
      </c>
      <c r="M687" s="7"/>
      <c r="N687" s="7"/>
      <c r="O687" s="7"/>
    </row>
    <row r="688" spans="3:15" x14ac:dyDescent="0.2">
      <c r="C688">
        <v>669</v>
      </c>
      <c r="D688" s="7">
        <v>3736.8530658738027</v>
      </c>
      <c r="E688" s="7"/>
      <c r="F688" s="7">
        <f t="shared" si="23"/>
        <v>301.76022029641467</v>
      </c>
      <c r="G688" s="7"/>
      <c r="H688" s="7"/>
      <c r="I688" s="7"/>
      <c r="J688" s="7">
        <v>510.24693412619763</v>
      </c>
      <c r="K688" s="7"/>
      <c r="L688" s="7">
        <f t="shared" si="24"/>
        <v>33.049849920688231</v>
      </c>
      <c r="M688" s="7"/>
      <c r="N688" s="7"/>
      <c r="O688" s="7"/>
    </row>
    <row r="689" spans="3:15" x14ac:dyDescent="0.2">
      <c r="C689">
        <v>670</v>
      </c>
      <c r="D689" s="7">
        <v>3744.4395160929125</v>
      </c>
      <c r="E689" s="7"/>
      <c r="F689" s="7">
        <f t="shared" si="23"/>
        <v>302.37284510371387</v>
      </c>
      <c r="G689" s="7"/>
      <c r="H689" s="7"/>
      <c r="I689" s="7"/>
      <c r="J689" s="7">
        <v>175.96048390708711</v>
      </c>
      <c r="K689" s="7"/>
      <c r="L689" s="7">
        <f t="shared" si="24"/>
        <v>11.397359192485782</v>
      </c>
      <c r="M689" s="7"/>
      <c r="N689" s="7"/>
      <c r="O689" s="7"/>
    </row>
    <row r="690" spans="3:15" x14ac:dyDescent="0.2">
      <c r="C690">
        <v>671</v>
      </c>
      <c r="D690" s="7">
        <v>3593.7</v>
      </c>
      <c r="E690" s="7"/>
      <c r="F690" s="7">
        <f t="shared" si="23"/>
        <v>290.20025260898171</v>
      </c>
      <c r="G690" s="7"/>
      <c r="H690" s="7"/>
      <c r="I690" s="7"/>
      <c r="J690" s="7">
        <v>0</v>
      </c>
      <c r="K690" s="7"/>
      <c r="L690" s="7">
        <f t="shared" si="24"/>
        <v>0</v>
      </c>
      <c r="M690" s="7"/>
      <c r="N690" s="7"/>
      <c r="O690" s="7"/>
    </row>
    <row r="691" spans="3:15" x14ac:dyDescent="0.2">
      <c r="C691">
        <v>672</v>
      </c>
      <c r="D691" s="7">
        <v>3267</v>
      </c>
      <c r="E691" s="7"/>
      <c r="F691" s="7">
        <f t="shared" si="23"/>
        <v>263.81841146271069</v>
      </c>
      <c r="G691" s="7"/>
      <c r="H691" s="7"/>
      <c r="I691" s="7"/>
      <c r="J691" s="7">
        <v>0</v>
      </c>
      <c r="K691" s="7"/>
      <c r="L691" s="7">
        <f t="shared" si="24"/>
        <v>0</v>
      </c>
      <c r="M691" s="7"/>
      <c r="N691" s="7"/>
      <c r="O691" s="7"/>
    </row>
    <row r="692" spans="3:15" x14ac:dyDescent="0.2">
      <c r="C692" s="3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</row>
  </sheetData>
  <mergeCells count="11">
    <mergeCell ref="V14:W14"/>
    <mergeCell ref="D14:I14"/>
    <mergeCell ref="D13:O13"/>
    <mergeCell ref="J14:O14"/>
    <mergeCell ref="P14:Q14"/>
    <mergeCell ref="R14:S14"/>
    <mergeCell ref="D15:F15"/>
    <mergeCell ref="G15:I15"/>
    <mergeCell ref="J15:L15"/>
    <mergeCell ref="M15:O15"/>
    <mergeCell ref="T14:U14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CF41F-7102-F648-A624-34D763DA31AB}">
  <dimension ref="A2:W692"/>
  <sheetViews>
    <sheetView topLeftCell="A8" zoomScale="170" zoomScaleNormal="170" workbookViewId="0">
      <selection activeCell="M26" sqref="M26"/>
    </sheetView>
  </sheetViews>
  <sheetFormatPr baseColWidth="10" defaultRowHeight="16" x14ac:dyDescent="0.2"/>
  <cols>
    <col min="4" max="4" width="13" bestFit="1" customWidth="1"/>
  </cols>
  <sheetData>
    <row r="2" spans="1:23" ht="18" x14ac:dyDescent="0.25">
      <c r="A2" s="4" t="s">
        <v>8</v>
      </c>
      <c r="B2" s="1" t="s">
        <v>7</v>
      </c>
      <c r="C2">
        <f>Winter!C2</f>
        <v>273</v>
      </c>
    </row>
    <row r="3" spans="1:23" ht="18" x14ac:dyDescent="0.25">
      <c r="A3" s="5" t="s">
        <v>9</v>
      </c>
      <c r="B3" s="1" t="s">
        <v>6</v>
      </c>
      <c r="C3">
        <f>Winter!C3</f>
        <v>4.18</v>
      </c>
    </row>
    <row r="4" spans="1:23" ht="18" x14ac:dyDescent="0.25">
      <c r="A4" s="5" t="s">
        <v>30</v>
      </c>
      <c r="B4" s="6" t="s">
        <v>11</v>
      </c>
      <c r="C4">
        <f>Winter!C4</f>
        <v>30</v>
      </c>
    </row>
    <row r="5" spans="1:23" ht="18" x14ac:dyDescent="0.25">
      <c r="A5" s="5" t="s">
        <v>31</v>
      </c>
      <c r="B5" s="6" t="s">
        <v>11</v>
      </c>
      <c r="C5">
        <f>Winter!C5</f>
        <v>5</v>
      </c>
    </row>
    <row r="6" spans="1:23" ht="18" x14ac:dyDescent="0.25">
      <c r="A6" s="5" t="s">
        <v>24</v>
      </c>
      <c r="B6" s="6" t="s">
        <v>11</v>
      </c>
      <c r="C6">
        <f>Winter!C6</f>
        <v>20</v>
      </c>
      <c r="D6" s="5">
        <f>C6+$C$2</f>
        <v>293</v>
      </c>
      <c r="E6" t="s">
        <v>7</v>
      </c>
      <c r="F6" s="8"/>
      <c r="H6" s="3"/>
      <c r="I6" s="3"/>
      <c r="J6" s="3"/>
    </row>
    <row r="7" spans="1:23" ht="18" x14ac:dyDescent="0.25">
      <c r="A7" s="5" t="s">
        <v>25</v>
      </c>
      <c r="B7" s="1" t="s">
        <v>11</v>
      </c>
      <c r="C7">
        <f>Winter!C7</f>
        <v>10</v>
      </c>
      <c r="D7" s="5">
        <f t="shared" ref="D7:D9" si="0">C7+$C$2</f>
        <v>283</v>
      </c>
      <c r="E7" s="8" t="s">
        <v>7</v>
      </c>
      <c r="F7" s="8" t="s">
        <v>34</v>
      </c>
      <c r="G7" s="5"/>
      <c r="H7" s="3"/>
      <c r="I7" s="3"/>
      <c r="J7" s="3"/>
    </row>
    <row r="8" spans="1:23" ht="18" x14ac:dyDescent="0.25">
      <c r="A8" s="5" t="s">
        <v>26</v>
      </c>
      <c r="B8" s="1" t="s">
        <v>11</v>
      </c>
      <c r="C8">
        <f>Winter!C8</f>
        <v>28</v>
      </c>
      <c r="D8" s="5">
        <f t="shared" si="0"/>
        <v>301</v>
      </c>
      <c r="E8" s="8" t="s">
        <v>7</v>
      </c>
      <c r="F8" s="5">
        <f>Winter!F8</f>
        <v>2</v>
      </c>
      <c r="G8" s="8" t="s">
        <v>7</v>
      </c>
      <c r="H8" s="3"/>
      <c r="I8" s="3"/>
      <c r="J8" s="3"/>
    </row>
    <row r="9" spans="1:23" ht="18" x14ac:dyDescent="0.25">
      <c r="A9" s="5" t="s">
        <v>27</v>
      </c>
      <c r="B9" s="1" t="s">
        <v>11</v>
      </c>
      <c r="C9">
        <f>Winter!C9</f>
        <v>10</v>
      </c>
      <c r="D9" s="5">
        <f t="shared" si="0"/>
        <v>283</v>
      </c>
      <c r="E9" s="8" t="s">
        <v>7</v>
      </c>
      <c r="F9" s="5">
        <v>5</v>
      </c>
      <c r="G9" s="8" t="s">
        <v>7</v>
      </c>
      <c r="H9" s="3"/>
      <c r="I9" s="3"/>
      <c r="J9" s="3"/>
    </row>
    <row r="10" spans="1:23" ht="18" x14ac:dyDescent="0.25">
      <c r="A10" s="5" t="s">
        <v>28</v>
      </c>
      <c r="B10" s="1" t="s">
        <v>11</v>
      </c>
      <c r="C10">
        <f>Winter!C10</f>
        <v>28</v>
      </c>
      <c r="D10" s="5">
        <f>C10+273</f>
        <v>301</v>
      </c>
      <c r="E10" s="8" t="s">
        <v>7</v>
      </c>
      <c r="F10" s="5">
        <v>5</v>
      </c>
      <c r="G10" s="8" t="s">
        <v>7</v>
      </c>
      <c r="H10" s="3"/>
      <c r="I10" s="3"/>
      <c r="J10" s="3"/>
    </row>
    <row r="11" spans="1:23" ht="18" x14ac:dyDescent="0.25">
      <c r="A11" s="5" t="s">
        <v>29</v>
      </c>
      <c r="B11" s="1" t="s">
        <v>11</v>
      </c>
      <c r="C11">
        <f>Winter!C11</f>
        <v>7</v>
      </c>
      <c r="D11" s="5">
        <f>C11+273</f>
        <v>280</v>
      </c>
      <c r="E11" s="8" t="s">
        <v>7</v>
      </c>
      <c r="F11" s="5">
        <v>2</v>
      </c>
      <c r="G11" s="8" t="s">
        <v>7</v>
      </c>
      <c r="H11" s="3"/>
      <c r="I11" s="3"/>
      <c r="J11" s="3"/>
    </row>
    <row r="12" spans="1:23" x14ac:dyDescent="0.2">
      <c r="A12" s="5"/>
      <c r="B12" s="1"/>
      <c r="E12" s="5"/>
      <c r="F12" s="5"/>
      <c r="G12" s="5"/>
    </row>
    <row r="13" spans="1:23" x14ac:dyDescent="0.2">
      <c r="D13" s="12" t="s">
        <v>3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23" s="1" customFormat="1" x14ac:dyDescent="0.2">
      <c r="D14" s="14" t="s">
        <v>0</v>
      </c>
      <c r="E14" s="14"/>
      <c r="F14" s="14"/>
      <c r="G14" s="14"/>
      <c r="H14" s="14"/>
      <c r="I14" s="14"/>
      <c r="J14" s="12" t="s">
        <v>1</v>
      </c>
      <c r="K14" s="12"/>
      <c r="L14" s="12"/>
      <c r="M14" s="12"/>
      <c r="N14" s="12"/>
      <c r="O14" s="12"/>
      <c r="P14" s="13"/>
      <c r="Q14" s="13"/>
      <c r="R14" s="13"/>
      <c r="S14" s="13"/>
      <c r="T14" s="13"/>
      <c r="U14" s="13"/>
      <c r="V14" s="13"/>
      <c r="W14" s="13"/>
    </row>
    <row r="15" spans="1:23" s="1" customFormat="1" x14ac:dyDescent="0.2">
      <c r="D15" s="12" t="s">
        <v>32</v>
      </c>
      <c r="E15" s="12"/>
      <c r="F15" s="12"/>
      <c r="G15" s="12" t="s">
        <v>33</v>
      </c>
      <c r="H15" s="12"/>
      <c r="I15" s="12"/>
      <c r="J15" s="12" t="s">
        <v>32</v>
      </c>
      <c r="K15" s="12"/>
      <c r="L15" s="12"/>
      <c r="M15" s="12" t="s">
        <v>33</v>
      </c>
      <c r="N15" s="12"/>
      <c r="O15" s="12"/>
    </row>
    <row r="16" spans="1:23" s="1" customFormat="1" ht="18" x14ac:dyDescent="0.25">
      <c r="D16" s="1" t="s">
        <v>18</v>
      </c>
      <c r="E16" s="2" t="s">
        <v>13</v>
      </c>
      <c r="F16" s="2" t="s">
        <v>17</v>
      </c>
      <c r="G16" s="1" t="s">
        <v>19</v>
      </c>
      <c r="H16" s="2" t="s">
        <v>14</v>
      </c>
      <c r="I16" s="2" t="s">
        <v>20</v>
      </c>
      <c r="J16" s="2" t="s">
        <v>21</v>
      </c>
      <c r="K16" s="2" t="s">
        <v>15</v>
      </c>
      <c r="L16" s="2" t="s">
        <v>22</v>
      </c>
      <c r="M16" s="2" t="s">
        <v>23</v>
      </c>
      <c r="N16" s="2" t="s">
        <v>16</v>
      </c>
      <c r="O16" s="2" t="s">
        <v>36</v>
      </c>
      <c r="P16" s="2"/>
      <c r="Q16" s="2"/>
      <c r="R16" s="2"/>
      <c r="S16" s="2"/>
      <c r="T16" s="2"/>
      <c r="U16" s="2"/>
      <c r="V16" s="2"/>
      <c r="W16" s="2"/>
    </row>
    <row r="17" spans="3:23" x14ac:dyDescent="0.2">
      <c r="D17" s="1" t="s">
        <v>12</v>
      </c>
      <c r="E17" s="6" t="s">
        <v>5</v>
      </c>
      <c r="F17" s="6" t="s">
        <v>12</v>
      </c>
      <c r="G17" s="1" t="s">
        <v>12</v>
      </c>
      <c r="H17" s="6" t="s">
        <v>5</v>
      </c>
      <c r="I17" s="6" t="s">
        <v>12</v>
      </c>
      <c r="J17" s="1" t="s">
        <v>12</v>
      </c>
      <c r="K17" s="6" t="s">
        <v>5</v>
      </c>
      <c r="L17" s="6" t="s">
        <v>12</v>
      </c>
      <c r="M17" s="1" t="s">
        <v>12</v>
      </c>
      <c r="N17" s="6" t="s">
        <v>5</v>
      </c>
      <c r="O17" s="6" t="s">
        <v>12</v>
      </c>
      <c r="P17" s="6"/>
      <c r="Q17" s="6"/>
      <c r="R17" s="6"/>
      <c r="S17" s="6"/>
      <c r="T17" s="6"/>
      <c r="U17" s="6"/>
      <c r="V17" s="6"/>
      <c r="W17" s="6"/>
    </row>
    <row r="18" spans="3:23" x14ac:dyDescent="0.2">
      <c r="C18" s="3" t="s">
        <v>35</v>
      </c>
      <c r="D18" s="10">
        <f>SUM(D20:D691)</f>
        <v>2182261.1702704765</v>
      </c>
      <c r="E18" s="10">
        <f t="shared" ref="E18:O18" si="1">SUM(E20:E691)</f>
        <v>0</v>
      </c>
      <c r="F18" s="10">
        <f t="shared" si="1"/>
        <v>176223.04111953219</v>
      </c>
      <c r="G18" s="10">
        <f t="shared" si="1"/>
        <v>0</v>
      </c>
      <c r="H18" s="10">
        <f t="shared" si="1"/>
        <v>0</v>
      </c>
      <c r="I18" s="10">
        <f t="shared" si="1"/>
        <v>0</v>
      </c>
      <c r="J18" s="10">
        <f t="shared" si="1"/>
        <v>640290.51631481654</v>
      </c>
      <c r="K18" s="10">
        <f t="shared" si="1"/>
        <v>0</v>
      </c>
      <c r="L18" s="10">
        <f t="shared" si="1"/>
        <v>41473.067361166926</v>
      </c>
      <c r="M18" s="10">
        <f t="shared" si="1"/>
        <v>0</v>
      </c>
      <c r="N18" s="10">
        <f t="shared" si="1"/>
        <v>0</v>
      </c>
      <c r="O18" s="10">
        <f t="shared" si="1"/>
        <v>0</v>
      </c>
      <c r="P18" s="11">
        <f>O18+L18+I18+F18</f>
        <v>217696.10848069913</v>
      </c>
      <c r="Q18" s="6"/>
      <c r="R18" s="6"/>
      <c r="S18" s="6"/>
      <c r="T18" s="6"/>
      <c r="U18" s="6"/>
      <c r="V18" s="6"/>
      <c r="W18" s="6"/>
    </row>
    <row r="19" spans="3:23" x14ac:dyDescent="0.2">
      <c r="C19" s="1" t="s">
        <v>10</v>
      </c>
      <c r="D19" s="1"/>
      <c r="E19" s="6"/>
      <c r="F19" s="6"/>
      <c r="G19" s="16">
        <f>F18/D18</f>
        <v>8.0752498152038582E-2</v>
      </c>
      <c r="H19" s="6"/>
      <c r="I19" s="6"/>
      <c r="J19" s="1"/>
      <c r="K19" s="6"/>
      <c r="L19" s="6"/>
      <c r="M19" s="16">
        <f>L18/J18</f>
        <v>6.4772265564488771E-2</v>
      </c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3:23" x14ac:dyDescent="0.2">
      <c r="C20">
        <v>1</v>
      </c>
      <c r="D20" s="7">
        <v>2713.9499780422011</v>
      </c>
      <c r="E20" s="7"/>
      <c r="F20" s="7">
        <f>D20*(1-($C$2/($D$8-$D$6)*LN($D$8/$D$6)))</f>
        <v>219.15824058657853</v>
      </c>
      <c r="G20" s="7"/>
      <c r="H20" s="7"/>
      <c r="I20" s="7"/>
      <c r="J20" s="7">
        <v>0</v>
      </c>
      <c r="K20" s="7"/>
      <c r="L20" s="7">
        <f>J20*(1-$C$2/($D$10-$D$9)*LN($D$10/$D$9))</f>
        <v>0</v>
      </c>
      <c r="M20" s="7"/>
      <c r="N20" s="7"/>
      <c r="O20" s="7"/>
    </row>
    <row r="21" spans="3:23" x14ac:dyDescent="0.2">
      <c r="C21">
        <v>2</v>
      </c>
      <c r="D21" s="7">
        <v>2554.3058616867775</v>
      </c>
      <c r="E21" s="7"/>
      <c r="F21" s="7">
        <f t="shared" ref="F21:F84" si="2">D21*(1-($C$2/($D$8-$D$6)*LN($D$8/$D$6)))</f>
        <v>206.2665793756033</v>
      </c>
      <c r="G21" s="7"/>
      <c r="H21" s="7"/>
      <c r="I21" s="7"/>
      <c r="J21" s="7">
        <v>0</v>
      </c>
      <c r="K21" s="7"/>
      <c r="L21" s="7">
        <f t="shared" ref="L21:L84" si="3">J21*(1-$C$2/($D$10-$D$9)*LN($D$10/$D$9))</f>
        <v>0</v>
      </c>
      <c r="M21" s="7"/>
      <c r="N21" s="7"/>
      <c r="O21" s="7"/>
    </row>
    <row r="22" spans="3:23" x14ac:dyDescent="0.2">
      <c r="C22">
        <v>3</v>
      </c>
      <c r="D22" s="7">
        <v>2713.9499780422011</v>
      </c>
      <c r="E22" s="7"/>
      <c r="F22" s="7">
        <f t="shared" si="2"/>
        <v>219.15824058657853</v>
      </c>
      <c r="G22" s="7"/>
      <c r="H22" s="7"/>
      <c r="I22" s="7"/>
      <c r="J22" s="7">
        <v>0</v>
      </c>
      <c r="K22" s="7"/>
      <c r="L22" s="7">
        <f t="shared" si="3"/>
        <v>0</v>
      </c>
      <c r="M22" s="7"/>
      <c r="N22" s="7"/>
      <c r="O22" s="7"/>
    </row>
    <row r="23" spans="3:23" x14ac:dyDescent="0.2">
      <c r="C23">
        <v>4</v>
      </c>
      <c r="D23" s="7">
        <v>2873.5940943976243</v>
      </c>
      <c r="E23" s="7"/>
      <c r="F23" s="7">
        <f t="shared" si="2"/>
        <v>232.0499017975537</v>
      </c>
      <c r="G23" s="7"/>
      <c r="H23" s="7"/>
      <c r="I23" s="7"/>
      <c r="J23" s="7">
        <v>0</v>
      </c>
      <c r="K23" s="7"/>
      <c r="L23" s="7">
        <f t="shared" si="3"/>
        <v>0</v>
      </c>
      <c r="M23" s="7"/>
      <c r="N23" s="7"/>
      <c r="O23" s="7"/>
    </row>
    <row r="24" spans="3:23" x14ac:dyDescent="0.2">
      <c r="C24">
        <v>5</v>
      </c>
      <c r="D24" s="7">
        <v>3272.704385286183</v>
      </c>
      <c r="E24" s="7"/>
      <c r="F24" s="7">
        <f t="shared" si="2"/>
        <v>264.2790548249917</v>
      </c>
      <c r="G24" s="7"/>
      <c r="H24" s="7"/>
      <c r="I24" s="7"/>
      <c r="J24" s="7">
        <v>0</v>
      </c>
      <c r="K24" s="7"/>
      <c r="L24" s="7">
        <f t="shared" si="3"/>
        <v>0</v>
      </c>
      <c r="M24" s="7"/>
      <c r="N24" s="7"/>
      <c r="O24" s="7"/>
    </row>
    <row r="25" spans="3:23" x14ac:dyDescent="0.2">
      <c r="C25">
        <v>6</v>
      </c>
      <c r="D25" s="7">
        <v>3512.1705598193184</v>
      </c>
      <c r="E25" s="7"/>
      <c r="F25" s="7">
        <f t="shared" si="2"/>
        <v>283.61654664145453</v>
      </c>
      <c r="G25" s="7"/>
      <c r="H25" s="7"/>
      <c r="I25" s="7"/>
      <c r="J25" s="7">
        <v>0</v>
      </c>
      <c r="K25" s="7"/>
      <c r="L25" s="7">
        <f t="shared" si="3"/>
        <v>0</v>
      </c>
      <c r="M25" s="7"/>
      <c r="N25" s="7"/>
      <c r="O25" s="7"/>
    </row>
    <row r="26" spans="3:23" x14ac:dyDescent="0.2">
      <c r="C26">
        <v>7</v>
      </c>
      <c r="D26" s="7">
        <v>3718.4927183644731</v>
      </c>
      <c r="E26" s="7"/>
      <c r="F26" s="7">
        <f t="shared" si="2"/>
        <v>300.27757636809679</v>
      </c>
      <c r="G26" s="7"/>
      <c r="H26" s="7"/>
      <c r="I26" s="7"/>
      <c r="J26" s="7">
        <v>33.14401598798031</v>
      </c>
      <c r="K26" s="7"/>
      <c r="L26" s="7">
        <f t="shared" si="3"/>
        <v>2.1468130054471191</v>
      </c>
      <c r="M26" s="7"/>
      <c r="N26" s="7"/>
      <c r="O26" s="7"/>
    </row>
    <row r="27" spans="3:23" x14ac:dyDescent="0.2">
      <c r="C27">
        <v>8</v>
      </c>
      <c r="D27" s="7">
        <v>3717.5066749282855</v>
      </c>
      <c r="E27" s="7"/>
      <c r="F27" s="7">
        <f t="shared" si="2"/>
        <v>300.19795089733822</v>
      </c>
      <c r="G27" s="7"/>
      <c r="H27" s="7"/>
      <c r="I27" s="7"/>
      <c r="J27" s="7">
        <v>273.5962339573025</v>
      </c>
      <c r="K27" s="7"/>
      <c r="L27" s="7">
        <f t="shared" si="3"/>
        <v>17.721447923326373</v>
      </c>
      <c r="M27" s="7"/>
      <c r="N27" s="7"/>
      <c r="O27" s="7"/>
    </row>
    <row r="28" spans="3:23" x14ac:dyDescent="0.2">
      <c r="C28">
        <v>9</v>
      </c>
      <c r="D28" s="7">
        <v>3712.4355518947714</v>
      </c>
      <c r="E28" s="7"/>
      <c r="F28" s="7">
        <f t="shared" si="2"/>
        <v>299.78844504394556</v>
      </c>
      <c r="G28" s="7"/>
      <c r="H28" s="7"/>
      <c r="I28" s="7"/>
      <c r="J28" s="7">
        <v>518.13353152395212</v>
      </c>
      <c r="K28" s="7"/>
      <c r="L28" s="7">
        <f t="shared" si="3"/>
        <v>33.560682701735793</v>
      </c>
      <c r="M28" s="7"/>
      <c r="N28" s="7"/>
      <c r="O28" s="7"/>
    </row>
    <row r="29" spans="3:23" x14ac:dyDescent="0.2">
      <c r="C29">
        <v>10</v>
      </c>
      <c r="D29" s="7">
        <v>3705.1105444070254</v>
      </c>
      <c r="E29" s="7"/>
      <c r="F29" s="7">
        <f t="shared" si="2"/>
        <v>299.19693239032767</v>
      </c>
      <c r="G29" s="7"/>
      <c r="H29" s="7"/>
      <c r="I29" s="7"/>
      <c r="J29" s="7">
        <v>764.92471354483405</v>
      </c>
      <c r="K29" s="7"/>
      <c r="L29" s="7">
        <f t="shared" si="3"/>
        <v>49.545906682566418</v>
      </c>
      <c r="M29" s="7"/>
      <c r="N29" s="7"/>
      <c r="O29" s="7"/>
    </row>
    <row r="30" spans="3:23" x14ac:dyDescent="0.2">
      <c r="C30">
        <v>11</v>
      </c>
      <c r="D30" s="7">
        <v>3697.8218584516553</v>
      </c>
      <c r="E30" s="7"/>
      <c r="F30" s="7">
        <f t="shared" si="2"/>
        <v>298.60835279118589</v>
      </c>
      <c r="G30" s="7"/>
      <c r="H30" s="7"/>
      <c r="I30" s="7"/>
      <c r="J30" s="7">
        <v>1011.6795740333391</v>
      </c>
      <c r="K30" s="7"/>
      <c r="L30" s="7">
        <f t="shared" si="3"/>
        <v>65.528778035456227</v>
      </c>
      <c r="M30" s="7"/>
      <c r="N30" s="7"/>
      <c r="O30" s="7"/>
    </row>
    <row r="31" spans="3:23" x14ac:dyDescent="0.2">
      <c r="C31">
        <v>12</v>
      </c>
      <c r="D31" s="7">
        <v>3690.5693735673658</v>
      </c>
      <c r="E31" s="7"/>
      <c r="F31" s="7">
        <f t="shared" si="2"/>
        <v>298.02269651896961</v>
      </c>
      <c r="G31" s="7"/>
      <c r="H31" s="7"/>
      <c r="I31" s="7"/>
      <c r="J31" s="7">
        <v>1258.3982334507637</v>
      </c>
      <c r="K31" s="7"/>
      <c r="L31" s="7">
        <f t="shared" si="3"/>
        <v>81.509304562956274</v>
      </c>
      <c r="M31" s="7"/>
      <c r="N31" s="7"/>
      <c r="O31" s="7"/>
    </row>
    <row r="32" spans="3:23" x14ac:dyDescent="0.2">
      <c r="C32">
        <v>13</v>
      </c>
      <c r="D32" s="7">
        <v>3683.3529696163546</v>
      </c>
      <c r="E32" s="7"/>
      <c r="F32" s="7">
        <f t="shared" si="2"/>
        <v>297.43995387225124</v>
      </c>
      <c r="G32" s="7"/>
      <c r="H32" s="7"/>
      <c r="I32" s="7"/>
      <c r="J32" s="7">
        <v>1505.0808119349117</v>
      </c>
      <c r="K32" s="7"/>
      <c r="L32" s="7">
        <f t="shared" si="3"/>
        <v>97.487494046664338</v>
      </c>
      <c r="M32" s="7"/>
      <c r="N32" s="7"/>
      <c r="O32" s="7"/>
    </row>
    <row r="33" spans="3:15" x14ac:dyDescent="0.2">
      <c r="C33">
        <v>14</v>
      </c>
      <c r="D33" s="7">
        <v>3676.1725267835836</v>
      </c>
      <c r="E33" s="7"/>
      <c r="F33" s="7">
        <f t="shared" si="2"/>
        <v>296.86011517566703</v>
      </c>
      <c r="G33" s="7"/>
      <c r="H33" s="7"/>
      <c r="I33" s="7"/>
      <c r="J33" s="7">
        <v>1751.7274293008186</v>
      </c>
      <c r="K33" s="7"/>
      <c r="L33" s="7">
        <f t="shared" si="3"/>
        <v>113.46335424727168</v>
      </c>
      <c r="M33" s="7"/>
      <c r="N33" s="7"/>
      <c r="O33" s="7"/>
    </row>
    <row r="34" spans="3:15" x14ac:dyDescent="0.2">
      <c r="C34">
        <v>15</v>
      </c>
      <c r="D34" s="7">
        <v>3669.0279255760647</v>
      </c>
      <c r="E34" s="7"/>
      <c r="F34" s="7">
        <f t="shared" si="2"/>
        <v>296.28317077985986</v>
      </c>
      <c r="G34" s="7"/>
      <c r="H34" s="7"/>
      <c r="I34" s="7"/>
      <c r="J34" s="7">
        <v>1599.227914152912</v>
      </c>
      <c r="K34" s="7"/>
      <c r="L34" s="7">
        <f t="shared" si="3"/>
        <v>103.58561515365571</v>
      </c>
      <c r="M34" s="7"/>
      <c r="N34" s="7"/>
      <c r="O34" s="7"/>
    </row>
    <row r="35" spans="3:15" x14ac:dyDescent="0.2">
      <c r="C35">
        <v>16</v>
      </c>
      <c r="D35" s="7">
        <v>3664.1878087712425</v>
      </c>
      <c r="E35" s="7"/>
      <c r="F35" s="7">
        <f t="shared" si="2"/>
        <v>295.8923192565228</v>
      </c>
      <c r="G35" s="7"/>
      <c r="H35" s="7"/>
      <c r="I35" s="7"/>
      <c r="J35" s="7">
        <v>1816.926852764967</v>
      </c>
      <c r="K35" s="7"/>
      <c r="L35" s="7">
        <f t="shared" si="3"/>
        <v>117.68646861854305</v>
      </c>
      <c r="M35" s="7"/>
      <c r="N35" s="7"/>
      <c r="O35" s="7"/>
    </row>
    <row r="36" spans="3:15" x14ac:dyDescent="0.2">
      <c r="C36">
        <v>17</v>
      </c>
      <c r="D36" s="7">
        <v>3663.4533968692922</v>
      </c>
      <c r="E36" s="7"/>
      <c r="F36" s="7">
        <f t="shared" si="2"/>
        <v>295.83301366076768</v>
      </c>
      <c r="G36" s="7"/>
      <c r="H36" s="7"/>
      <c r="I36" s="7"/>
      <c r="J36" s="7">
        <v>2562.6671409922274</v>
      </c>
      <c r="K36" s="7"/>
      <c r="L36" s="7">
        <f t="shared" si="3"/>
        <v>165.9897566097375</v>
      </c>
      <c r="M36" s="7"/>
      <c r="N36" s="7"/>
      <c r="O36" s="7"/>
    </row>
    <row r="37" spans="3:15" x14ac:dyDescent="0.2">
      <c r="C37">
        <v>18</v>
      </c>
      <c r="D37" s="7">
        <v>3662.721493780281</v>
      </c>
      <c r="E37" s="7"/>
      <c r="F37" s="7">
        <f t="shared" si="2"/>
        <v>295.77391065792483</v>
      </c>
      <c r="G37" s="7"/>
      <c r="H37" s="7"/>
      <c r="I37" s="7"/>
      <c r="J37" s="7">
        <v>2403.7549277258149</v>
      </c>
      <c r="K37" s="7"/>
      <c r="L37" s="7">
        <f t="shared" si="3"/>
        <v>155.69665253060475</v>
      </c>
      <c r="M37" s="7"/>
      <c r="N37" s="7"/>
      <c r="O37" s="7"/>
    </row>
    <row r="38" spans="3:15" x14ac:dyDescent="0.2">
      <c r="C38">
        <v>19</v>
      </c>
      <c r="D38" s="7">
        <v>3661.9918837289119</v>
      </c>
      <c r="E38" s="7"/>
      <c r="F38" s="7">
        <f t="shared" si="2"/>
        <v>295.71499282359997</v>
      </c>
      <c r="G38" s="7"/>
      <c r="H38" s="7"/>
      <c r="I38" s="7"/>
      <c r="J38" s="7">
        <v>2723.7727704880313</v>
      </c>
      <c r="K38" s="7"/>
      <c r="L38" s="7">
        <f t="shared" si="3"/>
        <v>176.42493322737383</v>
      </c>
      <c r="M38" s="7"/>
      <c r="N38" s="7"/>
      <c r="O38" s="7"/>
    </row>
    <row r="39" spans="3:15" x14ac:dyDescent="0.2">
      <c r="C39">
        <v>20</v>
      </c>
      <c r="D39" s="7">
        <v>3661.2641644052792</v>
      </c>
      <c r="E39" s="7"/>
      <c r="F39" s="7">
        <f t="shared" si="2"/>
        <v>295.65622767026309</v>
      </c>
      <c r="G39" s="7"/>
      <c r="H39" s="7"/>
      <c r="I39" s="7"/>
      <c r="J39" s="7">
        <v>2405.2122571008167</v>
      </c>
      <c r="K39" s="7"/>
      <c r="L39" s="7">
        <f t="shared" si="3"/>
        <v>155.79104705589731</v>
      </c>
      <c r="M39" s="7"/>
      <c r="N39" s="7"/>
      <c r="O39" s="7"/>
    </row>
    <row r="40" spans="3:15" x14ac:dyDescent="0.2">
      <c r="C40">
        <v>21</v>
      </c>
      <c r="D40" s="7">
        <v>3660.5385806774743</v>
      </c>
      <c r="E40" s="7"/>
      <c r="F40" s="7">
        <f t="shared" si="2"/>
        <v>295.59763497162442</v>
      </c>
      <c r="G40" s="7"/>
      <c r="H40" s="7"/>
      <c r="I40" s="7"/>
      <c r="J40" s="7">
        <v>2884.8701898948916</v>
      </c>
      <c r="K40" s="7"/>
      <c r="L40" s="7">
        <f t="shared" si="3"/>
        <v>186.85957805894878</v>
      </c>
      <c r="M40" s="7"/>
      <c r="N40" s="7"/>
      <c r="O40" s="7"/>
    </row>
    <row r="41" spans="3:15" x14ac:dyDescent="0.2">
      <c r="C41">
        <v>22</v>
      </c>
      <c r="D41" s="7">
        <v>3659.8147322092004</v>
      </c>
      <c r="E41" s="7"/>
      <c r="F41" s="7">
        <f t="shared" si="2"/>
        <v>295.53918239952776</v>
      </c>
      <c r="G41" s="7"/>
      <c r="H41" s="7"/>
      <c r="I41" s="7"/>
      <c r="J41" s="7">
        <v>2087.3734565860482</v>
      </c>
      <c r="K41" s="7"/>
      <c r="L41" s="7">
        <f t="shared" si="3"/>
        <v>135.20390786225619</v>
      </c>
      <c r="M41" s="7"/>
      <c r="N41" s="7"/>
      <c r="O41" s="7"/>
    </row>
    <row r="42" spans="3:15" x14ac:dyDescent="0.2">
      <c r="C42">
        <v>23</v>
      </c>
      <c r="D42" s="7">
        <v>3655.0143341163057</v>
      </c>
      <c r="E42" s="7"/>
      <c r="F42" s="7">
        <f t="shared" si="2"/>
        <v>295.15153826140221</v>
      </c>
      <c r="G42" s="7"/>
      <c r="H42" s="7"/>
      <c r="I42" s="7"/>
      <c r="J42" s="7">
        <v>1293.9532729018238</v>
      </c>
      <c r="K42" s="7"/>
      <c r="L42" s="7">
        <f t="shared" si="3"/>
        <v>83.812285020436221</v>
      </c>
      <c r="M42" s="7"/>
      <c r="N42" s="7"/>
      <c r="O42" s="7"/>
    </row>
    <row r="43" spans="3:15" x14ac:dyDescent="0.2">
      <c r="C43">
        <v>24</v>
      </c>
      <c r="D43" s="7">
        <v>3647.9938287331552</v>
      </c>
      <c r="E43" s="7"/>
      <c r="F43" s="7">
        <f t="shared" si="2"/>
        <v>294.58461491342297</v>
      </c>
      <c r="G43" s="7"/>
      <c r="H43" s="7"/>
      <c r="I43" s="7"/>
      <c r="J43" s="7">
        <v>502.75319650785696</v>
      </c>
      <c r="K43" s="7"/>
      <c r="L43" s="7">
        <f t="shared" si="3"/>
        <v>32.564463557602473</v>
      </c>
      <c r="M43" s="7"/>
      <c r="N43" s="7"/>
      <c r="O43" s="7"/>
    </row>
    <row r="44" spans="3:15" x14ac:dyDescent="0.2">
      <c r="C44">
        <v>25</v>
      </c>
      <c r="D44" s="7">
        <v>2713.9499780422011</v>
      </c>
      <c r="E44" s="7"/>
      <c r="F44" s="7">
        <f t="shared" si="2"/>
        <v>219.15824058657853</v>
      </c>
      <c r="G44" s="7"/>
      <c r="H44" s="7"/>
      <c r="I44" s="7"/>
      <c r="J44" s="7">
        <v>0</v>
      </c>
      <c r="K44" s="7"/>
      <c r="L44" s="7">
        <f t="shared" si="3"/>
        <v>0</v>
      </c>
      <c r="M44" s="7"/>
      <c r="N44" s="7"/>
      <c r="O44" s="7"/>
    </row>
    <row r="45" spans="3:15" x14ac:dyDescent="0.2">
      <c r="C45">
        <v>26</v>
      </c>
      <c r="D45" s="7">
        <v>2554.3058616867775</v>
      </c>
      <c r="E45" s="7"/>
      <c r="F45" s="7">
        <f t="shared" si="2"/>
        <v>206.2665793756033</v>
      </c>
      <c r="G45" s="7"/>
      <c r="H45" s="7"/>
      <c r="I45" s="7"/>
      <c r="J45" s="7">
        <v>0</v>
      </c>
      <c r="K45" s="7"/>
      <c r="L45" s="7">
        <f t="shared" si="3"/>
        <v>0</v>
      </c>
      <c r="M45" s="7"/>
      <c r="N45" s="7"/>
      <c r="O45" s="7"/>
    </row>
    <row r="46" spans="3:15" x14ac:dyDescent="0.2">
      <c r="C46">
        <v>27</v>
      </c>
      <c r="D46" s="7">
        <v>2745.8788013132853</v>
      </c>
      <c r="E46" s="7"/>
      <c r="F46" s="7">
        <f t="shared" si="2"/>
        <v>221.73657282877352</v>
      </c>
      <c r="G46" s="7"/>
      <c r="H46" s="7"/>
      <c r="I46" s="7"/>
      <c r="J46" s="7">
        <v>0</v>
      </c>
      <c r="K46" s="7"/>
      <c r="L46" s="7">
        <f t="shared" si="3"/>
        <v>0</v>
      </c>
      <c r="M46" s="7"/>
      <c r="N46" s="7"/>
      <c r="O46" s="7"/>
    </row>
    <row r="47" spans="3:15" x14ac:dyDescent="0.2">
      <c r="C47">
        <v>28</v>
      </c>
      <c r="D47" s="7">
        <v>2873.5940943976243</v>
      </c>
      <c r="E47" s="7"/>
      <c r="F47" s="7">
        <f t="shared" si="2"/>
        <v>232.0499017975537</v>
      </c>
      <c r="G47" s="7"/>
      <c r="H47" s="7"/>
      <c r="I47" s="7"/>
      <c r="J47" s="7">
        <v>0</v>
      </c>
      <c r="K47" s="7"/>
      <c r="L47" s="7">
        <f t="shared" si="3"/>
        <v>0</v>
      </c>
      <c r="M47" s="7"/>
      <c r="N47" s="7"/>
      <c r="O47" s="7"/>
    </row>
    <row r="48" spans="3:15" x14ac:dyDescent="0.2">
      <c r="C48">
        <v>29</v>
      </c>
      <c r="D48" s="7">
        <v>3170.0760247719822</v>
      </c>
      <c r="E48" s="7"/>
      <c r="F48" s="7">
        <f t="shared" si="2"/>
        <v>255.99155833222193</v>
      </c>
      <c r="G48" s="7"/>
      <c r="H48" s="7"/>
      <c r="I48" s="7"/>
      <c r="J48" s="7">
        <v>0</v>
      </c>
      <c r="K48" s="7"/>
      <c r="L48" s="7">
        <f t="shared" si="3"/>
        <v>0</v>
      </c>
      <c r="M48" s="7"/>
      <c r="N48" s="7"/>
      <c r="O48" s="7"/>
    </row>
    <row r="49" spans="3:15" x14ac:dyDescent="0.2">
      <c r="C49">
        <v>30</v>
      </c>
      <c r="D49" s="7">
        <v>3375.3327458003841</v>
      </c>
      <c r="E49" s="7"/>
      <c r="F49" s="7">
        <f t="shared" si="2"/>
        <v>272.56655131776148</v>
      </c>
      <c r="G49" s="7"/>
      <c r="H49" s="7"/>
      <c r="I49" s="7"/>
      <c r="J49" s="7">
        <v>0</v>
      </c>
      <c r="K49" s="7"/>
      <c r="L49" s="7">
        <f t="shared" si="3"/>
        <v>0</v>
      </c>
      <c r="M49" s="7"/>
      <c r="N49" s="7"/>
      <c r="O49" s="7"/>
    </row>
    <row r="50" spans="3:15" x14ac:dyDescent="0.2">
      <c r="C50">
        <v>31</v>
      </c>
      <c r="D50" s="7">
        <v>3580.589466828786</v>
      </c>
      <c r="E50" s="7"/>
      <c r="F50" s="7">
        <f t="shared" si="2"/>
        <v>289.14154430330103</v>
      </c>
      <c r="G50" s="7"/>
      <c r="H50" s="7"/>
      <c r="I50" s="7"/>
      <c r="J50" s="7">
        <v>0</v>
      </c>
      <c r="K50" s="7"/>
      <c r="L50" s="7">
        <f t="shared" si="3"/>
        <v>0</v>
      </c>
      <c r="M50" s="7"/>
      <c r="N50" s="7"/>
      <c r="O50" s="7"/>
    </row>
    <row r="51" spans="3:15" x14ac:dyDescent="0.2">
      <c r="C51">
        <v>32</v>
      </c>
      <c r="D51" s="7">
        <v>3610.8817727679248</v>
      </c>
      <c r="E51" s="7"/>
      <c r="F51" s="7">
        <f t="shared" si="2"/>
        <v>291.58772368267233</v>
      </c>
      <c r="G51" s="7"/>
      <c r="H51" s="7"/>
      <c r="I51" s="7"/>
      <c r="J51" s="7">
        <v>174.96441508926318</v>
      </c>
      <c r="K51" s="7"/>
      <c r="L51" s="7">
        <f t="shared" si="3"/>
        <v>11.332841558497185</v>
      </c>
      <c r="M51" s="7"/>
      <c r="N51" s="7"/>
      <c r="O51" s="7"/>
    </row>
    <row r="52" spans="3:15" x14ac:dyDescent="0.2">
      <c r="C52">
        <v>33</v>
      </c>
      <c r="D52" s="7">
        <v>3606.9574262193887</v>
      </c>
      <c r="E52" s="7"/>
      <c r="F52" s="7">
        <f t="shared" si="2"/>
        <v>291.27082289526373</v>
      </c>
      <c r="G52" s="7"/>
      <c r="H52" s="7"/>
      <c r="I52" s="7"/>
      <c r="J52" s="7">
        <v>384.14548266620022</v>
      </c>
      <c r="K52" s="7"/>
      <c r="L52" s="7">
        <f t="shared" si="3"/>
        <v>24.881973218653801</v>
      </c>
      <c r="M52" s="7"/>
      <c r="N52" s="7"/>
      <c r="O52" s="7"/>
    </row>
    <row r="53" spans="3:15" x14ac:dyDescent="0.2">
      <c r="C53">
        <v>34</v>
      </c>
      <c r="D53" s="7">
        <v>3601.072848853843</v>
      </c>
      <c r="E53" s="7"/>
      <c r="F53" s="7">
        <f t="shared" si="2"/>
        <v>290.79562857242695</v>
      </c>
      <c r="G53" s="7"/>
      <c r="H53" s="7"/>
      <c r="I53" s="7"/>
      <c r="J53" s="7">
        <v>595.28678106014786</v>
      </c>
      <c r="K53" s="7"/>
      <c r="L53" s="7">
        <f t="shared" si="3"/>
        <v>38.558073469857526</v>
      </c>
      <c r="M53" s="7"/>
      <c r="N53" s="7"/>
      <c r="O53" s="7"/>
    </row>
    <row r="54" spans="3:15" x14ac:dyDescent="0.2">
      <c r="C54">
        <v>35</v>
      </c>
      <c r="D54" s="7">
        <v>3595.2210241807966</v>
      </c>
      <c r="E54" s="7"/>
      <c r="F54" s="7">
        <f t="shared" si="2"/>
        <v>290.32307911133074</v>
      </c>
      <c r="G54" s="7"/>
      <c r="H54" s="7"/>
      <c r="I54" s="7"/>
      <c r="J54" s="7">
        <v>806.39532676159661</v>
      </c>
      <c r="K54" s="7"/>
      <c r="L54" s="7">
        <f t="shared" si="3"/>
        <v>52.232052254964756</v>
      </c>
      <c r="M54" s="7"/>
      <c r="N54" s="7"/>
      <c r="O54" s="7"/>
    </row>
    <row r="55" spans="3:15" x14ac:dyDescent="0.2">
      <c r="C55">
        <v>36</v>
      </c>
      <c r="D55" s="7">
        <v>3589.4018390199362</v>
      </c>
      <c r="E55" s="7"/>
      <c r="F55" s="7">
        <f t="shared" si="2"/>
        <v>289.85316537238197</v>
      </c>
      <c r="G55" s="7"/>
      <c r="H55" s="7"/>
      <c r="I55" s="7"/>
      <c r="J55" s="7">
        <v>1017.4712329508584</v>
      </c>
      <c r="K55" s="7"/>
      <c r="L55" s="7">
        <f t="shared" si="3"/>
        <v>65.90391690492072</v>
      </c>
      <c r="M55" s="7"/>
      <c r="N55" s="7"/>
      <c r="O55" s="7"/>
    </row>
    <row r="56" spans="3:15" x14ac:dyDescent="0.2">
      <c r="C56">
        <v>37</v>
      </c>
      <c r="D56" s="7">
        <v>3583.6151805035674</v>
      </c>
      <c r="E56" s="7"/>
      <c r="F56" s="7">
        <f t="shared" si="2"/>
        <v>289.38587824123243</v>
      </c>
      <c r="G56" s="7"/>
      <c r="H56" s="7"/>
      <c r="I56" s="7"/>
      <c r="J56" s="7">
        <v>1228.5146124956286</v>
      </c>
      <c r="K56" s="7"/>
      <c r="L56" s="7">
        <f t="shared" si="3"/>
        <v>79.573674730421757</v>
      </c>
      <c r="M56" s="7"/>
      <c r="N56" s="7"/>
      <c r="O56" s="7"/>
    </row>
    <row r="57" spans="3:15" x14ac:dyDescent="0.2">
      <c r="C57">
        <v>38</v>
      </c>
      <c r="D57" s="7">
        <v>3577.8609360758956</v>
      </c>
      <c r="E57" s="7"/>
      <c r="F57" s="7">
        <f t="shared" si="2"/>
        <v>288.92120862872048</v>
      </c>
      <c r="G57" s="7"/>
      <c r="H57" s="7"/>
      <c r="I57" s="7"/>
      <c r="J57" s="7">
        <v>1439.525577951702</v>
      </c>
      <c r="K57" s="7"/>
      <c r="L57" s="7">
        <f t="shared" si="3"/>
        <v>93.24133302196168</v>
      </c>
      <c r="M57" s="7"/>
      <c r="N57" s="7"/>
      <c r="O57" s="7"/>
    </row>
    <row r="58" spans="3:15" x14ac:dyDescent="0.2">
      <c r="C58">
        <v>39</v>
      </c>
      <c r="D58" s="7">
        <v>3572.0507675047829</v>
      </c>
      <c r="E58" s="7"/>
      <c r="F58" s="7">
        <f t="shared" si="2"/>
        <v>288.45202300191869</v>
      </c>
      <c r="G58" s="7"/>
      <c r="H58" s="7"/>
      <c r="I58" s="7"/>
      <c r="J58" s="7">
        <v>1650.5924675512169</v>
      </c>
      <c r="K58" s="7"/>
      <c r="L58" s="7">
        <f t="shared" si="3"/>
        <v>106.91261364697208</v>
      </c>
      <c r="M58" s="7"/>
      <c r="N58" s="7"/>
      <c r="O58" s="7"/>
    </row>
    <row r="59" spans="3:15" x14ac:dyDescent="0.2">
      <c r="C59">
        <v>40</v>
      </c>
      <c r="D59" s="7">
        <v>3567.7201796985296</v>
      </c>
      <c r="E59" s="7"/>
      <c r="F59" s="7">
        <f t="shared" si="2"/>
        <v>288.10231721809697</v>
      </c>
      <c r="G59" s="7"/>
      <c r="H59" s="7"/>
      <c r="I59" s="7"/>
      <c r="J59" s="7">
        <v>1860.1797763858726</v>
      </c>
      <c r="K59" s="7"/>
      <c r="L59" s="7">
        <f t="shared" si="3"/>
        <v>120.48805847375689</v>
      </c>
      <c r="M59" s="7"/>
      <c r="N59" s="7"/>
      <c r="O59" s="7"/>
    </row>
    <row r="60" spans="3:15" x14ac:dyDescent="0.2">
      <c r="C60">
        <v>41</v>
      </c>
      <c r="D60" s="7">
        <v>3567.482008841273</v>
      </c>
      <c r="E60" s="7"/>
      <c r="F60" s="7">
        <f t="shared" si="2"/>
        <v>288.08308432638648</v>
      </c>
      <c r="G60" s="7"/>
      <c r="H60" s="7"/>
      <c r="I60" s="7"/>
      <c r="J60" s="7">
        <v>1700.7738308877038</v>
      </c>
      <c r="K60" s="7"/>
      <c r="L60" s="7">
        <f t="shared" si="3"/>
        <v>110.16297423939109</v>
      </c>
      <c r="M60" s="7"/>
      <c r="N60" s="7"/>
      <c r="O60" s="7"/>
    </row>
    <row r="61" spans="3:15" x14ac:dyDescent="0.2">
      <c r="C61">
        <v>42</v>
      </c>
      <c r="D61" s="7">
        <v>3567.247192969257</v>
      </c>
      <c r="E61" s="7"/>
      <c r="F61" s="7">
        <f t="shared" si="2"/>
        <v>288.06412235811541</v>
      </c>
      <c r="G61" s="7"/>
      <c r="H61" s="7"/>
      <c r="I61" s="7"/>
      <c r="J61" s="7">
        <v>2020.296879470568</v>
      </c>
      <c r="K61" s="7"/>
      <c r="L61" s="7">
        <f t="shared" si="3"/>
        <v>130.8592059961754</v>
      </c>
      <c r="M61" s="7"/>
      <c r="N61" s="7"/>
      <c r="O61" s="7"/>
    </row>
    <row r="62" spans="3:15" x14ac:dyDescent="0.2">
      <c r="C62">
        <v>43</v>
      </c>
      <c r="D62" s="7">
        <v>3567.0150922457419</v>
      </c>
      <c r="E62" s="7"/>
      <c r="F62" s="7">
        <f t="shared" si="2"/>
        <v>288.04537964486872</v>
      </c>
      <c r="G62" s="7"/>
      <c r="H62" s="7"/>
      <c r="I62" s="7"/>
      <c r="J62" s="7">
        <v>2339.8172129049303</v>
      </c>
      <c r="K62" s="7"/>
      <c r="L62" s="7">
        <f t="shared" si="3"/>
        <v>151.55526188663987</v>
      </c>
      <c r="M62" s="7"/>
      <c r="N62" s="7"/>
      <c r="O62" s="7"/>
    </row>
    <row r="63" spans="3:15" x14ac:dyDescent="0.2">
      <c r="C63">
        <v>44</v>
      </c>
      <c r="D63" s="7">
        <v>3566.784910228017</v>
      </c>
      <c r="E63" s="7"/>
      <c r="F63" s="7">
        <f t="shared" si="2"/>
        <v>288.02679187190773</v>
      </c>
      <c r="G63" s="7"/>
      <c r="H63" s="7"/>
      <c r="I63" s="7"/>
      <c r="J63" s="7">
        <v>2499.6915112780789</v>
      </c>
      <c r="K63" s="7"/>
      <c r="L63" s="7">
        <f t="shared" si="3"/>
        <v>161.91068239780176</v>
      </c>
      <c r="M63" s="7"/>
      <c r="N63" s="7"/>
      <c r="O63" s="7"/>
    </row>
    <row r="64" spans="3:15" x14ac:dyDescent="0.2">
      <c r="C64">
        <v>45</v>
      </c>
      <c r="D64" s="7">
        <v>3566.5560164540602</v>
      </c>
      <c r="E64" s="7"/>
      <c r="F64" s="7">
        <f t="shared" si="2"/>
        <v>288.00830812784926</v>
      </c>
      <c r="G64" s="7"/>
      <c r="H64" s="7"/>
      <c r="I64" s="7"/>
      <c r="J64" s="7">
        <v>2978.8527541183057</v>
      </c>
      <c r="K64" s="7"/>
      <c r="L64" s="7">
        <f t="shared" si="3"/>
        <v>192.94704166725938</v>
      </c>
      <c r="M64" s="7"/>
      <c r="N64" s="7"/>
      <c r="O64" s="7"/>
    </row>
    <row r="65" spans="3:15" x14ac:dyDescent="0.2">
      <c r="C65">
        <v>46</v>
      </c>
      <c r="D65" s="7">
        <v>3566.3278660346477</v>
      </c>
      <c r="E65" s="7"/>
      <c r="F65" s="7">
        <f t="shared" si="2"/>
        <v>287.98988441152727</v>
      </c>
      <c r="G65" s="7"/>
      <c r="H65" s="7"/>
      <c r="I65" s="7"/>
      <c r="J65" s="7">
        <v>2180.8603227606009</v>
      </c>
      <c r="K65" s="7"/>
      <c r="L65" s="7">
        <f t="shared" si="3"/>
        <v>141.25926398490611</v>
      </c>
      <c r="M65" s="7"/>
      <c r="N65" s="7"/>
      <c r="O65" s="7"/>
    </row>
    <row r="66" spans="3:15" x14ac:dyDescent="0.2">
      <c r="C66">
        <v>47</v>
      </c>
      <c r="D66" s="7">
        <v>3562.0312696058381</v>
      </c>
      <c r="E66" s="7"/>
      <c r="F66" s="7">
        <f t="shared" si="2"/>
        <v>287.64292351634975</v>
      </c>
      <c r="G66" s="7"/>
      <c r="H66" s="7"/>
      <c r="I66" s="7"/>
      <c r="J66" s="7">
        <v>1386.9363374122913</v>
      </c>
      <c r="K66" s="7"/>
      <c r="L66" s="7">
        <f t="shared" si="3"/>
        <v>89.835008767908207</v>
      </c>
      <c r="M66" s="7"/>
      <c r="N66" s="7"/>
      <c r="O66" s="7"/>
    </row>
    <row r="67" spans="3:15" x14ac:dyDescent="0.2">
      <c r="C67">
        <v>48</v>
      </c>
      <c r="D67" s="7">
        <v>3555.5350267063295</v>
      </c>
      <c r="E67" s="7"/>
      <c r="F67" s="7">
        <f t="shared" si="2"/>
        <v>287.11833567361202</v>
      </c>
      <c r="G67" s="7"/>
      <c r="H67" s="7"/>
      <c r="I67" s="7"/>
      <c r="J67" s="7">
        <v>595.21199853468261</v>
      </c>
      <c r="K67" s="7"/>
      <c r="L67" s="7">
        <f t="shared" si="3"/>
        <v>38.553229636258507</v>
      </c>
      <c r="M67" s="7"/>
      <c r="N67" s="7"/>
      <c r="O67" s="7"/>
    </row>
    <row r="68" spans="3:15" x14ac:dyDescent="0.2">
      <c r="C68">
        <v>49</v>
      </c>
      <c r="D68" s="7">
        <v>2713.9499780422011</v>
      </c>
      <c r="E68" s="7"/>
      <c r="F68" s="7">
        <f t="shared" si="2"/>
        <v>219.15824058657853</v>
      </c>
      <c r="G68" s="7"/>
      <c r="H68" s="7"/>
      <c r="I68" s="7"/>
      <c r="J68" s="7">
        <v>0</v>
      </c>
      <c r="K68" s="7"/>
      <c r="L68" s="7">
        <f t="shared" si="3"/>
        <v>0</v>
      </c>
      <c r="M68" s="7"/>
      <c r="N68" s="7"/>
      <c r="O68" s="7"/>
    </row>
    <row r="69" spans="3:15" x14ac:dyDescent="0.2">
      <c r="C69">
        <v>50</v>
      </c>
      <c r="D69" s="7">
        <v>2554.3058616867775</v>
      </c>
      <c r="E69" s="7"/>
      <c r="F69" s="7">
        <f t="shared" si="2"/>
        <v>206.2665793756033</v>
      </c>
      <c r="G69" s="7"/>
      <c r="H69" s="7"/>
      <c r="I69" s="7"/>
      <c r="J69" s="7">
        <v>0</v>
      </c>
      <c r="K69" s="7"/>
      <c r="L69" s="7">
        <f t="shared" si="3"/>
        <v>0</v>
      </c>
      <c r="M69" s="7"/>
      <c r="N69" s="7"/>
      <c r="O69" s="7"/>
    </row>
    <row r="70" spans="3:15" x14ac:dyDescent="0.2">
      <c r="C70">
        <v>51</v>
      </c>
      <c r="D70" s="7">
        <v>2713.9499780422011</v>
      </c>
      <c r="E70" s="7"/>
      <c r="F70" s="7">
        <f t="shared" si="2"/>
        <v>219.15824058657853</v>
      </c>
      <c r="G70" s="7"/>
      <c r="H70" s="7"/>
      <c r="I70" s="7"/>
      <c r="J70" s="7">
        <v>0</v>
      </c>
      <c r="K70" s="7"/>
      <c r="L70" s="7">
        <f t="shared" si="3"/>
        <v>0</v>
      </c>
      <c r="M70" s="7"/>
      <c r="N70" s="7"/>
      <c r="O70" s="7"/>
    </row>
    <row r="71" spans="3:15" x14ac:dyDescent="0.2">
      <c r="C71">
        <v>52</v>
      </c>
      <c r="D71" s="7">
        <v>2873.5940943976243</v>
      </c>
      <c r="E71" s="7"/>
      <c r="F71" s="7">
        <f t="shared" si="2"/>
        <v>232.0499017975537</v>
      </c>
      <c r="G71" s="7"/>
      <c r="H71" s="7"/>
      <c r="I71" s="7"/>
      <c r="J71" s="7">
        <v>0</v>
      </c>
      <c r="K71" s="7"/>
      <c r="L71" s="7">
        <f t="shared" si="3"/>
        <v>0</v>
      </c>
      <c r="M71" s="7"/>
      <c r="N71" s="7"/>
      <c r="O71" s="7"/>
    </row>
    <row r="72" spans="3:15" x14ac:dyDescent="0.2">
      <c r="C72">
        <v>53</v>
      </c>
      <c r="D72" s="7">
        <v>3217.4429603939211</v>
      </c>
      <c r="E72" s="7"/>
      <c r="F72" s="7">
        <f t="shared" si="2"/>
        <v>259.81655671350029</v>
      </c>
      <c r="G72" s="7"/>
      <c r="H72" s="7"/>
      <c r="I72" s="7"/>
      <c r="J72" s="7">
        <v>0</v>
      </c>
      <c r="K72" s="7"/>
      <c r="L72" s="7">
        <f t="shared" si="3"/>
        <v>0</v>
      </c>
      <c r="M72" s="7"/>
      <c r="N72" s="7"/>
      <c r="O72" s="7"/>
    </row>
    <row r="73" spans="3:15" x14ac:dyDescent="0.2">
      <c r="C73">
        <v>54</v>
      </c>
      <c r="D73" s="7">
        <v>3438.4886599629695</v>
      </c>
      <c r="E73" s="7"/>
      <c r="F73" s="7">
        <f t="shared" si="2"/>
        <v>277.666549159466</v>
      </c>
      <c r="G73" s="7"/>
      <c r="H73" s="7"/>
      <c r="I73" s="7"/>
      <c r="J73" s="7">
        <v>0</v>
      </c>
      <c r="K73" s="7"/>
      <c r="L73" s="7">
        <f t="shared" si="3"/>
        <v>0</v>
      </c>
      <c r="M73" s="7"/>
      <c r="N73" s="7"/>
      <c r="O73" s="7"/>
    </row>
    <row r="74" spans="3:15" x14ac:dyDescent="0.2">
      <c r="C74">
        <v>55</v>
      </c>
      <c r="D74" s="7">
        <v>3520.9849512628034</v>
      </c>
      <c r="E74" s="7"/>
      <c r="F74" s="7">
        <f t="shared" si="2"/>
        <v>284.32833077020587</v>
      </c>
      <c r="G74" s="7"/>
      <c r="H74" s="7"/>
      <c r="I74" s="7"/>
      <c r="J74" s="7">
        <v>138.54940826921393</v>
      </c>
      <c r="K74" s="7"/>
      <c r="L74" s="7">
        <f t="shared" si="3"/>
        <v>8.9741590662162878</v>
      </c>
      <c r="M74" s="7"/>
      <c r="N74" s="7"/>
      <c r="O74" s="7"/>
    </row>
    <row r="75" spans="3:15" x14ac:dyDescent="0.2">
      <c r="C75">
        <v>56</v>
      </c>
      <c r="D75" s="7">
        <v>3521.0148764608657</v>
      </c>
      <c r="E75" s="7"/>
      <c r="F75" s="7">
        <f t="shared" si="2"/>
        <v>284.33074730470707</v>
      </c>
      <c r="G75" s="7"/>
      <c r="H75" s="7"/>
      <c r="I75" s="7"/>
      <c r="J75" s="7">
        <v>359.56518264019905</v>
      </c>
      <c r="K75" s="7"/>
      <c r="L75" s="7">
        <f t="shared" si="3"/>
        <v>23.289851497714846</v>
      </c>
      <c r="M75" s="7"/>
      <c r="N75" s="7"/>
      <c r="O75" s="7"/>
    </row>
    <row r="76" spans="3:15" x14ac:dyDescent="0.2">
      <c r="C76">
        <v>57</v>
      </c>
      <c r="D76" s="7">
        <v>3516.9762085658695</v>
      </c>
      <c r="E76" s="7"/>
      <c r="F76" s="7">
        <f t="shared" si="2"/>
        <v>284.00461478297973</v>
      </c>
      <c r="G76" s="7"/>
      <c r="H76" s="7"/>
      <c r="I76" s="7"/>
      <c r="J76" s="7">
        <v>584.64955010424364</v>
      </c>
      <c r="K76" s="7"/>
      <c r="L76" s="7">
        <f t="shared" si="3"/>
        <v>37.869075921510898</v>
      </c>
      <c r="M76" s="7"/>
      <c r="N76" s="7"/>
      <c r="O76" s="7"/>
    </row>
    <row r="77" spans="3:15" x14ac:dyDescent="0.2">
      <c r="C77">
        <v>58</v>
      </c>
      <c r="D77" s="7">
        <v>3510.7247111128968</v>
      </c>
      <c r="E77" s="7"/>
      <c r="F77" s="7">
        <f t="shared" si="2"/>
        <v>283.49979074646109</v>
      </c>
      <c r="G77" s="7"/>
      <c r="H77" s="7"/>
      <c r="I77" s="7"/>
      <c r="J77" s="7">
        <v>811.94674712626374</v>
      </c>
      <c r="K77" s="7"/>
      <c r="L77" s="7">
        <f t="shared" si="3"/>
        <v>52.591630329085085</v>
      </c>
      <c r="M77" s="7"/>
      <c r="N77" s="7"/>
      <c r="O77" s="7"/>
    </row>
    <row r="78" spans="3:15" x14ac:dyDescent="0.2">
      <c r="C78">
        <v>59</v>
      </c>
      <c r="D78" s="7">
        <v>3504.505841906147</v>
      </c>
      <c r="E78" s="7"/>
      <c r="F78" s="7">
        <f t="shared" si="2"/>
        <v>282.99760152233523</v>
      </c>
      <c r="G78" s="7"/>
      <c r="H78" s="7"/>
      <c r="I78" s="7"/>
      <c r="J78" s="7">
        <v>1039.2113159020619</v>
      </c>
      <c r="K78" s="7"/>
      <c r="L78" s="7">
        <f t="shared" si="3"/>
        <v>67.312071331230086</v>
      </c>
      <c r="M78" s="7"/>
      <c r="N78" s="7"/>
      <c r="O78" s="7"/>
    </row>
    <row r="79" spans="3:15" x14ac:dyDescent="0.2">
      <c r="C79">
        <v>60</v>
      </c>
      <c r="D79" s="7">
        <v>3498.3194906557792</v>
      </c>
      <c r="E79" s="7"/>
      <c r="F79" s="7">
        <f t="shared" si="2"/>
        <v>282.49803820442202</v>
      </c>
      <c r="G79" s="7"/>
      <c r="H79" s="7"/>
      <c r="I79" s="7"/>
      <c r="J79" s="7">
        <v>1266.443366721478</v>
      </c>
      <c r="K79" s="7"/>
      <c r="L79" s="7">
        <f t="shared" si="3"/>
        <v>82.030406071668693</v>
      </c>
      <c r="M79" s="7"/>
      <c r="N79" s="7"/>
      <c r="O79" s="7"/>
    </row>
    <row r="80" spans="3:15" x14ac:dyDescent="0.2">
      <c r="C80">
        <v>61</v>
      </c>
      <c r="D80" s="7">
        <v>3492.1655473720871</v>
      </c>
      <c r="E80" s="7"/>
      <c r="F80" s="7">
        <f t="shared" si="2"/>
        <v>282.00109191077792</v>
      </c>
      <c r="G80" s="7"/>
      <c r="H80" s="7"/>
      <c r="I80" s="7"/>
      <c r="J80" s="7">
        <v>1493.6430095742176</v>
      </c>
      <c r="K80" s="7"/>
      <c r="L80" s="7">
        <f t="shared" si="3"/>
        <v>96.746641674683318</v>
      </c>
      <c r="M80" s="7"/>
      <c r="N80" s="7"/>
      <c r="O80" s="7"/>
    </row>
    <row r="81" spans="3:15" x14ac:dyDescent="0.2">
      <c r="C81">
        <v>62</v>
      </c>
      <c r="D81" s="7">
        <v>3486.0439023648223</v>
      </c>
      <c r="E81" s="7"/>
      <c r="F81" s="7">
        <f t="shared" si="2"/>
        <v>281.50675378364139</v>
      </c>
      <c r="G81" s="7"/>
      <c r="H81" s="7"/>
      <c r="I81" s="7"/>
      <c r="J81" s="7">
        <v>1720.8103541505316</v>
      </c>
      <c r="K81" s="7"/>
      <c r="L81" s="7">
        <f t="shared" si="3"/>
        <v>111.46078524516004</v>
      </c>
      <c r="M81" s="7"/>
      <c r="N81" s="7"/>
      <c r="O81" s="7"/>
    </row>
    <row r="82" spans="3:15" x14ac:dyDescent="0.2">
      <c r="C82">
        <v>63</v>
      </c>
      <c r="D82" s="7">
        <v>3479.9544462425065</v>
      </c>
      <c r="E82" s="7"/>
      <c r="F82" s="7">
        <f t="shared" si="2"/>
        <v>281.01501498937711</v>
      </c>
      <c r="G82" s="7"/>
      <c r="H82" s="7"/>
      <c r="I82" s="7"/>
      <c r="J82" s="7">
        <v>1947.9455098418957</v>
      </c>
      <c r="K82" s="7"/>
      <c r="L82" s="7">
        <f t="shared" si="3"/>
        <v>126.17284386863255</v>
      </c>
      <c r="M82" s="7"/>
      <c r="N82" s="7"/>
      <c r="O82" s="7"/>
    </row>
    <row r="83" spans="3:15" x14ac:dyDescent="0.2">
      <c r="C83">
        <v>64</v>
      </c>
      <c r="D83" s="7">
        <v>3476.1334530203139</v>
      </c>
      <c r="E83" s="7"/>
      <c r="F83" s="7">
        <f t="shared" si="2"/>
        <v>280.70646024126307</v>
      </c>
      <c r="G83" s="7"/>
      <c r="H83" s="7"/>
      <c r="I83" s="7"/>
      <c r="J83" s="7">
        <v>1792.1223867086628</v>
      </c>
      <c r="K83" s="7"/>
      <c r="L83" s="7">
        <f t="shared" si="3"/>
        <v>116.07982715595877</v>
      </c>
      <c r="M83" s="7"/>
      <c r="N83" s="7"/>
      <c r="O83" s="7"/>
    </row>
    <row r="84" spans="3:15" x14ac:dyDescent="0.2">
      <c r="C84">
        <v>65</v>
      </c>
      <c r="D84" s="7">
        <v>3476.4033587759036</v>
      </c>
      <c r="E84" s="7"/>
      <c r="F84" s="7">
        <f t="shared" si="2"/>
        <v>280.72825580529258</v>
      </c>
      <c r="G84" s="7"/>
      <c r="H84" s="7"/>
      <c r="I84" s="7"/>
      <c r="J84" s="7">
        <v>2079.2118903928372</v>
      </c>
      <c r="K84" s="7"/>
      <c r="L84" s="7">
        <f t="shared" si="3"/>
        <v>134.67526472936737</v>
      </c>
      <c r="M84" s="7"/>
      <c r="N84" s="7"/>
      <c r="O84" s="7"/>
    </row>
    <row r="85" spans="3:15" x14ac:dyDescent="0.2">
      <c r="C85">
        <v>66</v>
      </c>
      <c r="D85" s="7">
        <v>3476.6763366386608</v>
      </c>
      <c r="E85" s="7"/>
      <c r="F85" s="7">
        <f t="shared" ref="F85:F148" si="4">D85*(1-($C$2/($D$8-$D$6)*LN($D$8/$D$6)))</f>
        <v>280.75029944965041</v>
      </c>
      <c r="G85" s="7"/>
      <c r="H85" s="7"/>
      <c r="I85" s="7"/>
      <c r="J85" s="7">
        <v>2366.2983219698422</v>
      </c>
      <c r="K85" s="7"/>
      <c r="L85" s="7">
        <f t="shared" ref="L85:L148" si="5">J85*(1-$C$2/($D$10-$D$9)*LN($D$10/$D$9))</f>
        <v>153.27050331543455</v>
      </c>
      <c r="M85" s="7"/>
      <c r="N85" s="7"/>
      <c r="O85" s="7"/>
    </row>
    <row r="86" spans="3:15" x14ac:dyDescent="0.2">
      <c r="C86">
        <v>67</v>
      </c>
      <c r="D86" s="7">
        <v>3476.9514706229834</v>
      </c>
      <c r="E86" s="7"/>
      <c r="F86" s="7">
        <f t="shared" si="4"/>
        <v>280.77251720621098</v>
      </c>
      <c r="G86" s="7"/>
      <c r="H86" s="7"/>
      <c r="I86" s="7"/>
      <c r="J86" s="7">
        <v>2908.8131835939598</v>
      </c>
      <c r="K86" s="7"/>
      <c r="L86" s="7">
        <f t="shared" si="5"/>
        <v>188.4104200052337</v>
      </c>
      <c r="M86" s="7"/>
      <c r="N86" s="7"/>
      <c r="O86" s="7"/>
    </row>
    <row r="87" spans="3:15" x14ac:dyDescent="0.2">
      <c r="C87">
        <v>68</v>
      </c>
      <c r="D87" s="7">
        <v>3477.2276090648893</v>
      </c>
      <c r="E87" s="7"/>
      <c r="F87" s="7">
        <f t="shared" si="4"/>
        <v>280.7948160752307</v>
      </c>
      <c r="G87" s="7"/>
      <c r="H87" s="7"/>
      <c r="I87" s="7"/>
      <c r="J87" s="7">
        <v>2908.5370451520539</v>
      </c>
      <c r="K87" s="7"/>
      <c r="L87" s="7">
        <f t="shared" si="5"/>
        <v>188.39253389274202</v>
      </c>
      <c r="M87" s="7"/>
      <c r="N87" s="7"/>
      <c r="O87" s="7"/>
    </row>
    <row r="88" spans="3:15" x14ac:dyDescent="0.2">
      <c r="C88">
        <v>69</v>
      </c>
      <c r="D88" s="7">
        <v>3477.5044131488553</v>
      </c>
      <c r="E88" s="7"/>
      <c r="F88" s="7">
        <f t="shared" si="4"/>
        <v>280.81716869650961</v>
      </c>
      <c r="G88" s="7"/>
      <c r="H88" s="7"/>
      <c r="I88" s="7"/>
      <c r="J88" s="7">
        <v>3227.5484737789352</v>
      </c>
      <c r="K88" s="7"/>
      <c r="L88" s="7">
        <f t="shared" si="5"/>
        <v>209.0556268658693</v>
      </c>
      <c r="M88" s="7"/>
      <c r="N88" s="7"/>
      <c r="O88" s="7"/>
    </row>
    <row r="89" spans="3:15" x14ac:dyDescent="0.2">
      <c r="C89">
        <v>70</v>
      </c>
      <c r="D89" s="7">
        <v>3477.7817562788841</v>
      </c>
      <c r="E89" s="7"/>
      <c r="F89" s="7">
        <f t="shared" si="4"/>
        <v>280.83956484710478</v>
      </c>
      <c r="G89" s="7"/>
      <c r="H89" s="7"/>
      <c r="I89" s="7"/>
      <c r="J89" s="7">
        <v>2397.1217256007039</v>
      </c>
      <c r="K89" s="7"/>
      <c r="L89" s="7">
        <f t="shared" si="5"/>
        <v>155.26700500101416</v>
      </c>
      <c r="M89" s="7"/>
      <c r="N89" s="7"/>
      <c r="O89" s="7"/>
    </row>
    <row r="90" spans="3:15" x14ac:dyDescent="0.2">
      <c r="C90">
        <v>71</v>
      </c>
      <c r="D90" s="7">
        <v>3473.9892526781564</v>
      </c>
      <c r="E90" s="7"/>
      <c r="F90" s="7">
        <f t="shared" si="4"/>
        <v>280.53331070709538</v>
      </c>
      <c r="G90" s="7"/>
      <c r="H90" s="7"/>
      <c r="I90" s="7"/>
      <c r="J90" s="7">
        <v>1570.7648241532293</v>
      </c>
      <c r="K90" s="7"/>
      <c r="L90" s="7">
        <f t="shared" si="5"/>
        <v>101.74199632941031</v>
      </c>
      <c r="M90" s="7"/>
      <c r="N90" s="7"/>
      <c r="O90" s="7"/>
    </row>
    <row r="91" spans="3:15" x14ac:dyDescent="0.2">
      <c r="C91">
        <v>72</v>
      </c>
      <c r="D91" s="7">
        <v>3467.9926799457076</v>
      </c>
      <c r="E91" s="7"/>
      <c r="F91" s="7">
        <f t="shared" si="4"/>
        <v>280.04907247859973</v>
      </c>
      <c r="G91" s="7"/>
      <c r="H91" s="7"/>
      <c r="I91" s="7"/>
      <c r="J91" s="7">
        <v>746.61199183747476</v>
      </c>
      <c r="K91" s="7"/>
      <c r="L91" s="7">
        <f t="shared" si="5"/>
        <v>48.359750208928766</v>
      </c>
      <c r="M91" s="7"/>
      <c r="N91" s="7"/>
      <c r="O91" s="7"/>
    </row>
    <row r="92" spans="3:15" x14ac:dyDescent="0.2">
      <c r="C92">
        <v>73</v>
      </c>
      <c r="D92" s="7">
        <v>2713.9499780422011</v>
      </c>
      <c r="E92" s="7"/>
      <c r="F92" s="7">
        <f t="shared" si="4"/>
        <v>219.15824058657853</v>
      </c>
      <c r="G92" s="7"/>
      <c r="H92" s="7"/>
      <c r="I92" s="7"/>
      <c r="J92" s="7">
        <v>0</v>
      </c>
      <c r="K92" s="7"/>
      <c r="L92" s="7">
        <f t="shared" si="5"/>
        <v>0</v>
      </c>
      <c r="M92" s="7"/>
      <c r="N92" s="7"/>
      <c r="O92" s="7"/>
    </row>
    <row r="93" spans="3:15" x14ac:dyDescent="0.2">
      <c r="C93">
        <v>74</v>
      </c>
      <c r="D93" s="7">
        <v>2554.3058616867775</v>
      </c>
      <c r="E93" s="7"/>
      <c r="F93" s="7">
        <f t="shared" si="4"/>
        <v>206.2665793756033</v>
      </c>
      <c r="G93" s="7"/>
      <c r="H93" s="7"/>
      <c r="I93" s="7"/>
      <c r="J93" s="7">
        <v>0</v>
      </c>
      <c r="K93" s="7"/>
      <c r="L93" s="7">
        <f t="shared" si="5"/>
        <v>0</v>
      </c>
      <c r="M93" s="7"/>
      <c r="N93" s="7"/>
      <c r="O93" s="7"/>
    </row>
    <row r="94" spans="3:15" x14ac:dyDescent="0.2">
      <c r="C94">
        <v>75</v>
      </c>
      <c r="D94" s="7">
        <v>2713.9499780422011</v>
      </c>
      <c r="E94" s="7"/>
      <c r="F94" s="7">
        <f t="shared" si="4"/>
        <v>219.15824058657853</v>
      </c>
      <c r="G94" s="7"/>
      <c r="H94" s="7"/>
      <c r="I94" s="7"/>
      <c r="J94" s="7">
        <v>0</v>
      </c>
      <c r="K94" s="7"/>
      <c r="L94" s="7">
        <f t="shared" si="5"/>
        <v>0</v>
      </c>
      <c r="M94" s="7"/>
      <c r="N94" s="7"/>
      <c r="O94" s="7"/>
    </row>
    <row r="95" spans="3:15" x14ac:dyDescent="0.2">
      <c r="C95">
        <v>76</v>
      </c>
      <c r="D95" s="7">
        <v>2873.5940943976243</v>
      </c>
      <c r="E95" s="7"/>
      <c r="F95" s="7">
        <f t="shared" si="4"/>
        <v>232.0499017975537</v>
      </c>
      <c r="G95" s="7"/>
      <c r="H95" s="7"/>
      <c r="I95" s="7"/>
      <c r="J95" s="7">
        <v>0</v>
      </c>
      <c r="K95" s="7"/>
      <c r="L95" s="7">
        <f t="shared" si="5"/>
        <v>0</v>
      </c>
      <c r="M95" s="7"/>
      <c r="N95" s="7"/>
      <c r="O95" s="7"/>
    </row>
    <row r="96" spans="3:15" x14ac:dyDescent="0.2">
      <c r="C96">
        <v>77</v>
      </c>
      <c r="D96" s="7">
        <v>3192.8823271084716</v>
      </c>
      <c r="E96" s="7"/>
      <c r="F96" s="7">
        <f t="shared" si="4"/>
        <v>257.83322421950413</v>
      </c>
      <c r="G96" s="7"/>
      <c r="H96" s="7"/>
      <c r="I96" s="7"/>
      <c r="J96" s="7">
        <v>0</v>
      </c>
      <c r="K96" s="7"/>
      <c r="L96" s="7">
        <f t="shared" si="5"/>
        <v>0</v>
      </c>
      <c r="M96" s="7"/>
      <c r="N96" s="7"/>
      <c r="O96" s="7"/>
    </row>
    <row r="97" spans="3:15" x14ac:dyDescent="0.2">
      <c r="C97">
        <v>78</v>
      </c>
      <c r="D97" s="7">
        <v>3405.741148915703</v>
      </c>
      <c r="E97" s="7"/>
      <c r="F97" s="7">
        <f t="shared" si="4"/>
        <v>275.02210583413773</v>
      </c>
      <c r="G97" s="7"/>
      <c r="H97" s="7"/>
      <c r="I97" s="7"/>
      <c r="J97" s="7">
        <v>0</v>
      </c>
      <c r="K97" s="7"/>
      <c r="L97" s="7">
        <f t="shared" si="5"/>
        <v>0</v>
      </c>
      <c r="M97" s="7"/>
      <c r="N97" s="7"/>
      <c r="O97" s="7"/>
    </row>
    <row r="98" spans="3:15" x14ac:dyDescent="0.2">
      <c r="C98">
        <v>79</v>
      </c>
      <c r="D98" s="7">
        <v>3435.8878908002325</v>
      </c>
      <c r="E98" s="7"/>
      <c r="F98" s="7">
        <f t="shared" si="4"/>
        <v>277.45653055245816</v>
      </c>
      <c r="G98" s="7"/>
      <c r="H98" s="7"/>
      <c r="I98" s="7"/>
      <c r="J98" s="7">
        <v>182.71207992270138</v>
      </c>
      <c r="K98" s="7"/>
      <c r="L98" s="7">
        <f t="shared" si="5"/>
        <v>11.834675362593293</v>
      </c>
      <c r="M98" s="7"/>
      <c r="N98" s="7"/>
      <c r="O98" s="7"/>
    </row>
    <row r="99" spans="3:15" x14ac:dyDescent="0.2">
      <c r="C99">
        <v>80</v>
      </c>
      <c r="D99" s="7">
        <v>3436.432459460706</v>
      </c>
      <c r="E99" s="7"/>
      <c r="F99" s="7">
        <f t="shared" si="4"/>
        <v>277.50050583220673</v>
      </c>
      <c r="G99" s="7"/>
      <c r="H99" s="7"/>
      <c r="I99" s="7"/>
      <c r="J99" s="7">
        <v>395.02633306945972</v>
      </c>
      <c r="K99" s="7"/>
      <c r="L99" s="7">
        <f t="shared" si="5"/>
        <v>25.586750550541201</v>
      </c>
      <c r="M99" s="7"/>
      <c r="N99" s="7"/>
      <c r="O99" s="7"/>
    </row>
    <row r="100" spans="3:15" x14ac:dyDescent="0.2">
      <c r="C100">
        <v>81</v>
      </c>
      <c r="D100" s="7">
        <v>3436.9856285090364</v>
      </c>
      <c r="E100" s="7"/>
      <c r="F100" s="7">
        <f t="shared" si="4"/>
        <v>277.54517561475978</v>
      </c>
      <c r="G100" s="7"/>
      <c r="H100" s="7"/>
      <c r="I100" s="7"/>
      <c r="J100" s="7">
        <v>607.3319858283603</v>
      </c>
      <c r="K100" s="7"/>
      <c r="L100" s="7">
        <f t="shared" si="5"/>
        <v>39.338268671882823</v>
      </c>
      <c r="M100" s="7"/>
      <c r="N100" s="7"/>
      <c r="O100" s="7"/>
    </row>
    <row r="101" spans="3:15" x14ac:dyDescent="0.2">
      <c r="C101">
        <v>82</v>
      </c>
      <c r="D101" s="7">
        <v>3437.5467975624097</v>
      </c>
      <c r="E101" s="7"/>
      <c r="F101" s="7">
        <f t="shared" si="4"/>
        <v>277.59049141770532</v>
      </c>
      <c r="G101" s="7"/>
      <c r="H101" s="7"/>
      <c r="I101" s="7"/>
      <c r="J101" s="7">
        <v>819.62963858221883</v>
      </c>
      <c r="K101" s="7"/>
      <c r="L101" s="7">
        <f t="shared" si="5"/>
        <v>53.089268614773353</v>
      </c>
      <c r="M101" s="7"/>
      <c r="N101" s="7"/>
      <c r="O101" s="7"/>
    </row>
    <row r="102" spans="3:15" x14ac:dyDescent="0.2">
      <c r="C102">
        <v>83</v>
      </c>
      <c r="D102" s="7">
        <v>3438.1153692456965</v>
      </c>
      <c r="E102" s="7"/>
      <c r="F102" s="7">
        <f t="shared" si="4"/>
        <v>277.63640500150922</v>
      </c>
      <c r="G102" s="7"/>
      <c r="H102" s="7"/>
      <c r="I102" s="7"/>
      <c r="J102" s="7">
        <v>1031.9198887061639</v>
      </c>
      <c r="K102" s="7"/>
      <c r="L102" s="7">
        <f t="shared" si="5"/>
        <v>66.839789072553245</v>
      </c>
      <c r="M102" s="7"/>
      <c r="N102" s="7"/>
      <c r="O102" s="7"/>
    </row>
    <row r="103" spans="3:15" x14ac:dyDescent="0.2">
      <c r="C103">
        <v>84</v>
      </c>
      <c r="D103" s="7">
        <v>3438.6907492302016</v>
      </c>
      <c r="E103" s="7"/>
      <c r="F103" s="7">
        <f t="shared" si="4"/>
        <v>277.68286837264469</v>
      </c>
      <c r="G103" s="7"/>
      <c r="H103" s="7"/>
      <c r="I103" s="7"/>
      <c r="J103" s="7">
        <v>1244.2033305288896</v>
      </c>
      <c r="K103" s="7"/>
      <c r="L103" s="7">
        <f t="shared" si="5"/>
        <v>80.589868541238516</v>
      </c>
      <c r="M103" s="7"/>
      <c r="N103" s="7"/>
      <c r="O103" s="7"/>
    </row>
    <row r="104" spans="3:15" x14ac:dyDescent="0.2">
      <c r="C104">
        <v>85</v>
      </c>
      <c r="D104" s="7">
        <v>3439.272346272111</v>
      </c>
      <c r="E104" s="7"/>
      <c r="F104" s="7">
        <f t="shared" si="4"/>
        <v>277.7298337866967</v>
      </c>
      <c r="G104" s="7"/>
      <c r="H104" s="7"/>
      <c r="I104" s="7"/>
      <c r="J104" s="7">
        <v>1456.4805552942112</v>
      </c>
      <c r="K104" s="7"/>
      <c r="L104" s="7">
        <f t="shared" si="5"/>
        <v>94.33954531703057</v>
      </c>
      <c r="M104" s="7"/>
      <c r="N104" s="7"/>
      <c r="O104" s="7"/>
    </row>
    <row r="105" spans="3:15" x14ac:dyDescent="0.2">
      <c r="C105">
        <v>86</v>
      </c>
      <c r="D105" s="7">
        <v>3439.8595722506502</v>
      </c>
      <c r="E105" s="7"/>
      <c r="F105" s="7">
        <f t="shared" si="4"/>
        <v>277.77725375144354</v>
      </c>
      <c r="G105" s="7"/>
      <c r="H105" s="7"/>
      <c r="I105" s="7"/>
      <c r="J105" s="7">
        <v>1668.7521511229047</v>
      </c>
      <c r="K105" s="7"/>
      <c r="L105" s="7">
        <f t="shared" si="5"/>
        <v>108.08885749384451</v>
      </c>
      <c r="M105" s="7"/>
      <c r="N105" s="7"/>
      <c r="O105" s="7"/>
    </row>
    <row r="106" spans="3:15" x14ac:dyDescent="0.2">
      <c r="C106">
        <v>87</v>
      </c>
      <c r="D106" s="7">
        <v>3440.4520254752247</v>
      </c>
      <c r="E106" s="7"/>
      <c r="F106" s="7">
        <f t="shared" si="4"/>
        <v>277.82509582936615</v>
      </c>
      <c r="G106" s="7"/>
      <c r="H106" s="7"/>
      <c r="I106" s="7"/>
      <c r="J106" s="7">
        <v>1508.5155815429057</v>
      </c>
      <c r="K106" s="7"/>
      <c r="L106" s="7">
        <f t="shared" si="5"/>
        <v>97.709971855866158</v>
      </c>
      <c r="M106" s="7"/>
      <c r="N106" s="7"/>
      <c r="O106" s="7"/>
    </row>
    <row r="107" spans="3:15" x14ac:dyDescent="0.2">
      <c r="C107">
        <v>88</v>
      </c>
      <c r="D107" s="7">
        <v>3441.0495955228703</v>
      </c>
      <c r="E107" s="7"/>
      <c r="F107" s="7">
        <f t="shared" si="4"/>
        <v>277.87335110353433</v>
      </c>
      <c r="G107" s="7"/>
      <c r="H107" s="7"/>
      <c r="I107" s="7"/>
      <c r="J107" s="7">
        <v>1880.4209496579165</v>
      </c>
      <c r="K107" s="7"/>
      <c r="L107" s="7">
        <f t="shared" si="5"/>
        <v>121.79912512427056</v>
      </c>
      <c r="M107" s="7"/>
      <c r="N107" s="7"/>
      <c r="O107" s="7"/>
    </row>
    <row r="108" spans="3:15" x14ac:dyDescent="0.2">
      <c r="C108">
        <v>89</v>
      </c>
      <c r="D108" s="7">
        <v>3441.6512801022286</v>
      </c>
      <c r="E108" s="7"/>
      <c r="F108" s="7">
        <f t="shared" si="4"/>
        <v>277.92193863641711</v>
      </c>
      <c r="G108" s="7"/>
      <c r="H108" s="7"/>
      <c r="I108" s="7"/>
      <c r="J108" s="7">
        <v>2252.3222032412127</v>
      </c>
      <c r="K108" s="7"/>
      <c r="L108" s="7">
        <f t="shared" si="5"/>
        <v>145.88801188513406</v>
      </c>
      <c r="M108" s="7"/>
      <c r="N108" s="7"/>
      <c r="O108" s="7"/>
    </row>
    <row r="109" spans="3:15" x14ac:dyDescent="0.2">
      <c r="C109">
        <v>90</v>
      </c>
      <c r="D109" s="7">
        <v>3442.2558797808083</v>
      </c>
      <c r="E109" s="7"/>
      <c r="F109" s="7">
        <f t="shared" si="4"/>
        <v>277.97076157084433</v>
      </c>
      <c r="G109" s="7"/>
      <c r="H109" s="7"/>
      <c r="I109" s="7"/>
      <c r="J109" s="7">
        <v>2624.2205417252876</v>
      </c>
      <c r="K109" s="7"/>
      <c r="L109" s="7">
        <f t="shared" si="5"/>
        <v>169.97670982841666</v>
      </c>
      <c r="M109" s="7"/>
      <c r="N109" s="7"/>
      <c r="O109" s="7"/>
    </row>
    <row r="110" spans="3:15" x14ac:dyDescent="0.2">
      <c r="C110">
        <v>91</v>
      </c>
      <c r="D110" s="7">
        <v>3442.8626124793182</v>
      </c>
      <c r="E110" s="7"/>
      <c r="F110" s="7">
        <f t="shared" si="4"/>
        <v>278.01975675195951</v>
      </c>
      <c r="G110" s="7"/>
      <c r="H110" s="7"/>
      <c r="I110" s="7"/>
      <c r="J110" s="7">
        <v>2184.5924890493634</v>
      </c>
      <c r="K110" s="7"/>
      <c r="L110" s="7">
        <f t="shared" si="5"/>
        <v>141.50100485089268</v>
      </c>
      <c r="M110" s="7"/>
      <c r="N110" s="7"/>
      <c r="O110" s="7"/>
    </row>
    <row r="111" spans="3:15" x14ac:dyDescent="0.2">
      <c r="C111">
        <v>92</v>
      </c>
      <c r="D111" s="7">
        <v>3443.4723391182388</v>
      </c>
      <c r="E111" s="7"/>
      <c r="F111" s="7">
        <f t="shared" si="4"/>
        <v>278.06899370124222</v>
      </c>
      <c r="G111" s="7"/>
      <c r="H111" s="7"/>
      <c r="I111" s="7"/>
      <c r="J111" s="7">
        <v>1744.9614424330275</v>
      </c>
      <c r="K111" s="7"/>
      <c r="L111" s="7">
        <f t="shared" si="5"/>
        <v>113.02510594906528</v>
      </c>
      <c r="M111" s="7"/>
      <c r="N111" s="7"/>
      <c r="O111" s="7"/>
    </row>
    <row r="112" spans="3:15" x14ac:dyDescent="0.2">
      <c r="C112">
        <v>93</v>
      </c>
      <c r="D112" s="7">
        <v>3444.0863241718484</v>
      </c>
      <c r="E112" s="7"/>
      <c r="F112" s="7">
        <f t="shared" si="4"/>
        <v>278.11857452814922</v>
      </c>
      <c r="G112" s="7"/>
      <c r="H112" s="7"/>
      <c r="I112" s="7"/>
      <c r="J112" s="7">
        <v>1305.3261374020026</v>
      </c>
      <c r="K112" s="7"/>
      <c r="L112" s="7">
        <f t="shared" si="5"/>
        <v>84.548931220070742</v>
      </c>
      <c r="M112" s="7"/>
      <c r="N112" s="7"/>
      <c r="O112" s="7"/>
    </row>
    <row r="113" spans="3:15" x14ac:dyDescent="0.2">
      <c r="C113">
        <v>94</v>
      </c>
      <c r="D113" s="7">
        <v>3444.7058241262012</v>
      </c>
      <c r="E113" s="7"/>
      <c r="F113" s="7">
        <f t="shared" si="4"/>
        <v>278.16860069706826</v>
      </c>
      <c r="G113" s="7"/>
      <c r="H113" s="7"/>
      <c r="I113" s="7"/>
      <c r="J113" s="7">
        <v>865.68531747023644</v>
      </c>
      <c r="K113" s="7"/>
      <c r="L113" s="7">
        <f t="shared" si="5"/>
        <v>56.072399278460843</v>
      </c>
      <c r="M113" s="7"/>
      <c r="N113" s="7"/>
      <c r="O113" s="7"/>
    </row>
    <row r="114" spans="3:15" x14ac:dyDescent="0.2">
      <c r="C114">
        <v>95</v>
      </c>
      <c r="D114" s="7">
        <v>3441.2330563706564</v>
      </c>
      <c r="E114" s="7"/>
      <c r="F114" s="7">
        <f t="shared" si="4"/>
        <v>277.88816602530619</v>
      </c>
      <c r="G114" s="7"/>
      <c r="H114" s="7"/>
      <c r="I114" s="7"/>
      <c r="J114" s="7">
        <v>430.13676524836637</v>
      </c>
      <c r="K114" s="7"/>
      <c r="L114" s="7">
        <f t="shared" si="5"/>
        <v>27.86093278771731</v>
      </c>
      <c r="M114" s="7"/>
      <c r="N114" s="7"/>
      <c r="O114" s="7"/>
    </row>
    <row r="115" spans="3:15" x14ac:dyDescent="0.2">
      <c r="C115">
        <v>96</v>
      </c>
      <c r="D115" s="7">
        <v>3192.8823271084716</v>
      </c>
      <c r="E115" s="7"/>
      <c r="F115" s="7">
        <f t="shared" si="4"/>
        <v>257.83322421950413</v>
      </c>
      <c r="G115" s="7"/>
      <c r="H115" s="7"/>
      <c r="I115" s="7"/>
      <c r="J115" s="7">
        <v>0</v>
      </c>
      <c r="K115" s="7"/>
      <c r="L115" s="7">
        <f t="shared" si="5"/>
        <v>0</v>
      </c>
      <c r="M115" s="7"/>
      <c r="N115" s="7"/>
      <c r="O115" s="7"/>
    </row>
    <row r="116" spans="3:15" x14ac:dyDescent="0.2">
      <c r="C116">
        <v>97</v>
      </c>
      <c r="D116" s="7">
        <v>2713.9499780422011</v>
      </c>
      <c r="E116" s="7"/>
      <c r="F116" s="7">
        <f t="shared" si="4"/>
        <v>219.15824058657853</v>
      </c>
      <c r="G116" s="7"/>
      <c r="H116" s="7"/>
      <c r="I116" s="7"/>
      <c r="J116" s="7">
        <v>0</v>
      </c>
      <c r="K116" s="7"/>
      <c r="L116" s="7">
        <f t="shared" si="5"/>
        <v>0</v>
      </c>
      <c r="M116" s="7"/>
      <c r="N116" s="7"/>
      <c r="O116" s="7"/>
    </row>
    <row r="117" spans="3:15" x14ac:dyDescent="0.2">
      <c r="C117">
        <v>98</v>
      </c>
      <c r="D117" s="7">
        <v>2554.3058616867775</v>
      </c>
      <c r="E117" s="7"/>
      <c r="F117" s="7">
        <f t="shared" si="4"/>
        <v>206.2665793756033</v>
      </c>
      <c r="G117" s="7"/>
      <c r="H117" s="7"/>
      <c r="I117" s="7"/>
      <c r="J117" s="7">
        <v>0</v>
      </c>
      <c r="K117" s="7"/>
      <c r="L117" s="7">
        <f t="shared" si="5"/>
        <v>0</v>
      </c>
      <c r="M117" s="7"/>
      <c r="N117" s="7"/>
      <c r="O117" s="7"/>
    </row>
    <row r="118" spans="3:15" x14ac:dyDescent="0.2">
      <c r="C118">
        <v>99</v>
      </c>
      <c r="D118" s="7">
        <v>2713.9499780422011</v>
      </c>
      <c r="E118" s="7"/>
      <c r="F118" s="7">
        <f t="shared" si="4"/>
        <v>219.15824058657853</v>
      </c>
      <c r="G118" s="7"/>
      <c r="H118" s="7"/>
      <c r="I118" s="7"/>
      <c r="J118" s="7">
        <v>0</v>
      </c>
      <c r="K118" s="7"/>
      <c r="L118" s="7">
        <f t="shared" si="5"/>
        <v>0</v>
      </c>
      <c r="M118" s="7"/>
      <c r="N118" s="7"/>
      <c r="O118" s="7"/>
    </row>
    <row r="119" spans="3:15" x14ac:dyDescent="0.2">
      <c r="C119">
        <v>100</v>
      </c>
      <c r="D119" s="7">
        <v>2873.5940943976243</v>
      </c>
      <c r="E119" s="7"/>
      <c r="F119" s="7">
        <f t="shared" si="4"/>
        <v>232.0499017975537</v>
      </c>
      <c r="G119" s="7"/>
      <c r="H119" s="7"/>
      <c r="I119" s="7"/>
      <c r="J119" s="7">
        <v>0</v>
      </c>
      <c r="K119" s="7"/>
      <c r="L119" s="7">
        <f t="shared" si="5"/>
        <v>0</v>
      </c>
      <c r="M119" s="7"/>
      <c r="N119" s="7"/>
      <c r="O119" s="7"/>
    </row>
    <row r="120" spans="3:15" x14ac:dyDescent="0.2">
      <c r="C120">
        <v>101</v>
      </c>
      <c r="D120" s="7">
        <v>3163.8561241347584</v>
      </c>
      <c r="E120" s="7"/>
      <c r="F120" s="7">
        <f t="shared" si="4"/>
        <v>255.48928581750863</v>
      </c>
      <c r="G120" s="7"/>
      <c r="H120" s="7"/>
      <c r="I120" s="7"/>
      <c r="J120" s="7">
        <v>0</v>
      </c>
      <c r="K120" s="7"/>
      <c r="L120" s="7">
        <f t="shared" si="5"/>
        <v>0</v>
      </c>
      <c r="M120" s="7"/>
      <c r="N120" s="7"/>
      <c r="O120" s="7"/>
    </row>
    <row r="121" spans="3:15" x14ac:dyDescent="0.2">
      <c r="C121">
        <v>102</v>
      </c>
      <c r="D121" s="7">
        <v>3367.0395449507519</v>
      </c>
      <c r="E121" s="7"/>
      <c r="F121" s="7">
        <f t="shared" si="4"/>
        <v>271.89685463147708</v>
      </c>
      <c r="G121" s="7"/>
      <c r="H121" s="7"/>
      <c r="I121" s="7"/>
      <c r="J121" s="7">
        <v>0</v>
      </c>
      <c r="K121" s="7"/>
      <c r="L121" s="7">
        <f t="shared" si="5"/>
        <v>0</v>
      </c>
      <c r="M121" s="7"/>
      <c r="N121" s="7"/>
      <c r="O121" s="7"/>
    </row>
    <row r="122" spans="3:15" x14ac:dyDescent="0.2">
      <c r="C122">
        <v>103</v>
      </c>
      <c r="D122" s="7">
        <v>3405.7179558407543</v>
      </c>
      <c r="E122" s="7"/>
      <c r="F122" s="7">
        <f t="shared" si="4"/>
        <v>275.02023293539577</v>
      </c>
      <c r="G122" s="7"/>
      <c r="H122" s="7"/>
      <c r="I122" s="7"/>
      <c r="J122" s="7">
        <v>164.50500992599109</v>
      </c>
      <c r="K122" s="7"/>
      <c r="L122" s="7">
        <f t="shared" si="5"/>
        <v>10.65536218961514</v>
      </c>
      <c r="M122" s="7"/>
      <c r="N122" s="7"/>
      <c r="O122" s="7"/>
    </row>
    <row r="123" spans="3:15" x14ac:dyDescent="0.2">
      <c r="C123">
        <v>104</v>
      </c>
      <c r="D123" s="7">
        <v>3406.6053599127499</v>
      </c>
      <c r="E123" s="7"/>
      <c r="F123" s="7">
        <f t="shared" si="4"/>
        <v>275.09189303107974</v>
      </c>
      <c r="G123" s="7"/>
      <c r="H123" s="7"/>
      <c r="I123" s="7"/>
      <c r="J123" s="7">
        <v>366.80102666998937</v>
      </c>
      <c r="K123" s="7"/>
      <c r="L123" s="7">
        <f t="shared" si="5"/>
        <v>23.758533508795644</v>
      </c>
      <c r="M123" s="7"/>
      <c r="N123" s="7"/>
      <c r="O123" s="7"/>
    </row>
    <row r="124" spans="3:15" x14ac:dyDescent="0.2">
      <c r="C124">
        <v>105</v>
      </c>
      <c r="D124" s="7">
        <v>3407.49947835695</v>
      </c>
      <c r="E124" s="7"/>
      <c r="F124" s="7">
        <f t="shared" si="4"/>
        <v>275.16409532909267</v>
      </c>
      <c r="G124" s="7"/>
      <c r="H124" s="7"/>
      <c r="I124" s="7"/>
      <c r="J124" s="7">
        <v>569.09032904178321</v>
      </c>
      <c r="K124" s="7"/>
      <c r="L124" s="7">
        <f t="shared" si="5"/>
        <v>36.861269922876623</v>
      </c>
      <c r="M124" s="7"/>
      <c r="N124" s="7"/>
      <c r="O124" s="7"/>
    </row>
    <row r="125" spans="3:15" x14ac:dyDescent="0.2">
      <c r="C125">
        <v>106</v>
      </c>
      <c r="D125" s="7">
        <v>3408.3996002451349</v>
      </c>
      <c r="E125" s="7"/>
      <c r="F125" s="7">
        <f t="shared" si="4"/>
        <v>275.23678242020497</v>
      </c>
      <c r="G125" s="7"/>
      <c r="H125" s="7"/>
      <c r="I125" s="7"/>
      <c r="J125" s="7">
        <v>771.37362796959133</v>
      </c>
      <c r="K125" s="7"/>
      <c r="L125" s="7">
        <f t="shared" si="5"/>
        <v>49.963617480289457</v>
      </c>
      <c r="M125" s="7"/>
      <c r="N125" s="7"/>
      <c r="O125" s="7"/>
    </row>
    <row r="126" spans="3:15" x14ac:dyDescent="0.2">
      <c r="C126">
        <v>107</v>
      </c>
      <c r="D126" s="7">
        <v>3409.3050184033859</v>
      </c>
      <c r="E126" s="7"/>
      <c r="F126" s="7">
        <f t="shared" si="4"/>
        <v>275.30989719835594</v>
      </c>
      <c r="G126" s="7"/>
      <c r="H126" s="7"/>
      <c r="I126" s="7"/>
      <c r="J126" s="7">
        <v>973.65163062733382</v>
      </c>
      <c r="K126" s="7"/>
      <c r="L126" s="7">
        <f t="shared" si="5"/>
        <v>63.065621986291099</v>
      </c>
      <c r="M126" s="7"/>
      <c r="N126" s="7"/>
      <c r="O126" s="7"/>
    </row>
    <row r="127" spans="3:15" x14ac:dyDescent="0.2">
      <c r="C127">
        <v>108</v>
      </c>
      <c r="D127" s="7">
        <v>3410.2150294581252</v>
      </c>
      <c r="E127" s="7"/>
      <c r="F127" s="7">
        <f t="shared" si="4"/>
        <v>275.38338286437209</v>
      </c>
      <c r="G127" s="7"/>
      <c r="H127" s="7"/>
      <c r="I127" s="7"/>
      <c r="J127" s="7">
        <v>1175.925040388589</v>
      </c>
      <c r="K127" s="7"/>
      <c r="L127" s="7">
        <f t="shared" si="5"/>
        <v>76.167328999981748</v>
      </c>
      <c r="M127" s="7"/>
      <c r="N127" s="7"/>
      <c r="O127" s="7"/>
    </row>
    <row r="128" spans="3:15" x14ac:dyDescent="0.2">
      <c r="C128">
        <v>109</v>
      </c>
      <c r="D128" s="7">
        <v>3411.1289338817978</v>
      </c>
      <c r="E128" s="7"/>
      <c r="F128" s="7">
        <f t="shared" si="4"/>
        <v>275.45718292965586</v>
      </c>
      <c r="G128" s="7"/>
      <c r="H128" s="7"/>
      <c r="I128" s="7"/>
      <c r="J128" s="7">
        <v>1378.1945567809107</v>
      </c>
      <c r="K128" s="7"/>
      <c r="L128" s="7">
        <f t="shared" si="5"/>
        <v>89.268783831345914</v>
      </c>
      <c r="M128" s="7"/>
      <c r="N128" s="7"/>
      <c r="O128" s="7"/>
    </row>
    <row r="129" spans="3:15" x14ac:dyDescent="0.2">
      <c r="C129">
        <v>110</v>
      </c>
      <c r="D129" s="7">
        <v>3412.0461848546051</v>
      </c>
      <c r="E129" s="7"/>
      <c r="F129" s="7">
        <f t="shared" si="4"/>
        <v>275.53125323714244</v>
      </c>
      <c r="G129" s="7"/>
      <c r="H129" s="7"/>
      <c r="I129" s="7"/>
      <c r="J129" s="7">
        <v>1286.052096462146</v>
      </c>
      <c r="K129" s="7"/>
      <c r="L129" s="7">
        <f t="shared" si="5"/>
        <v>83.300507921813519</v>
      </c>
      <c r="M129" s="7"/>
      <c r="N129" s="7"/>
      <c r="O129" s="7"/>
    </row>
    <row r="130" spans="3:15" x14ac:dyDescent="0.2">
      <c r="C130">
        <v>111</v>
      </c>
      <c r="D130" s="7">
        <v>3412.9668329276601</v>
      </c>
      <c r="E130" s="7"/>
      <c r="F130" s="7">
        <f t="shared" si="4"/>
        <v>275.6055978689605</v>
      </c>
      <c r="G130" s="7"/>
      <c r="H130" s="7"/>
      <c r="I130" s="7"/>
      <c r="J130" s="7">
        <v>1193.9062390431354</v>
      </c>
      <c r="K130" s="7"/>
      <c r="L130" s="7">
        <f t="shared" si="5"/>
        <v>77.332011974401865</v>
      </c>
      <c r="M130" s="7"/>
      <c r="N130" s="7"/>
      <c r="O130" s="7"/>
    </row>
    <row r="131" spans="3:15" x14ac:dyDescent="0.2">
      <c r="C131">
        <v>112</v>
      </c>
      <c r="D131" s="7">
        <v>3413.8910763880126</v>
      </c>
      <c r="E131" s="7"/>
      <c r="F131" s="7">
        <f t="shared" si="4"/>
        <v>275.68023283728468</v>
      </c>
      <c r="G131" s="7"/>
      <c r="H131" s="7"/>
      <c r="I131" s="7"/>
      <c r="J131" s="7">
        <v>1101.7567862368264</v>
      </c>
      <c r="K131" s="7"/>
      <c r="L131" s="7">
        <f t="shared" si="5"/>
        <v>71.363283145609302</v>
      </c>
      <c r="M131" s="7"/>
      <c r="N131" s="7"/>
      <c r="O131" s="7"/>
    </row>
    <row r="132" spans="3:15" x14ac:dyDescent="0.2">
      <c r="C132">
        <v>113</v>
      </c>
      <c r="D132" s="7">
        <v>3414.8191119744879</v>
      </c>
      <c r="E132" s="7"/>
      <c r="F132" s="7">
        <f t="shared" si="4"/>
        <v>275.75517402926653</v>
      </c>
      <c r="G132" s="7"/>
      <c r="H132" s="7"/>
      <c r="I132" s="7"/>
      <c r="J132" s="7">
        <v>1009.6035413043946</v>
      </c>
      <c r="K132" s="7"/>
      <c r="L132" s="7">
        <f t="shared" si="5"/>
        <v>65.394308692216455</v>
      </c>
      <c r="M132" s="7"/>
      <c r="N132" s="7"/>
      <c r="O132" s="7"/>
    </row>
    <row r="133" spans="3:15" x14ac:dyDescent="0.2">
      <c r="C133">
        <v>114</v>
      </c>
      <c r="D133" s="7">
        <v>3415.7511348649932</v>
      </c>
      <c r="E133" s="7"/>
      <c r="F133" s="7">
        <f t="shared" si="4"/>
        <v>275.83043720600972</v>
      </c>
      <c r="G133" s="7"/>
      <c r="H133" s="7"/>
      <c r="I133" s="7"/>
      <c r="J133" s="7">
        <v>917.44630906793282</v>
      </c>
      <c r="K133" s="7"/>
      <c r="L133" s="7">
        <f t="shared" si="5"/>
        <v>59.425075972108097</v>
      </c>
      <c r="M133" s="7"/>
      <c r="N133" s="7"/>
      <c r="O133" s="7"/>
    </row>
    <row r="134" spans="3:15" x14ac:dyDescent="0.2">
      <c r="C134">
        <v>115</v>
      </c>
      <c r="D134" s="7">
        <v>3416.6873386639982</v>
      </c>
      <c r="E134" s="7"/>
      <c r="F134" s="7">
        <f t="shared" si="4"/>
        <v>275.90603800155878</v>
      </c>
      <c r="G134" s="7"/>
      <c r="H134" s="7"/>
      <c r="I134" s="7"/>
      <c r="J134" s="7">
        <v>825.28489592297137</v>
      </c>
      <c r="K134" s="7"/>
      <c r="L134" s="7">
        <f t="shared" si="5"/>
        <v>53.455572445084094</v>
      </c>
      <c r="M134" s="7"/>
      <c r="N134" s="7"/>
      <c r="O134" s="7"/>
    </row>
    <row r="135" spans="3:15" x14ac:dyDescent="0.2">
      <c r="C135">
        <v>116</v>
      </c>
      <c r="D135" s="7">
        <v>3417.6279153901323</v>
      </c>
      <c r="E135" s="7"/>
      <c r="F135" s="7">
        <f t="shared" si="4"/>
        <v>275.98199192189782</v>
      </c>
      <c r="G135" s="7"/>
      <c r="H135" s="7"/>
      <c r="I135" s="7"/>
      <c r="J135" s="7">
        <v>733.1191098508807</v>
      </c>
      <c r="K135" s="7"/>
      <c r="L135" s="7">
        <f t="shared" si="5"/>
        <v>47.485785673662789</v>
      </c>
      <c r="M135" s="7"/>
      <c r="N135" s="7"/>
      <c r="O135" s="7"/>
    </row>
    <row r="136" spans="3:15" x14ac:dyDescent="0.2">
      <c r="C136">
        <v>117</v>
      </c>
      <c r="D136" s="7">
        <v>3418.572847959354</v>
      </c>
      <c r="E136" s="7"/>
      <c r="F136" s="7">
        <f t="shared" si="4"/>
        <v>276.05829758744767</v>
      </c>
      <c r="G136" s="7"/>
      <c r="H136" s="7"/>
      <c r="I136" s="7"/>
      <c r="J136" s="7">
        <v>1051.4624099925063</v>
      </c>
      <c r="K136" s="7"/>
      <c r="L136" s="7">
        <f t="shared" si="5"/>
        <v>68.105602451111892</v>
      </c>
      <c r="M136" s="7"/>
      <c r="N136" s="7"/>
      <c r="O136" s="7"/>
    </row>
    <row r="137" spans="3:15" x14ac:dyDescent="0.2">
      <c r="C137">
        <v>118</v>
      </c>
      <c r="D137" s="7">
        <v>3419.5216936934412</v>
      </c>
      <c r="E137" s="7"/>
      <c r="F137" s="7">
        <f t="shared" si="4"/>
        <v>276.13491925083611</v>
      </c>
      <c r="G137" s="7"/>
      <c r="H137" s="7"/>
      <c r="I137" s="7"/>
      <c r="J137" s="7">
        <v>571.58121519214774</v>
      </c>
      <c r="K137" s="7"/>
      <c r="L137" s="7">
        <f t="shared" si="5"/>
        <v>37.022610262098944</v>
      </c>
      <c r="M137" s="7"/>
      <c r="N137" s="7"/>
      <c r="O137" s="7"/>
    </row>
    <row r="138" spans="3:15" x14ac:dyDescent="0.2">
      <c r="C138">
        <v>119</v>
      </c>
      <c r="D138" s="7">
        <v>3416.3465558225039</v>
      </c>
      <c r="E138" s="7"/>
      <c r="F138" s="7">
        <f t="shared" si="4"/>
        <v>275.87851893578079</v>
      </c>
      <c r="G138" s="7"/>
      <c r="H138" s="7"/>
      <c r="I138" s="7"/>
      <c r="J138" s="7">
        <v>95.824003996815009</v>
      </c>
      <c r="K138" s="7"/>
      <c r="L138" s="7">
        <f t="shared" si="5"/>
        <v>6.2067378343343256</v>
      </c>
      <c r="M138" s="7"/>
      <c r="N138" s="7"/>
      <c r="O138" s="7"/>
    </row>
    <row r="139" spans="3:15" x14ac:dyDescent="0.2">
      <c r="C139">
        <v>120</v>
      </c>
      <c r="D139" s="7">
        <v>3033.238210753048</v>
      </c>
      <c r="E139" s="7"/>
      <c r="F139" s="7">
        <f t="shared" si="4"/>
        <v>244.9415630085289</v>
      </c>
      <c r="G139" s="7"/>
      <c r="H139" s="7"/>
      <c r="I139" s="7"/>
      <c r="J139" s="7">
        <v>0</v>
      </c>
      <c r="K139" s="7"/>
      <c r="L139" s="7">
        <f t="shared" si="5"/>
        <v>0</v>
      </c>
      <c r="M139" s="7"/>
      <c r="N139" s="7"/>
      <c r="O139" s="7"/>
    </row>
    <row r="140" spans="3:15" x14ac:dyDescent="0.2">
      <c r="C140">
        <v>121</v>
      </c>
      <c r="D140" s="7">
        <v>2554.3058616867775</v>
      </c>
      <c r="E140" s="7"/>
      <c r="F140" s="7">
        <f t="shared" si="4"/>
        <v>206.2665793756033</v>
      </c>
      <c r="G140" s="7"/>
      <c r="H140" s="7"/>
      <c r="I140" s="7"/>
      <c r="J140" s="7">
        <v>0</v>
      </c>
      <c r="K140" s="7"/>
      <c r="L140" s="7">
        <f t="shared" si="5"/>
        <v>0</v>
      </c>
      <c r="M140" s="7"/>
      <c r="N140" s="7"/>
      <c r="O140" s="7"/>
    </row>
    <row r="141" spans="3:15" x14ac:dyDescent="0.2">
      <c r="C141">
        <v>122</v>
      </c>
      <c r="D141" s="7">
        <v>2554.3058616867775</v>
      </c>
      <c r="E141" s="7"/>
      <c r="F141" s="7">
        <f t="shared" si="4"/>
        <v>206.2665793756033</v>
      </c>
      <c r="G141" s="7"/>
      <c r="H141" s="7"/>
      <c r="I141" s="7"/>
      <c r="J141" s="7">
        <v>0</v>
      </c>
      <c r="K141" s="7"/>
      <c r="L141" s="7">
        <f t="shared" si="5"/>
        <v>0</v>
      </c>
      <c r="M141" s="7"/>
      <c r="N141" s="7"/>
      <c r="O141" s="7"/>
    </row>
    <row r="142" spans="3:15" x14ac:dyDescent="0.2">
      <c r="C142">
        <v>123</v>
      </c>
      <c r="D142" s="7">
        <v>2736.7562803786905</v>
      </c>
      <c r="E142" s="7"/>
      <c r="F142" s="7">
        <f t="shared" si="4"/>
        <v>220.9999064738607</v>
      </c>
      <c r="G142" s="7"/>
      <c r="H142" s="7"/>
      <c r="I142" s="7"/>
      <c r="J142" s="7">
        <v>0</v>
      </c>
      <c r="K142" s="7"/>
      <c r="L142" s="7">
        <f t="shared" si="5"/>
        <v>0</v>
      </c>
      <c r="M142" s="7"/>
      <c r="N142" s="7"/>
      <c r="O142" s="7"/>
    </row>
    <row r="143" spans="3:15" x14ac:dyDescent="0.2">
      <c r="C143">
        <v>124</v>
      </c>
      <c r="D143" s="7">
        <v>2919.2066990706026</v>
      </c>
      <c r="E143" s="7"/>
      <c r="F143" s="7">
        <f t="shared" si="4"/>
        <v>235.73323357211805</v>
      </c>
      <c r="G143" s="7"/>
      <c r="H143" s="7"/>
      <c r="I143" s="7"/>
      <c r="J143" s="7">
        <v>0</v>
      </c>
      <c r="K143" s="7"/>
      <c r="L143" s="7">
        <f t="shared" si="5"/>
        <v>0</v>
      </c>
      <c r="M143" s="7"/>
      <c r="N143" s="7"/>
      <c r="O143" s="7"/>
    </row>
    <row r="144" spans="3:15" x14ac:dyDescent="0.2">
      <c r="C144">
        <v>125</v>
      </c>
      <c r="D144" s="7">
        <v>3101.6571177625156</v>
      </c>
      <c r="E144" s="7"/>
      <c r="F144" s="7">
        <f t="shared" si="4"/>
        <v>250.46656067037546</v>
      </c>
      <c r="G144" s="7"/>
      <c r="H144" s="7"/>
      <c r="I144" s="7"/>
      <c r="J144" s="7">
        <v>0</v>
      </c>
      <c r="K144" s="7"/>
      <c r="L144" s="7">
        <f t="shared" si="5"/>
        <v>0</v>
      </c>
      <c r="M144" s="7"/>
      <c r="N144" s="7"/>
      <c r="O144" s="7"/>
    </row>
    <row r="145" spans="3:15" x14ac:dyDescent="0.2">
      <c r="C145">
        <v>126</v>
      </c>
      <c r="D145" s="7">
        <v>3284.1075364544286</v>
      </c>
      <c r="E145" s="7"/>
      <c r="F145" s="7">
        <f t="shared" si="4"/>
        <v>265.19988776863283</v>
      </c>
      <c r="G145" s="7"/>
      <c r="H145" s="7"/>
      <c r="I145" s="7"/>
      <c r="J145" s="7">
        <v>0</v>
      </c>
      <c r="K145" s="7"/>
      <c r="L145" s="7">
        <f t="shared" si="5"/>
        <v>0</v>
      </c>
      <c r="M145" s="7"/>
      <c r="N145" s="7"/>
      <c r="O145" s="7"/>
    </row>
    <row r="146" spans="3:15" x14ac:dyDescent="0.2">
      <c r="C146">
        <v>127</v>
      </c>
      <c r="D146" s="7">
        <v>3383.5081219151266</v>
      </c>
      <c r="E146" s="7"/>
      <c r="F146" s="7">
        <f t="shared" si="4"/>
        <v>273.22673336235943</v>
      </c>
      <c r="G146" s="7"/>
      <c r="H146" s="7"/>
      <c r="I146" s="7"/>
      <c r="J146" s="7">
        <v>83.049833231214507</v>
      </c>
      <c r="K146" s="7"/>
      <c r="L146" s="7">
        <f t="shared" si="5"/>
        <v>5.3793258531387229</v>
      </c>
      <c r="M146" s="7"/>
      <c r="N146" s="7"/>
      <c r="O146" s="7"/>
    </row>
    <row r="147" spans="3:15" x14ac:dyDescent="0.2">
      <c r="C147">
        <v>128</v>
      </c>
      <c r="D147" s="7">
        <v>3385.5818829633945</v>
      </c>
      <c r="E147" s="7"/>
      <c r="F147" s="7">
        <f t="shared" si="4"/>
        <v>273.3941947475775</v>
      </c>
      <c r="G147" s="7"/>
      <c r="H147" s="7"/>
      <c r="I147" s="7"/>
      <c r="J147" s="7">
        <v>263.42649087485916</v>
      </c>
      <c r="K147" s="7"/>
      <c r="L147" s="7">
        <f t="shared" si="5"/>
        <v>17.062730623667729</v>
      </c>
      <c r="M147" s="7"/>
      <c r="N147" s="7"/>
      <c r="O147" s="7"/>
    </row>
    <row r="148" spans="3:15" x14ac:dyDescent="0.2">
      <c r="C148">
        <v>129</v>
      </c>
      <c r="D148" s="7">
        <v>3383.5203971219967</v>
      </c>
      <c r="E148" s="7"/>
      <c r="F148" s="7">
        <f t="shared" si="4"/>
        <v>273.22772461597953</v>
      </c>
      <c r="G148" s="7"/>
      <c r="H148" s="7"/>
      <c r="I148" s="7"/>
      <c r="J148" s="7">
        <v>447.93839540816998</v>
      </c>
      <c r="K148" s="7"/>
      <c r="L148" s="7">
        <f t="shared" si="5"/>
        <v>29.013984703908921</v>
      </c>
      <c r="M148" s="7"/>
      <c r="N148" s="7"/>
      <c r="O148" s="7"/>
    </row>
    <row r="149" spans="3:15" x14ac:dyDescent="0.2">
      <c r="C149">
        <v>130</v>
      </c>
      <c r="D149" s="7">
        <v>3379.0874526143966</v>
      </c>
      <c r="E149" s="7"/>
      <c r="F149" s="7">
        <f t="shared" ref="F149:F212" si="6">D149*(1-($C$2/($D$8-$D$6)*LN($D$8/$D$6)))</f>
        <v>272.86975327282147</v>
      </c>
      <c r="G149" s="7"/>
      <c r="H149" s="7"/>
      <c r="I149" s="7"/>
      <c r="J149" s="7">
        <v>634.82175860768257</v>
      </c>
      <c r="K149" s="7"/>
      <c r="L149" s="7">
        <f t="shared" ref="L149:L212" si="7">J149*(1-$C$2/($D$10-$D$9)*LN($D$10/$D$9))</f>
        <v>41.118843534652541</v>
      </c>
      <c r="M149" s="7"/>
      <c r="N149" s="7"/>
      <c r="O149" s="7"/>
    </row>
    <row r="150" spans="3:15" x14ac:dyDescent="0.2">
      <c r="C150">
        <v>131</v>
      </c>
      <c r="D150" s="7">
        <v>3374.6820083129969</v>
      </c>
      <c r="E150" s="7"/>
      <c r="F150" s="7">
        <f t="shared" si="6"/>
        <v>272.51400264001381</v>
      </c>
      <c r="G150" s="7"/>
      <c r="H150" s="7"/>
      <c r="I150" s="7"/>
      <c r="J150" s="7">
        <v>821.67762160099483</v>
      </c>
      <c r="K150" s="7"/>
      <c r="L150" s="7">
        <f t="shared" si="7"/>
        <v>53.221921114737071</v>
      </c>
      <c r="M150" s="7"/>
      <c r="N150" s="7"/>
      <c r="O150" s="7"/>
    </row>
    <row r="151" spans="3:15" x14ac:dyDescent="0.2">
      <c r="C151">
        <v>132</v>
      </c>
      <c r="D151" s="7">
        <v>3370.3039659775927</v>
      </c>
      <c r="E151" s="7"/>
      <c r="F151" s="7">
        <f t="shared" si="6"/>
        <v>272.1604647844145</v>
      </c>
      <c r="G151" s="7"/>
      <c r="H151" s="7"/>
      <c r="I151" s="7"/>
      <c r="J151" s="7">
        <v>1008.506082628312</v>
      </c>
      <c r="K151" s="7"/>
      <c r="L151" s="7">
        <f t="shared" si="7"/>
        <v>65.323223807403181</v>
      </c>
      <c r="M151" s="7"/>
      <c r="N151" s="7"/>
      <c r="O151" s="7"/>
    </row>
    <row r="152" spans="3:15" x14ac:dyDescent="0.2">
      <c r="C152">
        <v>133</v>
      </c>
      <c r="D152" s="7">
        <v>3365.9532276452023</v>
      </c>
      <c r="E152" s="7"/>
      <c r="F152" s="7">
        <f t="shared" si="6"/>
        <v>271.80913179526817</v>
      </c>
      <c r="G152" s="7"/>
      <c r="H152" s="7"/>
      <c r="I152" s="7"/>
      <c r="J152" s="7">
        <v>1104.082030306658</v>
      </c>
      <c r="K152" s="7"/>
      <c r="L152" s="7">
        <f t="shared" si="7"/>
        <v>71.51389447200269</v>
      </c>
      <c r="M152" s="7"/>
      <c r="N152" s="7"/>
      <c r="O152" s="7"/>
    </row>
    <row r="153" spans="3:15" x14ac:dyDescent="0.2">
      <c r="C153">
        <v>134</v>
      </c>
      <c r="D153" s="7">
        <v>3361.6296956294218</v>
      </c>
      <c r="E153" s="7"/>
      <c r="F153" s="7">
        <f t="shared" si="6"/>
        <v>271.45999578415353</v>
      </c>
      <c r="G153" s="7"/>
      <c r="H153" s="7"/>
      <c r="I153" s="7"/>
      <c r="J153" s="7">
        <v>1108.4055623224385</v>
      </c>
      <c r="K153" s="7"/>
      <c r="L153" s="7">
        <f t="shared" si="7"/>
        <v>71.793939435905386</v>
      </c>
      <c r="M153" s="7"/>
      <c r="N153" s="7"/>
      <c r="O153" s="7"/>
    </row>
    <row r="154" spans="3:15" x14ac:dyDescent="0.2">
      <c r="C154">
        <v>135</v>
      </c>
      <c r="D154" s="7">
        <v>3357.3332725197615</v>
      </c>
      <c r="E154" s="7"/>
      <c r="F154" s="7">
        <f t="shared" si="6"/>
        <v>271.11304888493032</v>
      </c>
      <c r="G154" s="7"/>
      <c r="H154" s="7"/>
      <c r="I154" s="7"/>
      <c r="J154" s="7">
        <v>1568.8280321618804</v>
      </c>
      <c r="K154" s="7"/>
      <c r="L154" s="7">
        <f t="shared" si="7"/>
        <v>101.61654592420349</v>
      </c>
      <c r="M154" s="7"/>
      <c r="N154" s="7"/>
      <c r="O154" s="7"/>
    </row>
    <row r="155" spans="3:15" x14ac:dyDescent="0.2">
      <c r="C155">
        <v>136</v>
      </c>
      <c r="D155" s="7">
        <v>3355.4579349690989</v>
      </c>
      <c r="E155" s="7"/>
      <c r="F155" s="7">
        <f t="shared" si="6"/>
        <v>270.96161069283602</v>
      </c>
      <c r="G155" s="7"/>
      <c r="H155" s="7"/>
      <c r="I155" s="7"/>
      <c r="J155" s="7">
        <v>1753.153788404456</v>
      </c>
      <c r="K155" s="7"/>
      <c r="L155" s="7">
        <f t="shared" si="7"/>
        <v>113.55574275792281</v>
      </c>
      <c r="M155" s="7"/>
      <c r="N155" s="7"/>
      <c r="O155" s="7"/>
    </row>
    <row r="156" spans="3:15" x14ac:dyDescent="0.2">
      <c r="C156">
        <v>137</v>
      </c>
      <c r="D156" s="7">
        <v>3357.7288356313484</v>
      </c>
      <c r="E156" s="7"/>
      <c r="F156" s="7">
        <f t="shared" si="6"/>
        <v>271.14499159436775</v>
      </c>
      <c r="G156" s="7"/>
      <c r="H156" s="7"/>
      <c r="I156" s="7"/>
      <c r="J156" s="7">
        <v>1495.4523015735285</v>
      </c>
      <c r="K156" s="7"/>
      <c r="L156" s="7">
        <f t="shared" si="7"/>
        <v>96.863833616546387</v>
      </c>
      <c r="M156" s="7"/>
      <c r="N156" s="7"/>
      <c r="O156" s="7"/>
    </row>
    <row r="157" spans="3:15" x14ac:dyDescent="0.2">
      <c r="C157">
        <v>138</v>
      </c>
      <c r="D157" s="7">
        <v>3359.9973255642376</v>
      </c>
      <c r="E157" s="7"/>
      <c r="F157" s="7">
        <f t="shared" si="6"/>
        <v>271.32817782348133</v>
      </c>
      <c r="G157" s="7"/>
      <c r="H157" s="7"/>
      <c r="I157" s="7"/>
      <c r="J157" s="7">
        <v>1237.7532254719613</v>
      </c>
      <c r="K157" s="7"/>
      <c r="L157" s="7">
        <f t="shared" si="7"/>
        <v>80.172080623572299</v>
      </c>
      <c r="M157" s="7"/>
      <c r="N157" s="7"/>
      <c r="O157" s="7"/>
    </row>
    <row r="158" spans="3:15" x14ac:dyDescent="0.2">
      <c r="C158">
        <v>139</v>
      </c>
      <c r="D158" s="7">
        <v>3362.2640554266582</v>
      </c>
      <c r="E158" s="7"/>
      <c r="F158" s="7">
        <f t="shared" si="6"/>
        <v>271.51122192250762</v>
      </c>
      <c r="G158" s="7"/>
      <c r="H158" s="7"/>
      <c r="I158" s="7"/>
      <c r="J158" s="7">
        <v>1107.7712025252022</v>
      </c>
      <c r="K158" s="7"/>
      <c r="L158" s="7">
        <f t="shared" si="7"/>
        <v>71.752850514655364</v>
      </c>
      <c r="M158" s="7"/>
      <c r="N158" s="7"/>
      <c r="O158" s="7"/>
    </row>
    <row r="159" spans="3:15" x14ac:dyDescent="0.2">
      <c r="C159">
        <v>140</v>
      </c>
      <c r="D159" s="7">
        <v>3364.5295430720075</v>
      </c>
      <c r="E159" s="7"/>
      <c r="F159" s="7">
        <f t="shared" si="6"/>
        <v>271.69416570940217</v>
      </c>
      <c r="G159" s="7"/>
      <c r="H159" s="7"/>
      <c r="I159" s="7"/>
      <c r="J159" s="7">
        <v>722.35983562683532</v>
      </c>
      <c r="K159" s="7"/>
      <c r="L159" s="7">
        <f t="shared" si="7"/>
        <v>46.788883106341764</v>
      </c>
      <c r="M159" s="7"/>
      <c r="N159" s="7"/>
      <c r="O159" s="7"/>
    </row>
    <row r="160" spans="3:15" x14ac:dyDescent="0.2">
      <c r="C160">
        <v>141</v>
      </c>
      <c r="D160" s="7">
        <v>3366.794689771084</v>
      </c>
      <c r="E160" s="7"/>
      <c r="F160" s="7">
        <f t="shared" si="6"/>
        <v>271.87708196403344</v>
      </c>
      <c r="G160" s="7"/>
      <c r="H160" s="7"/>
      <c r="I160" s="7"/>
      <c r="J160" s="7">
        <v>464.66410275908129</v>
      </c>
      <c r="K160" s="7"/>
      <c r="L160" s="7">
        <f t="shared" si="7"/>
        <v>30.097346662196067</v>
      </c>
      <c r="M160" s="7"/>
      <c r="N160" s="7"/>
      <c r="O160" s="7"/>
    </row>
    <row r="161" spans="3:15" x14ac:dyDescent="0.2">
      <c r="C161">
        <v>142</v>
      </c>
      <c r="D161" s="7">
        <v>3369.0602619248098</v>
      </c>
      <c r="E161" s="7"/>
      <c r="F161" s="7">
        <f t="shared" si="6"/>
        <v>272.06003257519046</v>
      </c>
      <c r="G161" s="7"/>
      <c r="H161" s="7"/>
      <c r="I161" s="7"/>
      <c r="J161" s="7">
        <v>206.96794443667795</v>
      </c>
      <c r="K161" s="7"/>
      <c r="L161" s="7">
        <f t="shared" si="7"/>
        <v>13.405782660388841</v>
      </c>
      <c r="M161" s="7"/>
      <c r="N161" s="7"/>
      <c r="O161" s="7"/>
    </row>
    <row r="162" spans="3:15" x14ac:dyDescent="0.2">
      <c r="C162">
        <v>143</v>
      </c>
      <c r="D162" s="7">
        <v>2873.5940943976243</v>
      </c>
      <c r="E162" s="7"/>
      <c r="F162" s="7">
        <f t="shared" si="6"/>
        <v>232.0499017975537</v>
      </c>
      <c r="G162" s="7"/>
      <c r="H162" s="7"/>
      <c r="I162" s="7"/>
      <c r="J162" s="7">
        <v>0</v>
      </c>
      <c r="K162" s="7"/>
      <c r="L162" s="7">
        <f t="shared" si="7"/>
        <v>0</v>
      </c>
      <c r="M162" s="7"/>
      <c r="N162" s="7"/>
      <c r="O162" s="7"/>
    </row>
    <row r="163" spans="3:15" x14ac:dyDescent="0.2">
      <c r="C163">
        <v>144</v>
      </c>
      <c r="D163" s="7">
        <v>2713.9499780422011</v>
      </c>
      <c r="E163" s="7"/>
      <c r="F163" s="7">
        <f t="shared" si="6"/>
        <v>219.15824058657853</v>
      </c>
      <c r="G163" s="7"/>
      <c r="H163" s="7"/>
      <c r="I163" s="7"/>
      <c r="J163" s="7">
        <v>0</v>
      </c>
      <c r="K163" s="7"/>
      <c r="L163" s="7">
        <f t="shared" si="7"/>
        <v>0</v>
      </c>
      <c r="M163" s="7"/>
      <c r="N163" s="7"/>
      <c r="O163" s="7"/>
    </row>
    <row r="164" spans="3:15" x14ac:dyDescent="0.2">
      <c r="C164">
        <v>145</v>
      </c>
      <c r="D164" s="7">
        <v>2554.3058616867775</v>
      </c>
      <c r="E164" s="7"/>
      <c r="F164" s="7">
        <f t="shared" si="6"/>
        <v>206.2665793756033</v>
      </c>
      <c r="G164" s="7"/>
      <c r="H164" s="7"/>
      <c r="I164" s="7"/>
      <c r="J164" s="7">
        <v>0</v>
      </c>
      <c r="K164" s="7"/>
      <c r="L164" s="7">
        <f t="shared" si="7"/>
        <v>0</v>
      </c>
      <c r="M164" s="7"/>
      <c r="N164" s="7"/>
      <c r="O164" s="7"/>
    </row>
    <row r="165" spans="3:15" x14ac:dyDescent="0.2">
      <c r="C165">
        <v>146</v>
      </c>
      <c r="D165" s="7">
        <v>2554.3058616867775</v>
      </c>
      <c r="E165" s="7"/>
      <c r="F165" s="7">
        <f t="shared" si="6"/>
        <v>206.2665793756033</v>
      </c>
      <c r="G165" s="7"/>
      <c r="H165" s="7"/>
      <c r="I165" s="7"/>
      <c r="J165" s="7">
        <v>0</v>
      </c>
      <c r="K165" s="7"/>
      <c r="L165" s="7">
        <f t="shared" si="7"/>
        <v>0</v>
      </c>
      <c r="M165" s="7"/>
      <c r="N165" s="7"/>
      <c r="O165" s="7"/>
    </row>
    <row r="166" spans="3:15" x14ac:dyDescent="0.2">
      <c r="C166">
        <v>147</v>
      </c>
      <c r="D166" s="7">
        <v>2713.9499780422016</v>
      </c>
      <c r="E166" s="7"/>
      <c r="F166" s="7">
        <f t="shared" si="6"/>
        <v>219.15824058657856</v>
      </c>
      <c r="G166" s="7"/>
      <c r="H166" s="7"/>
      <c r="I166" s="7"/>
      <c r="J166" s="7">
        <v>0</v>
      </c>
      <c r="K166" s="7"/>
      <c r="L166" s="7">
        <f t="shared" si="7"/>
        <v>0</v>
      </c>
      <c r="M166" s="7"/>
      <c r="N166" s="7"/>
      <c r="O166" s="7"/>
    </row>
    <row r="167" spans="3:15" x14ac:dyDescent="0.2">
      <c r="C167">
        <v>148</v>
      </c>
      <c r="D167" s="7">
        <v>2873.5940943976243</v>
      </c>
      <c r="E167" s="7"/>
      <c r="F167" s="7">
        <f t="shared" si="6"/>
        <v>232.0499017975537</v>
      </c>
      <c r="G167" s="7"/>
      <c r="H167" s="7"/>
      <c r="I167" s="7"/>
      <c r="J167" s="7">
        <v>0</v>
      </c>
      <c r="K167" s="7"/>
      <c r="L167" s="7">
        <f t="shared" si="7"/>
        <v>0</v>
      </c>
      <c r="M167" s="7"/>
      <c r="N167" s="7"/>
      <c r="O167" s="7"/>
    </row>
    <row r="168" spans="3:15" x14ac:dyDescent="0.2">
      <c r="C168">
        <v>149</v>
      </c>
      <c r="D168" s="7">
        <v>3033.238210753048</v>
      </c>
      <c r="E168" s="7"/>
      <c r="F168" s="7">
        <f t="shared" si="6"/>
        <v>244.9415630085289</v>
      </c>
      <c r="G168" s="7"/>
      <c r="H168" s="7"/>
      <c r="I168" s="7"/>
      <c r="J168" s="7">
        <v>0</v>
      </c>
      <c r="K168" s="7"/>
      <c r="L168" s="7">
        <f t="shared" si="7"/>
        <v>0</v>
      </c>
      <c r="M168" s="7"/>
      <c r="N168" s="7"/>
      <c r="O168" s="7"/>
    </row>
    <row r="169" spans="3:15" x14ac:dyDescent="0.2">
      <c r="C169">
        <v>150</v>
      </c>
      <c r="D169" s="7">
        <v>3192.8823271084716</v>
      </c>
      <c r="E169" s="7"/>
      <c r="F169" s="7">
        <f t="shared" si="6"/>
        <v>257.83322421950413</v>
      </c>
      <c r="G169" s="7"/>
      <c r="H169" s="7"/>
      <c r="I169" s="7"/>
      <c r="J169" s="7">
        <v>0</v>
      </c>
      <c r="K169" s="7"/>
      <c r="L169" s="7">
        <f t="shared" si="7"/>
        <v>0</v>
      </c>
      <c r="M169" s="7"/>
      <c r="N169" s="7"/>
      <c r="O169" s="7"/>
    </row>
    <row r="170" spans="3:15" x14ac:dyDescent="0.2">
      <c r="C170">
        <v>151</v>
      </c>
      <c r="D170" s="7">
        <v>3345.6977568968609</v>
      </c>
      <c r="E170" s="7"/>
      <c r="F170" s="7">
        <f t="shared" si="6"/>
        <v>270.17345193109406</v>
      </c>
      <c r="G170" s="7"/>
      <c r="H170" s="7"/>
      <c r="I170" s="7"/>
      <c r="J170" s="7">
        <v>6.8286865670343104</v>
      </c>
      <c r="K170" s="7"/>
      <c r="L170" s="7">
        <f t="shared" si="7"/>
        <v>0.44230949977660283</v>
      </c>
      <c r="M170" s="7"/>
      <c r="N170" s="7"/>
      <c r="O170" s="7"/>
    </row>
    <row r="171" spans="3:15" x14ac:dyDescent="0.2">
      <c r="C171">
        <v>152</v>
      </c>
      <c r="D171" s="7">
        <v>3348.1554559089964</v>
      </c>
      <c r="E171" s="7"/>
      <c r="F171" s="7">
        <f t="shared" si="6"/>
        <v>270.37191726602975</v>
      </c>
      <c r="G171" s="7"/>
      <c r="H171" s="7"/>
      <c r="I171" s="7"/>
      <c r="J171" s="7">
        <v>164.01510391032252</v>
      </c>
      <c r="K171" s="7"/>
      <c r="L171" s="7">
        <f t="shared" si="7"/>
        <v>10.623629867066615</v>
      </c>
      <c r="M171" s="7"/>
      <c r="N171" s="7"/>
      <c r="O171" s="7"/>
    </row>
    <row r="172" spans="3:15" x14ac:dyDescent="0.2">
      <c r="C172">
        <v>153</v>
      </c>
      <c r="D172" s="7">
        <v>3346.4666957262325</v>
      </c>
      <c r="E172" s="7"/>
      <c r="F172" s="7">
        <f t="shared" si="6"/>
        <v>270.23554566249192</v>
      </c>
      <c r="G172" s="7"/>
      <c r="H172" s="7"/>
      <c r="I172" s="7"/>
      <c r="J172" s="7">
        <v>325.3479804485105</v>
      </c>
      <c r="K172" s="7"/>
      <c r="L172" s="7">
        <f t="shared" si="7"/>
        <v>21.073525790480989</v>
      </c>
      <c r="M172" s="7"/>
      <c r="N172" s="7"/>
      <c r="O172" s="7"/>
    </row>
    <row r="173" spans="3:15" x14ac:dyDescent="0.2">
      <c r="C173">
        <v>154</v>
      </c>
      <c r="D173" s="7">
        <v>3342.3786994759985</v>
      </c>
      <c r="E173" s="7"/>
      <c r="F173" s="7">
        <f t="shared" si="6"/>
        <v>269.90542975284933</v>
      </c>
      <c r="G173" s="7"/>
      <c r="H173" s="7"/>
      <c r="I173" s="7"/>
      <c r="J173" s="7">
        <v>489.08009305416817</v>
      </c>
      <c r="K173" s="7"/>
      <c r="L173" s="7">
        <f t="shared" si="7"/>
        <v>31.678825669609413</v>
      </c>
      <c r="M173" s="7"/>
      <c r="N173" s="7"/>
      <c r="O173" s="7"/>
    </row>
    <row r="174" spans="3:15" x14ac:dyDescent="0.2">
      <c r="C174">
        <v>155</v>
      </c>
      <c r="D174" s="7">
        <v>3338.31685390744</v>
      </c>
      <c r="E174" s="7"/>
      <c r="F174" s="7">
        <f t="shared" si="6"/>
        <v>269.57742557608043</v>
      </c>
      <c r="G174" s="7"/>
      <c r="H174" s="7"/>
      <c r="I174" s="7"/>
      <c r="J174" s="7">
        <v>652.78605497814988</v>
      </c>
      <c r="K174" s="7"/>
      <c r="L174" s="7">
        <f t="shared" si="7"/>
        <v>42.282431709839628</v>
      </c>
      <c r="M174" s="7"/>
      <c r="N174" s="7"/>
      <c r="O174" s="7"/>
    </row>
    <row r="175" spans="3:15" x14ac:dyDescent="0.2">
      <c r="C175">
        <v>156</v>
      </c>
      <c r="D175" s="7">
        <v>3334.2810647960232</v>
      </c>
      <c r="E175" s="7"/>
      <c r="F175" s="7">
        <f t="shared" si="6"/>
        <v>269.25152552331872</v>
      </c>
      <c r="G175" s="7"/>
      <c r="H175" s="7"/>
      <c r="I175" s="7"/>
      <c r="J175" s="7">
        <v>816.46596044499074</v>
      </c>
      <c r="K175" s="7"/>
      <c r="L175" s="7">
        <f t="shared" si="7"/>
        <v>52.884350014308247</v>
      </c>
      <c r="M175" s="7"/>
      <c r="N175" s="7"/>
      <c r="O175" s="7"/>
    </row>
    <row r="176" spans="3:15" x14ac:dyDescent="0.2">
      <c r="C176">
        <v>157</v>
      </c>
      <c r="D176" s="7">
        <v>3330.271238184544</v>
      </c>
      <c r="E176" s="7"/>
      <c r="F176" s="7">
        <f t="shared" si="6"/>
        <v>268.9277220072853</v>
      </c>
      <c r="G176" s="7"/>
      <c r="H176" s="7"/>
      <c r="I176" s="7"/>
      <c r="J176" s="7">
        <v>980.11990341189357</v>
      </c>
      <c r="K176" s="7"/>
      <c r="L176" s="7">
        <f t="shared" si="7"/>
        <v>63.484586668836158</v>
      </c>
      <c r="M176" s="7"/>
      <c r="N176" s="7"/>
      <c r="O176" s="7"/>
    </row>
    <row r="177" spans="3:15" x14ac:dyDescent="0.2">
      <c r="C177">
        <v>158</v>
      </c>
      <c r="D177" s="7">
        <v>3326.2872803824748</v>
      </c>
      <c r="E177" s="7"/>
      <c r="F177" s="7">
        <f t="shared" si="6"/>
        <v>268.60600746223588</v>
      </c>
      <c r="G177" s="7"/>
      <c r="H177" s="7"/>
      <c r="I177" s="7"/>
      <c r="J177" s="7">
        <v>1143.7479775693873</v>
      </c>
      <c r="K177" s="7"/>
      <c r="L177" s="7">
        <f t="shared" si="7"/>
        <v>74.083147741971189</v>
      </c>
      <c r="M177" s="7"/>
      <c r="N177" s="7"/>
      <c r="O177" s="7"/>
    </row>
    <row r="178" spans="3:15" x14ac:dyDescent="0.2">
      <c r="C178">
        <v>159</v>
      </c>
      <c r="D178" s="7">
        <v>3322.3290979653466</v>
      </c>
      <c r="E178" s="7"/>
      <c r="F178" s="7">
        <f t="shared" si="6"/>
        <v>268.28637434391129</v>
      </c>
      <c r="G178" s="7"/>
      <c r="H178" s="7"/>
      <c r="I178" s="7"/>
      <c r="J178" s="7">
        <v>988.062043631091</v>
      </c>
      <c r="K178" s="7"/>
      <c r="L178" s="7">
        <f t="shared" si="7"/>
        <v>63.999017084264423</v>
      </c>
      <c r="M178" s="7"/>
      <c r="N178" s="7"/>
      <c r="O178" s="7"/>
    </row>
    <row r="179" spans="3:15" x14ac:dyDescent="0.2">
      <c r="C179">
        <v>160</v>
      </c>
      <c r="D179" s="7">
        <v>3320.8117130264177</v>
      </c>
      <c r="E179" s="7"/>
      <c r="F179" s="7">
        <f t="shared" si="6"/>
        <v>268.16384171943452</v>
      </c>
      <c r="G179" s="7"/>
      <c r="H179" s="7"/>
      <c r="I179" s="7"/>
      <c r="J179" s="7">
        <v>1149.2235449254426</v>
      </c>
      <c r="K179" s="7"/>
      <c r="L179" s="7">
        <f t="shared" si="7"/>
        <v>74.437812644873844</v>
      </c>
      <c r="M179" s="7"/>
      <c r="N179" s="7"/>
      <c r="O179" s="7"/>
    </row>
    <row r="180" spans="3:15" x14ac:dyDescent="0.2">
      <c r="C180">
        <v>161</v>
      </c>
      <c r="D180" s="7">
        <v>3323.446079553421</v>
      </c>
      <c r="E180" s="7"/>
      <c r="F180" s="7">
        <f t="shared" si="6"/>
        <v>268.37657339753815</v>
      </c>
      <c r="G180" s="7"/>
      <c r="H180" s="7"/>
      <c r="I180" s="7"/>
      <c r="J180" s="7">
        <v>1785.1656438201339</v>
      </c>
      <c r="K180" s="7"/>
      <c r="L180" s="7">
        <f t="shared" si="7"/>
        <v>115.62922315811912</v>
      </c>
      <c r="M180" s="7"/>
      <c r="N180" s="7"/>
      <c r="O180" s="7"/>
    </row>
    <row r="181" spans="3:15" x14ac:dyDescent="0.2">
      <c r="C181">
        <v>162</v>
      </c>
      <c r="D181" s="7">
        <v>3326.0745594869163</v>
      </c>
      <c r="E181" s="7"/>
      <c r="F181" s="7">
        <f t="shared" si="6"/>
        <v>268.5888297185104</v>
      </c>
      <c r="G181" s="7"/>
      <c r="H181" s="7"/>
      <c r="I181" s="7"/>
      <c r="J181" s="7">
        <v>1622.8930475312141</v>
      </c>
      <c r="K181" s="7"/>
      <c r="L181" s="7">
        <f t="shared" si="7"/>
        <v>105.11845945745414</v>
      </c>
      <c r="M181" s="7"/>
      <c r="N181" s="7"/>
      <c r="O181" s="7"/>
    </row>
    <row r="182" spans="3:15" x14ac:dyDescent="0.2">
      <c r="C182">
        <v>163</v>
      </c>
      <c r="D182" s="7">
        <v>3328.6969490686784</v>
      </c>
      <c r="E182" s="7"/>
      <c r="F182" s="7">
        <f t="shared" si="6"/>
        <v>268.80059422836558</v>
      </c>
      <c r="G182" s="7"/>
      <c r="H182" s="7"/>
      <c r="I182" s="7"/>
      <c r="J182" s="7">
        <v>1939.5588906602984</v>
      </c>
      <c r="K182" s="7"/>
      <c r="L182" s="7">
        <f t="shared" si="7"/>
        <v>125.62962354381389</v>
      </c>
      <c r="M182" s="7"/>
      <c r="N182" s="7"/>
      <c r="O182" s="7"/>
    </row>
    <row r="183" spans="3:15" x14ac:dyDescent="0.2">
      <c r="C183">
        <v>164</v>
      </c>
      <c r="D183" s="7">
        <v>3331.3128202613557</v>
      </c>
      <c r="E183" s="7"/>
      <c r="F183" s="7">
        <f t="shared" si="6"/>
        <v>269.0118323620182</v>
      </c>
      <c r="G183" s="7"/>
      <c r="H183" s="7"/>
      <c r="I183" s="7"/>
      <c r="J183" s="7">
        <v>1585.7259634856905</v>
      </c>
      <c r="K183" s="7"/>
      <c r="L183" s="7">
        <f t="shared" si="7"/>
        <v>102.71106321939982</v>
      </c>
      <c r="M183" s="7"/>
      <c r="N183" s="7"/>
      <c r="O183" s="7"/>
    </row>
    <row r="184" spans="3:15" x14ac:dyDescent="0.2">
      <c r="C184">
        <v>165</v>
      </c>
      <c r="D184" s="7">
        <v>3333.9228601287914</v>
      </c>
      <c r="E184" s="7"/>
      <c r="F184" s="7">
        <f t="shared" si="6"/>
        <v>269.22259960159005</v>
      </c>
      <c r="G184" s="7"/>
      <c r="H184" s="7"/>
      <c r="I184" s="7"/>
      <c r="J184" s="7">
        <v>1231.8988676363233</v>
      </c>
      <c r="K184" s="7"/>
      <c r="L184" s="7">
        <f t="shared" si="7"/>
        <v>79.792880603132815</v>
      </c>
      <c r="M184" s="7"/>
      <c r="N184" s="7"/>
      <c r="O184" s="7"/>
    </row>
    <row r="185" spans="3:15" x14ac:dyDescent="0.2">
      <c r="C185">
        <v>166</v>
      </c>
      <c r="D185" s="7">
        <v>3336.5280896000918</v>
      </c>
      <c r="E185" s="7"/>
      <c r="F185" s="7">
        <f t="shared" si="6"/>
        <v>269.43297838965685</v>
      </c>
      <c r="G185" s="7"/>
      <c r="H185" s="7"/>
      <c r="I185" s="7"/>
      <c r="J185" s="7">
        <v>878.07658218309052</v>
      </c>
      <c r="K185" s="7"/>
      <c r="L185" s="7">
        <f t="shared" si="7"/>
        <v>56.875009567121701</v>
      </c>
      <c r="M185" s="7"/>
      <c r="N185" s="7"/>
      <c r="O185" s="7"/>
    </row>
    <row r="186" spans="3:15" x14ac:dyDescent="0.2">
      <c r="C186">
        <v>167</v>
      </c>
      <c r="D186" s="7">
        <v>3334.9868915041343</v>
      </c>
      <c r="E186" s="7"/>
      <c r="F186" s="7">
        <f t="shared" si="6"/>
        <v>269.30852279326115</v>
      </c>
      <c r="G186" s="7"/>
      <c r="H186" s="7"/>
      <c r="I186" s="7"/>
      <c r="J186" s="7">
        <v>528.40072429711654</v>
      </c>
      <c r="K186" s="7"/>
      <c r="L186" s="7">
        <f t="shared" si="7"/>
        <v>34.225712038640992</v>
      </c>
      <c r="M186" s="7"/>
      <c r="N186" s="7"/>
      <c r="O186" s="7"/>
    </row>
    <row r="187" spans="3:15" x14ac:dyDescent="0.2">
      <c r="C187">
        <v>168</v>
      </c>
      <c r="D187" s="7">
        <v>3331.0562716662826</v>
      </c>
      <c r="E187" s="7"/>
      <c r="F187" s="7">
        <f t="shared" si="6"/>
        <v>268.99111542206867</v>
      </c>
      <c r="G187" s="7"/>
      <c r="H187" s="7"/>
      <c r="I187" s="7"/>
      <c r="J187" s="7">
        <v>181.11428815303634</v>
      </c>
      <c r="K187" s="7"/>
      <c r="L187" s="7">
        <f t="shared" si="7"/>
        <v>11.731182769771795</v>
      </c>
      <c r="M187" s="7"/>
      <c r="N187" s="7"/>
      <c r="O187" s="7"/>
    </row>
    <row r="188" spans="3:15" x14ac:dyDescent="0.2">
      <c r="C188">
        <v>169</v>
      </c>
      <c r="D188" s="7">
        <v>2713.9499780422011</v>
      </c>
      <c r="E188" s="7"/>
      <c r="F188" s="7">
        <f t="shared" si="6"/>
        <v>219.15824058657853</v>
      </c>
      <c r="G188" s="7"/>
      <c r="H188" s="7"/>
      <c r="I188" s="7"/>
      <c r="J188" s="7">
        <v>0</v>
      </c>
      <c r="K188" s="7"/>
      <c r="L188" s="7">
        <f t="shared" si="7"/>
        <v>0</v>
      </c>
      <c r="M188" s="7"/>
      <c r="N188" s="7"/>
      <c r="O188" s="7"/>
    </row>
    <row r="189" spans="3:15" x14ac:dyDescent="0.2">
      <c r="C189">
        <v>170</v>
      </c>
      <c r="D189" s="7">
        <v>2554.3058616867775</v>
      </c>
      <c r="E189" s="7"/>
      <c r="F189" s="7">
        <f t="shared" si="6"/>
        <v>206.2665793756033</v>
      </c>
      <c r="G189" s="7"/>
      <c r="H189" s="7"/>
      <c r="I189" s="7"/>
      <c r="J189" s="7">
        <v>0</v>
      </c>
      <c r="K189" s="7"/>
      <c r="L189" s="7">
        <f t="shared" si="7"/>
        <v>0</v>
      </c>
      <c r="M189" s="7"/>
      <c r="N189" s="7"/>
      <c r="O189" s="7"/>
    </row>
    <row r="190" spans="3:15" x14ac:dyDescent="0.2">
      <c r="C190">
        <v>171</v>
      </c>
      <c r="D190" s="7">
        <v>2713.9499780422011</v>
      </c>
      <c r="E190" s="7"/>
      <c r="F190" s="7">
        <f t="shared" si="6"/>
        <v>219.15824058657853</v>
      </c>
      <c r="G190" s="7"/>
      <c r="H190" s="7"/>
      <c r="I190" s="7"/>
      <c r="J190" s="7">
        <v>0</v>
      </c>
      <c r="K190" s="7"/>
      <c r="L190" s="7">
        <f t="shared" si="7"/>
        <v>0</v>
      </c>
      <c r="M190" s="7"/>
      <c r="N190" s="7"/>
      <c r="O190" s="7"/>
    </row>
    <row r="191" spans="3:15" x14ac:dyDescent="0.2">
      <c r="C191">
        <v>172</v>
      </c>
      <c r="D191" s="7">
        <v>2873.5940943976243</v>
      </c>
      <c r="E191" s="7"/>
      <c r="F191" s="7">
        <f t="shared" si="6"/>
        <v>232.0499017975537</v>
      </c>
      <c r="G191" s="7"/>
      <c r="H191" s="7"/>
      <c r="I191" s="7"/>
      <c r="J191" s="7">
        <v>0</v>
      </c>
      <c r="K191" s="7"/>
      <c r="L191" s="7">
        <f t="shared" si="7"/>
        <v>0</v>
      </c>
      <c r="M191" s="7"/>
      <c r="N191" s="7"/>
      <c r="O191" s="7"/>
    </row>
    <row r="192" spans="3:15" x14ac:dyDescent="0.2">
      <c r="C192">
        <v>173</v>
      </c>
      <c r="D192" s="7">
        <v>3272.704385286183</v>
      </c>
      <c r="E192" s="7"/>
      <c r="F192" s="7">
        <f t="shared" si="6"/>
        <v>264.2790548249917</v>
      </c>
      <c r="G192" s="7"/>
      <c r="H192" s="7"/>
      <c r="I192" s="7"/>
      <c r="J192" s="7">
        <v>0</v>
      </c>
      <c r="K192" s="7"/>
      <c r="L192" s="7">
        <f t="shared" si="7"/>
        <v>0</v>
      </c>
      <c r="M192" s="7"/>
      <c r="N192" s="7"/>
      <c r="O192" s="7"/>
    </row>
    <row r="193" spans="3:15" x14ac:dyDescent="0.2">
      <c r="C193">
        <v>174</v>
      </c>
      <c r="D193" s="7">
        <v>3313.3102268886896</v>
      </c>
      <c r="E193" s="7"/>
      <c r="F193" s="7">
        <f t="shared" si="6"/>
        <v>267.55807797396011</v>
      </c>
      <c r="G193" s="7"/>
      <c r="H193" s="7"/>
      <c r="I193" s="7"/>
      <c r="J193" s="7">
        <v>198.86033293062883</v>
      </c>
      <c r="K193" s="7"/>
      <c r="L193" s="7">
        <f t="shared" si="7"/>
        <v>12.880634294825322</v>
      </c>
      <c r="M193" s="7"/>
      <c r="N193" s="7"/>
      <c r="O193" s="7"/>
    </row>
    <row r="194" spans="3:15" x14ac:dyDescent="0.2">
      <c r="C194">
        <v>175</v>
      </c>
      <c r="D194" s="7">
        <v>3311.9417398560167</v>
      </c>
      <c r="E194" s="7"/>
      <c r="F194" s="7">
        <f t="shared" si="6"/>
        <v>267.4475692273831</v>
      </c>
      <c r="G194" s="7"/>
      <c r="H194" s="7"/>
      <c r="I194" s="7"/>
      <c r="J194" s="7">
        <v>439.69499449643672</v>
      </c>
      <c r="K194" s="7"/>
      <c r="L194" s="7">
        <f t="shared" si="7"/>
        <v>28.480040950899586</v>
      </c>
      <c r="M194" s="7"/>
      <c r="N194" s="7"/>
      <c r="O194" s="7"/>
    </row>
    <row r="195" spans="3:15" x14ac:dyDescent="0.2">
      <c r="C195">
        <v>176</v>
      </c>
      <c r="D195" s="7">
        <v>3314.7239316424252</v>
      </c>
      <c r="E195" s="7"/>
      <c r="F195" s="7">
        <f t="shared" si="6"/>
        <v>267.67223816447364</v>
      </c>
      <c r="G195" s="7"/>
      <c r="H195" s="7"/>
      <c r="I195" s="7"/>
      <c r="J195" s="7">
        <v>676.37897724316281</v>
      </c>
      <c r="K195" s="7"/>
      <c r="L195" s="7">
        <f t="shared" si="7"/>
        <v>43.810598736231384</v>
      </c>
      <c r="M195" s="7"/>
      <c r="N195" s="7"/>
      <c r="O195" s="7"/>
    </row>
    <row r="196" spans="3:15" x14ac:dyDescent="0.2">
      <c r="C196">
        <v>177</v>
      </c>
      <c r="D196" s="7">
        <v>3313.3588726757966</v>
      </c>
      <c r="E196" s="7"/>
      <c r="F196" s="7">
        <f t="shared" si="6"/>
        <v>267.56200624279353</v>
      </c>
      <c r="G196" s="7"/>
      <c r="H196" s="7"/>
      <c r="I196" s="7"/>
      <c r="J196" s="7">
        <v>917.21021074292685</v>
      </c>
      <c r="K196" s="7"/>
      <c r="L196" s="7">
        <f t="shared" si="7"/>
        <v>59.409783348701481</v>
      </c>
      <c r="M196" s="7"/>
      <c r="N196" s="7"/>
      <c r="O196" s="7"/>
    </row>
    <row r="197" spans="3:15" x14ac:dyDescent="0.2">
      <c r="C197">
        <v>178</v>
      </c>
      <c r="D197" s="7">
        <v>3309.60291953054</v>
      </c>
      <c r="E197" s="7"/>
      <c r="F197" s="7">
        <f t="shared" si="6"/>
        <v>267.25870364337209</v>
      </c>
      <c r="G197" s="7"/>
      <c r="H197" s="7"/>
      <c r="I197" s="7"/>
      <c r="J197" s="7">
        <v>1160.4323384213194</v>
      </c>
      <c r="K197" s="7"/>
      <c r="L197" s="7">
        <f t="shared" si="7"/>
        <v>75.163831593846297</v>
      </c>
      <c r="M197" s="7"/>
      <c r="N197" s="7"/>
      <c r="O197" s="7"/>
    </row>
    <row r="198" spans="3:15" x14ac:dyDescent="0.2">
      <c r="C198">
        <v>179</v>
      </c>
      <c r="D198" s="7">
        <v>3305.4308390220585</v>
      </c>
      <c r="E198" s="7"/>
      <c r="F198" s="7">
        <f t="shared" si="6"/>
        <v>266.92179771982074</v>
      </c>
      <c r="G198" s="7"/>
      <c r="H198" s="7"/>
      <c r="I198" s="7"/>
      <c r="J198" s="7">
        <v>1404.0705934629359</v>
      </c>
      <c r="K198" s="7"/>
      <c r="L198" s="7">
        <f t="shared" si="7"/>
        <v>90.9448333510705</v>
      </c>
      <c r="M198" s="7"/>
      <c r="N198" s="7"/>
      <c r="O198" s="7"/>
    </row>
    <row r="199" spans="3:15" x14ac:dyDescent="0.2">
      <c r="C199">
        <v>180</v>
      </c>
      <c r="D199" s="7">
        <v>3300.8437934369695</v>
      </c>
      <c r="E199" s="7"/>
      <c r="F199" s="7">
        <f t="shared" si="6"/>
        <v>266.55138232968756</v>
      </c>
      <c r="G199" s="7"/>
      <c r="H199" s="7"/>
      <c r="I199" s="7"/>
      <c r="J199" s="7">
        <v>1648.12381358116</v>
      </c>
      <c r="K199" s="7"/>
      <c r="L199" s="7">
        <f t="shared" si="7"/>
        <v>106.75271333643671</v>
      </c>
      <c r="M199" s="7"/>
      <c r="N199" s="7"/>
      <c r="O199" s="7"/>
    </row>
    <row r="200" spans="3:15" x14ac:dyDescent="0.2">
      <c r="C200">
        <v>181</v>
      </c>
      <c r="D200" s="7">
        <v>3296.2830713584335</v>
      </c>
      <c r="E200" s="7"/>
      <c r="F200" s="7">
        <f t="shared" si="6"/>
        <v>266.18309262846861</v>
      </c>
      <c r="G200" s="7"/>
      <c r="H200" s="7"/>
      <c r="I200" s="7"/>
      <c r="J200" s="7">
        <v>1892.1507101928328</v>
      </c>
      <c r="K200" s="7"/>
      <c r="L200" s="7">
        <f t="shared" si="7"/>
        <v>122.55888828864602</v>
      </c>
      <c r="M200" s="7"/>
      <c r="N200" s="7"/>
      <c r="O200" s="7"/>
    </row>
    <row r="201" spans="3:15" x14ac:dyDescent="0.2">
      <c r="C201">
        <v>182</v>
      </c>
      <c r="D201" s="7">
        <v>3291.7485809226914</v>
      </c>
      <c r="E201" s="7"/>
      <c r="F201" s="7">
        <f t="shared" si="6"/>
        <v>265.81692119793593</v>
      </c>
      <c r="G201" s="7"/>
      <c r="H201" s="7"/>
      <c r="I201" s="7"/>
      <c r="J201" s="7">
        <v>2136.1513751617108</v>
      </c>
      <c r="K201" s="7"/>
      <c r="L201" s="7">
        <f t="shared" si="7"/>
        <v>138.36336415792201</v>
      </c>
      <c r="M201" s="7"/>
      <c r="N201" s="7"/>
      <c r="O201" s="7"/>
    </row>
    <row r="202" spans="3:15" x14ac:dyDescent="0.2">
      <c r="C202">
        <v>183</v>
      </c>
      <c r="D202" s="7">
        <v>3287.2402305213695</v>
      </c>
      <c r="E202" s="7"/>
      <c r="F202" s="7">
        <f t="shared" si="6"/>
        <v>265.4528606404844</v>
      </c>
      <c r="G202" s="7"/>
      <c r="H202" s="7"/>
      <c r="I202" s="7"/>
      <c r="J202" s="7">
        <v>1981.0156092076072</v>
      </c>
      <c r="K202" s="7"/>
      <c r="L202" s="7">
        <f t="shared" si="7"/>
        <v>128.31486912699245</v>
      </c>
      <c r="M202" s="7"/>
      <c r="N202" s="7"/>
      <c r="O202" s="7"/>
    </row>
    <row r="203" spans="3:15" x14ac:dyDescent="0.2">
      <c r="C203">
        <v>184</v>
      </c>
      <c r="D203" s="7">
        <v>3285.1419625171056</v>
      </c>
      <c r="E203" s="7"/>
      <c r="F203" s="7">
        <f t="shared" si="6"/>
        <v>265.28342025734759</v>
      </c>
      <c r="G203" s="7"/>
      <c r="H203" s="7"/>
      <c r="I203" s="7"/>
      <c r="J203" s="7">
        <v>2195.9726990191039</v>
      </c>
      <c r="K203" s="7"/>
      <c r="L203" s="7">
        <f t="shared" si="7"/>
        <v>142.23812683323234</v>
      </c>
      <c r="M203" s="7"/>
      <c r="N203" s="7"/>
      <c r="O203" s="7"/>
    </row>
    <row r="204" spans="3:15" x14ac:dyDescent="0.2">
      <c r="C204">
        <v>185</v>
      </c>
      <c r="D204" s="7">
        <v>3287.1813382939404</v>
      </c>
      <c r="E204" s="7"/>
      <c r="F204" s="7">
        <f t="shared" si="6"/>
        <v>265.44810494599778</v>
      </c>
      <c r="G204" s="7"/>
      <c r="H204" s="7"/>
      <c r="I204" s="7"/>
      <c r="J204" s="7">
        <v>2938.9391995675792</v>
      </c>
      <c r="K204" s="7"/>
      <c r="L204" s="7">
        <f t="shared" si="7"/>
        <v>190.36175031227702</v>
      </c>
      <c r="M204" s="7"/>
      <c r="N204" s="7"/>
      <c r="O204" s="7"/>
    </row>
    <row r="205" spans="3:15" x14ac:dyDescent="0.2">
      <c r="C205">
        <v>186</v>
      </c>
      <c r="D205" s="7">
        <v>3289.2105429044268</v>
      </c>
      <c r="E205" s="7"/>
      <c r="F205" s="7">
        <f t="shared" si="6"/>
        <v>265.61196828755618</v>
      </c>
      <c r="G205" s="7"/>
      <c r="H205" s="7"/>
      <c r="I205" s="7"/>
      <c r="J205" s="7">
        <v>2777.2658786016691</v>
      </c>
      <c r="K205" s="7"/>
      <c r="L205" s="7">
        <f t="shared" si="7"/>
        <v>179.88980303198028</v>
      </c>
      <c r="M205" s="7"/>
      <c r="N205" s="7"/>
      <c r="O205" s="7"/>
    </row>
    <row r="206" spans="3:15" x14ac:dyDescent="0.2">
      <c r="C206">
        <v>187</v>
      </c>
      <c r="D206" s="7">
        <v>3291.2293525381697</v>
      </c>
      <c r="E206" s="7"/>
      <c r="F206" s="7">
        <f t="shared" si="6"/>
        <v>265.77499220877434</v>
      </c>
      <c r="G206" s="7"/>
      <c r="H206" s="7"/>
      <c r="I206" s="7"/>
      <c r="J206" s="7">
        <v>3094.5353016787735</v>
      </c>
      <c r="K206" s="7"/>
      <c r="L206" s="7">
        <f t="shared" si="7"/>
        <v>200.44006235902259</v>
      </c>
      <c r="M206" s="7"/>
      <c r="N206" s="7"/>
      <c r="O206" s="7"/>
    </row>
    <row r="207" spans="3:15" x14ac:dyDescent="0.2">
      <c r="C207">
        <v>188</v>
      </c>
      <c r="D207" s="7">
        <v>3293.2373572210859</v>
      </c>
      <c r="E207" s="7"/>
      <c r="F207" s="7">
        <f t="shared" si="6"/>
        <v>265.93714360322082</v>
      </c>
      <c r="G207" s="7"/>
      <c r="H207" s="7"/>
      <c r="I207" s="7"/>
      <c r="J207" s="7">
        <v>2773.23906428501</v>
      </c>
      <c r="K207" s="7"/>
      <c r="L207" s="7">
        <f t="shared" si="7"/>
        <v>179.62897714568274</v>
      </c>
      <c r="M207" s="7"/>
      <c r="N207" s="7"/>
      <c r="O207" s="7"/>
    </row>
    <row r="208" spans="3:15" x14ac:dyDescent="0.2">
      <c r="C208">
        <v>189</v>
      </c>
      <c r="D208" s="7">
        <v>3295.2347945303886</v>
      </c>
      <c r="E208" s="7"/>
      <c r="F208" s="7">
        <f t="shared" si="6"/>
        <v>266.09844165584906</v>
      </c>
      <c r="G208" s="7"/>
      <c r="H208" s="7"/>
      <c r="I208" s="7"/>
      <c r="J208" s="7">
        <v>3250.1739760419773</v>
      </c>
      <c r="K208" s="7"/>
      <c r="L208" s="7">
        <f t="shared" si="7"/>
        <v>210.521131906981</v>
      </c>
      <c r="M208" s="7"/>
      <c r="N208" s="7"/>
      <c r="O208" s="7"/>
    </row>
    <row r="209" spans="3:15" x14ac:dyDescent="0.2">
      <c r="C209">
        <v>190</v>
      </c>
      <c r="D209" s="7">
        <v>3297.2212572145363</v>
      </c>
      <c r="E209" s="7"/>
      <c r="F209" s="7">
        <f t="shared" si="6"/>
        <v>266.25885348007984</v>
      </c>
      <c r="G209" s="7"/>
      <c r="H209" s="7"/>
      <c r="I209" s="7"/>
      <c r="J209" s="7">
        <v>2449.9669315807123</v>
      </c>
      <c r="K209" s="7"/>
      <c r="L209" s="7">
        <f t="shared" si="7"/>
        <v>158.68990871656135</v>
      </c>
      <c r="M209" s="7"/>
      <c r="N209" s="7"/>
      <c r="O209" s="7"/>
    </row>
    <row r="210" spans="3:15" x14ac:dyDescent="0.2">
      <c r="C210">
        <v>191</v>
      </c>
      <c r="D210" s="7">
        <v>3295.0771707113176</v>
      </c>
      <c r="E210" s="7"/>
      <c r="F210" s="7">
        <f t="shared" si="6"/>
        <v>266.08571313869083</v>
      </c>
      <c r="G210" s="7"/>
      <c r="H210" s="7"/>
      <c r="I210" s="7"/>
      <c r="J210" s="7">
        <v>1653.8904363068118</v>
      </c>
      <c r="K210" s="7"/>
      <c r="L210" s="7">
        <f t="shared" si="7"/>
        <v>107.12623055503285</v>
      </c>
      <c r="M210" s="7"/>
      <c r="N210" s="7"/>
      <c r="O210" s="7"/>
    </row>
    <row r="211" spans="3:15" x14ac:dyDescent="0.2">
      <c r="C211">
        <v>192</v>
      </c>
      <c r="D211" s="7">
        <v>3290.601740496305</v>
      </c>
      <c r="E211" s="7"/>
      <c r="F211" s="7">
        <f t="shared" si="6"/>
        <v>265.72431096852347</v>
      </c>
      <c r="G211" s="7"/>
      <c r="H211" s="7"/>
      <c r="I211" s="7"/>
      <c r="J211" s="7">
        <v>860.14528474470717</v>
      </c>
      <c r="K211" s="7"/>
      <c r="L211" s="7">
        <f t="shared" si="7"/>
        <v>55.713558807526901</v>
      </c>
      <c r="M211" s="7"/>
      <c r="N211" s="7"/>
      <c r="O211" s="7"/>
    </row>
    <row r="212" spans="3:15" x14ac:dyDescent="0.2">
      <c r="C212">
        <v>193</v>
      </c>
      <c r="D212" s="7">
        <v>2713.9499780422011</v>
      </c>
      <c r="E212" s="7"/>
      <c r="F212" s="7">
        <f t="shared" si="6"/>
        <v>219.15824058657853</v>
      </c>
      <c r="G212" s="7"/>
      <c r="H212" s="7"/>
      <c r="I212" s="7"/>
      <c r="J212" s="7">
        <v>0</v>
      </c>
      <c r="K212" s="7"/>
      <c r="L212" s="7">
        <f t="shared" si="7"/>
        <v>0</v>
      </c>
      <c r="M212" s="7"/>
      <c r="N212" s="7"/>
      <c r="O212" s="7"/>
    </row>
    <row r="213" spans="3:15" x14ac:dyDescent="0.2">
      <c r="C213">
        <v>194</v>
      </c>
      <c r="D213" s="7">
        <v>2554.3058616867775</v>
      </c>
      <c r="E213" s="7"/>
      <c r="F213" s="7">
        <f t="shared" ref="F213:F276" si="8">D213*(1-($C$2/($D$8-$D$6)*LN($D$8/$D$6)))</f>
        <v>206.2665793756033</v>
      </c>
      <c r="G213" s="7"/>
      <c r="H213" s="7"/>
      <c r="I213" s="7"/>
      <c r="J213" s="7">
        <v>0</v>
      </c>
      <c r="K213" s="7"/>
      <c r="L213" s="7">
        <f t="shared" ref="L213:L276" si="9">J213*(1-$C$2/($D$10-$D$9)*LN($D$10/$D$9))</f>
        <v>0</v>
      </c>
      <c r="M213" s="7"/>
      <c r="N213" s="7"/>
      <c r="O213" s="7"/>
    </row>
    <row r="214" spans="3:15" x14ac:dyDescent="0.2">
      <c r="C214">
        <v>195</v>
      </c>
      <c r="D214" s="7">
        <v>2745.8788013132853</v>
      </c>
      <c r="E214" s="7"/>
      <c r="F214" s="7">
        <f t="shared" si="8"/>
        <v>221.73657282877352</v>
      </c>
      <c r="G214" s="7"/>
      <c r="H214" s="7"/>
      <c r="I214" s="7"/>
      <c r="J214" s="7">
        <v>0</v>
      </c>
      <c r="K214" s="7"/>
      <c r="L214" s="7">
        <f t="shared" si="9"/>
        <v>0</v>
      </c>
      <c r="M214" s="7"/>
      <c r="N214" s="7"/>
      <c r="O214" s="7"/>
    </row>
    <row r="215" spans="3:15" x14ac:dyDescent="0.2">
      <c r="C215">
        <v>196</v>
      </c>
      <c r="D215" s="7">
        <v>2873.5940943976243</v>
      </c>
      <c r="E215" s="7"/>
      <c r="F215" s="7">
        <f t="shared" si="8"/>
        <v>232.0499017975537</v>
      </c>
      <c r="G215" s="7"/>
      <c r="H215" s="7"/>
      <c r="I215" s="7"/>
      <c r="J215" s="7">
        <v>0</v>
      </c>
      <c r="K215" s="7"/>
      <c r="L215" s="7">
        <f t="shared" si="9"/>
        <v>0</v>
      </c>
      <c r="M215" s="7"/>
      <c r="N215" s="7"/>
      <c r="O215" s="7"/>
    </row>
    <row r="216" spans="3:15" x14ac:dyDescent="0.2">
      <c r="C216">
        <v>197</v>
      </c>
      <c r="D216" s="7">
        <v>3170.0760247719822</v>
      </c>
      <c r="E216" s="7"/>
      <c r="F216" s="7">
        <f t="shared" si="8"/>
        <v>255.99155833222193</v>
      </c>
      <c r="G216" s="7"/>
      <c r="H216" s="7"/>
      <c r="I216" s="7"/>
      <c r="J216" s="7">
        <v>0</v>
      </c>
      <c r="K216" s="7"/>
      <c r="L216" s="7">
        <f t="shared" si="9"/>
        <v>0</v>
      </c>
      <c r="M216" s="7"/>
      <c r="N216" s="7"/>
      <c r="O216" s="7"/>
    </row>
    <row r="217" spans="3:15" x14ac:dyDescent="0.2">
      <c r="C217">
        <v>198</v>
      </c>
      <c r="D217" s="7">
        <v>3269.0401762804231</v>
      </c>
      <c r="E217" s="7"/>
      <c r="F217" s="7">
        <f t="shared" si="8"/>
        <v>263.98316079402537</v>
      </c>
      <c r="G217" s="7"/>
      <c r="H217" s="7"/>
      <c r="I217" s="7"/>
      <c r="J217" s="7">
        <v>106.29256951996103</v>
      </c>
      <c r="K217" s="7"/>
      <c r="L217" s="7">
        <f t="shared" si="9"/>
        <v>6.8848105404787905</v>
      </c>
      <c r="M217" s="7"/>
      <c r="N217" s="7"/>
      <c r="O217" s="7"/>
    </row>
    <row r="218" spans="3:15" x14ac:dyDescent="0.2">
      <c r="C218">
        <v>199</v>
      </c>
      <c r="D218" s="7">
        <v>3267.0610653526505</v>
      </c>
      <c r="E218" s="7"/>
      <c r="F218" s="7">
        <f t="shared" si="8"/>
        <v>263.82334264248777</v>
      </c>
      <c r="G218" s="7"/>
      <c r="H218" s="7"/>
      <c r="I218" s="7"/>
      <c r="J218" s="7">
        <v>313.52840147613551</v>
      </c>
      <c r="K218" s="7"/>
      <c r="L218" s="7">
        <f t="shared" si="9"/>
        <v>20.307944882421872</v>
      </c>
      <c r="M218" s="7"/>
      <c r="N218" s="7"/>
      <c r="O218" s="7"/>
    </row>
    <row r="219" spans="3:15" x14ac:dyDescent="0.2">
      <c r="C219">
        <v>200</v>
      </c>
      <c r="D219" s="7">
        <v>3269.2084535803829</v>
      </c>
      <c r="E219" s="7"/>
      <c r="F219" s="7">
        <f t="shared" si="8"/>
        <v>263.99674960637941</v>
      </c>
      <c r="G219" s="7"/>
      <c r="H219" s="7"/>
      <c r="I219" s="7"/>
      <c r="J219" s="7">
        <v>516.63773427680508</v>
      </c>
      <c r="K219" s="7"/>
      <c r="L219" s="7">
        <f t="shared" si="9"/>
        <v>33.463796525212949</v>
      </c>
      <c r="M219" s="7"/>
      <c r="N219" s="7"/>
      <c r="O219" s="7"/>
    </row>
    <row r="220" spans="3:15" x14ac:dyDescent="0.2">
      <c r="C220">
        <v>201</v>
      </c>
      <c r="D220" s="7">
        <v>3267.2346608756393</v>
      </c>
      <c r="E220" s="7"/>
      <c r="F220" s="7">
        <f t="shared" si="8"/>
        <v>263.83736091463709</v>
      </c>
      <c r="G220" s="7"/>
      <c r="H220" s="7"/>
      <c r="I220" s="7"/>
      <c r="J220" s="7">
        <v>723.86824800994964</v>
      </c>
      <c r="K220" s="7"/>
      <c r="L220" s="7">
        <f t="shared" si="9"/>
        <v>46.886586393801608</v>
      </c>
      <c r="M220" s="7"/>
      <c r="N220" s="7"/>
      <c r="O220" s="7"/>
    </row>
    <row r="221" spans="3:15" x14ac:dyDescent="0.2">
      <c r="C221">
        <v>202</v>
      </c>
      <c r="D221" s="7">
        <v>3262.9413554451748</v>
      </c>
      <c r="E221" s="7"/>
      <c r="F221" s="7">
        <f t="shared" si="8"/>
        <v>263.49066577579737</v>
      </c>
      <c r="G221" s="7"/>
      <c r="H221" s="7"/>
      <c r="I221" s="7"/>
      <c r="J221" s="7">
        <v>933.41827446881598</v>
      </c>
      <c r="K221" s="7"/>
      <c r="L221" s="7">
        <f t="shared" si="9"/>
        <v>60.459616356640929</v>
      </c>
      <c r="M221" s="7"/>
      <c r="N221" s="7"/>
      <c r="O221" s="7"/>
    </row>
    <row r="222" spans="3:15" x14ac:dyDescent="0.2">
      <c r="C222">
        <v>203</v>
      </c>
      <c r="D222" s="7">
        <v>3258.673266323804</v>
      </c>
      <c r="E222" s="7"/>
      <c r="F222" s="7">
        <f t="shared" si="8"/>
        <v>263.14600691691112</v>
      </c>
      <c r="G222" s="7"/>
      <c r="H222" s="7"/>
      <c r="I222" s="7"/>
      <c r="J222" s="7">
        <v>1142.9430846185892</v>
      </c>
      <c r="K222" s="7"/>
      <c r="L222" s="7">
        <f t="shared" si="9"/>
        <v>74.031013002011107</v>
      </c>
      <c r="M222" s="7"/>
      <c r="N222" s="7"/>
      <c r="O222" s="7"/>
    </row>
    <row r="223" spans="3:15" x14ac:dyDescent="0.2">
      <c r="C223">
        <v>204</v>
      </c>
      <c r="D223" s="7">
        <v>3254.4303048745346</v>
      </c>
      <c r="E223" s="7"/>
      <c r="F223" s="7">
        <f t="shared" si="8"/>
        <v>262.80337718031984</v>
      </c>
      <c r="G223" s="7"/>
      <c r="H223" s="7"/>
      <c r="I223" s="7"/>
      <c r="J223" s="7">
        <v>1352.44276709626</v>
      </c>
      <c r="K223" s="7"/>
      <c r="L223" s="7">
        <f t="shared" si="9"/>
        <v>87.600782071130851</v>
      </c>
      <c r="M223" s="7"/>
      <c r="N223" s="7"/>
      <c r="O223" s="7"/>
    </row>
    <row r="224" spans="3:15" x14ac:dyDescent="0.2">
      <c r="C224">
        <v>205</v>
      </c>
      <c r="D224" s="7">
        <v>3250.212382707944</v>
      </c>
      <c r="E224" s="7"/>
      <c r="F224" s="7">
        <f t="shared" si="8"/>
        <v>262.46276942835681</v>
      </c>
      <c r="G224" s="7"/>
      <c r="H224" s="7"/>
      <c r="I224" s="7"/>
      <c r="J224" s="7">
        <v>1561.9174102912521</v>
      </c>
      <c r="K224" s="7"/>
      <c r="L224" s="7">
        <f t="shared" si="9"/>
        <v>101.1689292891834</v>
      </c>
      <c r="M224" s="7"/>
      <c r="N224" s="7"/>
      <c r="O224" s="7"/>
    </row>
    <row r="225" spans="3:15" x14ac:dyDescent="0.2">
      <c r="C225">
        <v>206</v>
      </c>
      <c r="D225" s="7">
        <v>3246.0194116816065</v>
      </c>
      <c r="E225" s="7"/>
      <c r="F225" s="7">
        <f t="shared" si="8"/>
        <v>262.1241765433009</v>
      </c>
      <c r="G225" s="7"/>
      <c r="H225" s="7"/>
      <c r="I225" s="7"/>
      <c r="J225" s="7">
        <v>1771.367102345991</v>
      </c>
      <c r="K225" s="7"/>
      <c r="L225" s="7">
        <f t="shared" si="9"/>
        <v>114.73546036535332</v>
      </c>
      <c r="M225" s="7"/>
      <c r="N225" s="7"/>
      <c r="O225" s="7"/>
    </row>
    <row r="226" spans="3:15" x14ac:dyDescent="0.2">
      <c r="C226">
        <v>207</v>
      </c>
      <c r="D226" s="7">
        <v>3241.8513038995097</v>
      </c>
      <c r="E226" s="7"/>
      <c r="F226" s="7">
        <f t="shared" si="8"/>
        <v>261.78759142732963</v>
      </c>
      <c r="G226" s="7"/>
      <c r="H226" s="7"/>
      <c r="I226" s="7"/>
      <c r="J226" s="7">
        <v>1980.7919311564901</v>
      </c>
      <c r="K226" s="7"/>
      <c r="L226" s="7">
        <f t="shared" si="9"/>
        <v>128.30038099286455</v>
      </c>
      <c r="M226" s="7"/>
      <c r="N226" s="7"/>
      <c r="O226" s="7"/>
    </row>
    <row r="227" spans="3:15" x14ac:dyDescent="0.2">
      <c r="C227">
        <v>208</v>
      </c>
      <c r="D227" s="7">
        <v>3240.0165946371249</v>
      </c>
      <c r="E227" s="7"/>
      <c r="F227" s="7">
        <f t="shared" si="8"/>
        <v>261.63943407100942</v>
      </c>
      <c r="G227" s="7"/>
      <c r="H227" s="7"/>
      <c r="I227" s="7"/>
      <c r="J227" s="7">
        <v>2187.8833614472774</v>
      </c>
      <c r="K227" s="7"/>
      <c r="L227" s="7">
        <f t="shared" si="9"/>
        <v>141.71416211178922</v>
      </c>
      <c r="M227" s="7"/>
      <c r="N227" s="7"/>
      <c r="O227" s="7"/>
    </row>
    <row r="228" spans="3:15" x14ac:dyDescent="0.2">
      <c r="C228">
        <v>209</v>
      </c>
      <c r="D228" s="7">
        <v>3242.2924501202046</v>
      </c>
      <c r="E228" s="7"/>
      <c r="F228" s="7">
        <f t="shared" si="8"/>
        <v>261.82321508670111</v>
      </c>
      <c r="G228" s="7"/>
      <c r="H228" s="7"/>
      <c r="I228" s="7"/>
      <c r="J228" s="7">
        <v>2025.9633896087721</v>
      </c>
      <c r="K228" s="7"/>
      <c r="L228" s="7">
        <f t="shared" si="9"/>
        <v>131.22623869567101</v>
      </c>
      <c r="M228" s="7"/>
      <c r="N228" s="7"/>
      <c r="O228" s="7"/>
    </row>
    <row r="229" spans="3:15" x14ac:dyDescent="0.2">
      <c r="C229">
        <v>210</v>
      </c>
      <c r="D229" s="7">
        <v>3244.5582528088348</v>
      </c>
      <c r="E229" s="7"/>
      <c r="F229" s="7">
        <f t="shared" si="8"/>
        <v>262.00618431412761</v>
      </c>
      <c r="G229" s="7"/>
      <c r="H229" s="7"/>
      <c r="I229" s="7"/>
      <c r="J229" s="7">
        <v>2342.9858196309901</v>
      </c>
      <c r="K229" s="7"/>
      <c r="L229" s="7">
        <f t="shared" si="9"/>
        <v>151.76049972296966</v>
      </c>
      <c r="M229" s="7"/>
      <c r="N229" s="7"/>
      <c r="O229" s="7"/>
    </row>
    <row r="230" spans="3:15" x14ac:dyDescent="0.2">
      <c r="C230">
        <v>211</v>
      </c>
      <c r="D230" s="7">
        <v>3246.8132744151526</v>
      </c>
      <c r="E230" s="7"/>
      <c r="F230" s="7">
        <f t="shared" si="8"/>
        <v>262.18828294222459</v>
      </c>
      <c r="G230" s="7"/>
      <c r="H230" s="7"/>
      <c r="I230" s="7"/>
      <c r="J230" s="7">
        <v>2660.0190307355197</v>
      </c>
      <c r="K230" s="7"/>
      <c r="L230" s="7">
        <f t="shared" si="9"/>
        <v>172.29545906539485</v>
      </c>
      <c r="M230" s="7"/>
      <c r="N230" s="7"/>
      <c r="O230" s="7"/>
    </row>
    <row r="231" spans="3:15" x14ac:dyDescent="0.2">
      <c r="C231">
        <v>212</v>
      </c>
      <c r="D231" s="7">
        <v>3249.0566310703252</v>
      </c>
      <c r="E231" s="7"/>
      <c r="F231" s="7">
        <f t="shared" si="8"/>
        <v>262.3694395963758</v>
      </c>
      <c r="G231" s="7"/>
      <c r="H231" s="7"/>
      <c r="I231" s="7"/>
      <c r="J231" s="7">
        <v>2817.4197904357707</v>
      </c>
      <c r="K231" s="7"/>
      <c r="L231" s="7">
        <f t="shared" si="9"/>
        <v>182.49066287275176</v>
      </c>
      <c r="M231" s="7"/>
      <c r="N231" s="7"/>
      <c r="O231" s="7"/>
    </row>
    <row r="232" spans="3:15" x14ac:dyDescent="0.2">
      <c r="C232">
        <v>213</v>
      </c>
      <c r="D232" s="7">
        <v>3251.2876059182463</v>
      </c>
      <c r="E232" s="7"/>
      <c r="F232" s="7">
        <f t="shared" si="8"/>
        <v>262.54959638865978</v>
      </c>
      <c r="G232" s="7"/>
      <c r="H232" s="7"/>
      <c r="I232" s="7"/>
      <c r="J232" s="7">
        <v>3294.1211646541196</v>
      </c>
      <c r="K232" s="7"/>
      <c r="L232" s="7">
        <f t="shared" si="9"/>
        <v>213.36769087857937</v>
      </c>
      <c r="M232" s="7"/>
      <c r="N232" s="7"/>
      <c r="O232" s="7"/>
    </row>
    <row r="233" spans="3:15" x14ac:dyDescent="0.2">
      <c r="C233">
        <v>214</v>
      </c>
      <c r="D233" s="7">
        <v>3253.5055687145555</v>
      </c>
      <c r="E233" s="7"/>
      <c r="F233" s="7">
        <f t="shared" si="8"/>
        <v>262.72870242527</v>
      </c>
      <c r="G233" s="7"/>
      <c r="H233" s="7"/>
      <c r="I233" s="7"/>
      <c r="J233" s="7">
        <v>2493.6826200806931</v>
      </c>
      <c r="K233" s="7"/>
      <c r="L233" s="7">
        <f t="shared" si="9"/>
        <v>161.52147290141656</v>
      </c>
      <c r="M233" s="7"/>
      <c r="N233" s="7"/>
      <c r="O233" s="7"/>
    </row>
    <row r="234" spans="3:15" x14ac:dyDescent="0.2">
      <c r="C234">
        <v>215</v>
      </c>
      <c r="D234" s="7">
        <v>3251.6213287892751</v>
      </c>
      <c r="E234" s="7"/>
      <c r="F234" s="7">
        <f t="shared" si="8"/>
        <v>262.57654534418583</v>
      </c>
      <c r="G234" s="7"/>
      <c r="H234" s="7"/>
      <c r="I234" s="7"/>
      <c r="J234" s="7">
        <v>1697.3462782288543</v>
      </c>
      <c r="K234" s="7"/>
      <c r="L234" s="7">
        <f t="shared" si="9"/>
        <v>109.94096388833583</v>
      </c>
      <c r="M234" s="7"/>
      <c r="N234" s="7"/>
      <c r="O234" s="7"/>
    </row>
    <row r="235" spans="3:15" x14ac:dyDescent="0.2">
      <c r="C235">
        <v>216</v>
      </c>
      <c r="D235" s="7">
        <v>3247.4782450460534</v>
      </c>
      <c r="E235" s="7"/>
      <c r="F235" s="7">
        <f t="shared" si="8"/>
        <v>262.24198098186758</v>
      </c>
      <c r="G235" s="7"/>
      <c r="H235" s="7"/>
      <c r="I235" s="7"/>
      <c r="J235" s="7">
        <v>903.26878019495871</v>
      </c>
      <c r="K235" s="7"/>
      <c r="L235" s="7">
        <f t="shared" si="9"/>
        <v>58.506765306899609</v>
      </c>
      <c r="M235" s="7"/>
      <c r="N235" s="7"/>
      <c r="O235" s="7"/>
    </row>
    <row r="236" spans="3:15" x14ac:dyDescent="0.2">
      <c r="C236">
        <v>217</v>
      </c>
      <c r="D236" s="7">
        <v>2713.9499780422011</v>
      </c>
      <c r="E236" s="7"/>
      <c r="F236" s="7">
        <f t="shared" si="8"/>
        <v>219.15824058657853</v>
      </c>
      <c r="G236" s="7"/>
      <c r="H236" s="7"/>
      <c r="I236" s="7"/>
      <c r="J236" s="7">
        <v>0</v>
      </c>
      <c r="K236" s="7"/>
      <c r="L236" s="7">
        <f t="shared" si="9"/>
        <v>0</v>
      </c>
      <c r="M236" s="7"/>
      <c r="N236" s="7"/>
      <c r="O236" s="7"/>
    </row>
    <row r="237" spans="3:15" x14ac:dyDescent="0.2">
      <c r="C237">
        <v>218</v>
      </c>
      <c r="D237" s="7">
        <v>2554.3058616867775</v>
      </c>
      <c r="E237" s="7"/>
      <c r="F237" s="7">
        <f t="shared" si="8"/>
        <v>206.2665793756033</v>
      </c>
      <c r="G237" s="7"/>
      <c r="H237" s="7"/>
      <c r="I237" s="7"/>
      <c r="J237" s="7">
        <v>0</v>
      </c>
      <c r="K237" s="7"/>
      <c r="L237" s="7">
        <f t="shared" si="9"/>
        <v>0</v>
      </c>
      <c r="M237" s="7"/>
      <c r="N237" s="7"/>
      <c r="O237" s="7"/>
    </row>
    <row r="238" spans="3:15" x14ac:dyDescent="0.2">
      <c r="C238">
        <v>219</v>
      </c>
      <c r="D238" s="7">
        <v>2713.9499780422011</v>
      </c>
      <c r="E238" s="7"/>
      <c r="F238" s="7">
        <f t="shared" si="8"/>
        <v>219.15824058657853</v>
      </c>
      <c r="G238" s="7"/>
      <c r="H238" s="7"/>
      <c r="I238" s="7"/>
      <c r="J238" s="7">
        <v>0</v>
      </c>
      <c r="K238" s="7"/>
      <c r="L238" s="7">
        <f t="shared" si="9"/>
        <v>0</v>
      </c>
      <c r="M238" s="7"/>
      <c r="N238" s="7"/>
      <c r="O238" s="7"/>
    </row>
    <row r="239" spans="3:15" x14ac:dyDescent="0.2">
      <c r="C239">
        <v>220</v>
      </c>
      <c r="D239" s="7">
        <v>2873.5940943976243</v>
      </c>
      <c r="E239" s="7"/>
      <c r="F239" s="7">
        <f t="shared" si="8"/>
        <v>232.0499017975537</v>
      </c>
      <c r="G239" s="7"/>
      <c r="H239" s="7"/>
      <c r="I239" s="7"/>
      <c r="J239" s="7">
        <v>0</v>
      </c>
      <c r="K239" s="7"/>
      <c r="L239" s="7">
        <f t="shared" si="9"/>
        <v>0</v>
      </c>
      <c r="M239" s="7"/>
      <c r="N239" s="7"/>
      <c r="O239" s="7"/>
    </row>
    <row r="240" spans="3:15" x14ac:dyDescent="0.2">
      <c r="C240">
        <v>221</v>
      </c>
      <c r="D240" s="7">
        <v>3217.4429603939211</v>
      </c>
      <c r="E240" s="7"/>
      <c r="F240" s="7">
        <f t="shared" si="8"/>
        <v>259.81655671350029</v>
      </c>
      <c r="G240" s="7"/>
      <c r="H240" s="7"/>
      <c r="I240" s="7"/>
      <c r="J240" s="7">
        <v>0</v>
      </c>
      <c r="K240" s="7"/>
      <c r="L240" s="7">
        <f t="shared" si="9"/>
        <v>0</v>
      </c>
      <c r="M240" s="7"/>
      <c r="N240" s="7"/>
      <c r="O240" s="7"/>
    </row>
    <row r="241" spans="3:15" x14ac:dyDescent="0.2">
      <c r="C241">
        <v>222</v>
      </c>
      <c r="D241" s="7">
        <v>3227.4339592959332</v>
      </c>
      <c r="E241" s="7"/>
      <c r="F241" s="7">
        <f t="shared" si="8"/>
        <v>260.62335483387204</v>
      </c>
      <c r="G241" s="7"/>
      <c r="H241" s="7"/>
      <c r="I241" s="7"/>
      <c r="J241" s="7">
        <v>211.05470066703629</v>
      </c>
      <c r="K241" s="7"/>
      <c r="L241" s="7">
        <f t="shared" si="9"/>
        <v>13.670491120238939</v>
      </c>
      <c r="M241" s="7"/>
      <c r="N241" s="7"/>
      <c r="O241" s="7"/>
    </row>
    <row r="242" spans="3:15" x14ac:dyDescent="0.2">
      <c r="C242">
        <v>223</v>
      </c>
      <c r="D242" s="7">
        <v>3225.7001274935024</v>
      </c>
      <c r="E242" s="7"/>
      <c r="F242" s="7">
        <f t="shared" si="8"/>
        <v>260.48334358445027</v>
      </c>
      <c r="G242" s="7"/>
      <c r="H242" s="7"/>
      <c r="I242" s="7"/>
      <c r="J242" s="7">
        <v>433.83423203851498</v>
      </c>
      <c r="K242" s="7"/>
      <c r="L242" s="7">
        <f t="shared" si="9"/>
        <v>28.100426088564692</v>
      </c>
      <c r="M242" s="7"/>
      <c r="N242" s="7"/>
      <c r="O242" s="7"/>
    </row>
    <row r="243" spans="3:15" x14ac:dyDescent="0.2">
      <c r="C243">
        <v>224</v>
      </c>
      <c r="D243" s="7">
        <v>3228.0570985804152</v>
      </c>
      <c r="E243" s="7"/>
      <c r="F243" s="7">
        <f t="shared" si="8"/>
        <v>260.67367488779064</v>
      </c>
      <c r="G243" s="7"/>
      <c r="H243" s="7"/>
      <c r="I243" s="7"/>
      <c r="J243" s="7">
        <v>652.52296052064958</v>
      </c>
      <c r="K243" s="7"/>
      <c r="L243" s="7">
        <f t="shared" si="9"/>
        <v>42.265390485769871</v>
      </c>
      <c r="M243" s="7"/>
      <c r="N243" s="7"/>
      <c r="O243" s="7"/>
    </row>
    <row r="244" spans="3:15" x14ac:dyDescent="0.2">
      <c r="C244">
        <v>225</v>
      </c>
      <c r="D244" s="7">
        <v>3226.324939103311</v>
      </c>
      <c r="E244" s="7"/>
      <c r="F244" s="7">
        <f t="shared" si="8"/>
        <v>260.53379868281672</v>
      </c>
      <c r="G244" s="7"/>
      <c r="H244" s="7"/>
      <c r="I244" s="7"/>
      <c r="J244" s="7">
        <v>875.30081956680215</v>
      </c>
      <c r="K244" s="7"/>
      <c r="L244" s="7">
        <f t="shared" si="9"/>
        <v>56.695217133795495</v>
      </c>
      <c r="M244" s="7"/>
      <c r="N244" s="7"/>
      <c r="O244" s="7"/>
    </row>
    <row r="245" spans="3:15" x14ac:dyDescent="0.2">
      <c r="C245">
        <v>226</v>
      </c>
      <c r="D245" s="7">
        <v>3222.3549600924935</v>
      </c>
      <c r="E245" s="7"/>
      <c r="F245" s="7">
        <f t="shared" si="8"/>
        <v>260.21321296008205</v>
      </c>
      <c r="G245" s="7"/>
      <c r="H245" s="7"/>
      <c r="I245" s="7"/>
      <c r="J245" s="7">
        <v>1100.3164981466671</v>
      </c>
      <c r="K245" s="7"/>
      <c r="L245" s="7">
        <f t="shared" si="9"/>
        <v>71.269992422944128</v>
      </c>
      <c r="M245" s="7"/>
      <c r="N245" s="7"/>
      <c r="O245" s="7"/>
    </row>
    <row r="246" spans="3:15" x14ac:dyDescent="0.2">
      <c r="C246">
        <v>227</v>
      </c>
      <c r="D246" s="7">
        <v>3218.4089715081432</v>
      </c>
      <c r="E246" s="7"/>
      <c r="F246" s="7">
        <f t="shared" si="8"/>
        <v>259.89456452421638</v>
      </c>
      <c r="G246" s="7"/>
      <c r="H246" s="7"/>
      <c r="I246" s="7"/>
      <c r="J246" s="7">
        <v>1325.3081863000657</v>
      </c>
      <c r="K246" s="7"/>
      <c r="L246" s="7">
        <f t="shared" si="9"/>
        <v>85.843213797818692</v>
      </c>
      <c r="M246" s="7"/>
      <c r="N246" s="7"/>
      <c r="O246" s="7"/>
    </row>
    <row r="247" spans="3:15" x14ac:dyDescent="0.2">
      <c r="C247">
        <v>228</v>
      </c>
      <c r="D247" s="7">
        <v>3214.4868882979431</v>
      </c>
      <c r="E247" s="7"/>
      <c r="F247" s="7">
        <f t="shared" si="8"/>
        <v>259.57784650703252</v>
      </c>
      <c r="G247" s="7"/>
      <c r="H247" s="7"/>
      <c r="I247" s="7"/>
      <c r="J247" s="7">
        <v>1550.2759690793141</v>
      </c>
      <c r="K247" s="7"/>
      <c r="L247" s="7">
        <f t="shared" si="9"/>
        <v>100.41488676745037</v>
      </c>
      <c r="M247" s="7"/>
      <c r="N247" s="7"/>
      <c r="O247" s="7"/>
    </row>
    <row r="248" spans="3:15" x14ac:dyDescent="0.2">
      <c r="C248">
        <v>229</v>
      </c>
      <c r="D248" s="7">
        <v>3210.5886256484368</v>
      </c>
      <c r="E248" s="7"/>
      <c r="F248" s="7">
        <f t="shared" si="8"/>
        <v>259.26305205963212</v>
      </c>
      <c r="G248" s="7"/>
      <c r="H248" s="7"/>
      <c r="I248" s="7"/>
      <c r="J248" s="7">
        <v>1775.2199312978678</v>
      </c>
      <c r="K248" s="7"/>
      <c r="L248" s="7">
        <f t="shared" si="9"/>
        <v>114.98501682539883</v>
      </c>
      <c r="M248" s="7"/>
      <c r="N248" s="7"/>
      <c r="O248" s="7"/>
    </row>
    <row r="249" spans="3:15" x14ac:dyDescent="0.2">
      <c r="C249">
        <v>230</v>
      </c>
      <c r="D249" s="7">
        <v>3206.7140989844665</v>
      </c>
      <c r="E249" s="7"/>
      <c r="F249" s="7">
        <f t="shared" si="8"/>
        <v>258.95017435235985</v>
      </c>
      <c r="G249" s="7"/>
      <c r="H249" s="7"/>
      <c r="I249" s="7"/>
      <c r="J249" s="7">
        <v>2000.1401575308873</v>
      </c>
      <c r="K249" s="7"/>
      <c r="L249" s="7">
        <f t="shared" si="9"/>
        <v>129.55360944978884</v>
      </c>
      <c r="M249" s="7"/>
      <c r="N249" s="7"/>
      <c r="O249" s="7"/>
    </row>
    <row r="250" spans="3:15" x14ac:dyDescent="0.2">
      <c r="C250">
        <v>231</v>
      </c>
      <c r="D250" s="7">
        <v>3202.863223968619</v>
      </c>
      <c r="E250" s="7"/>
      <c r="F250" s="7">
        <f t="shared" si="8"/>
        <v>258.63920657475887</v>
      </c>
      <c r="G250" s="7"/>
      <c r="H250" s="7"/>
      <c r="I250" s="7"/>
      <c r="J250" s="7">
        <v>2225.0367321157833</v>
      </c>
      <c r="K250" s="7"/>
      <c r="L250" s="7">
        <f t="shared" si="9"/>
        <v>144.12067010334556</v>
      </c>
      <c r="M250" s="7"/>
      <c r="N250" s="7"/>
      <c r="O250" s="7"/>
    </row>
    <row r="251" spans="3:15" x14ac:dyDescent="0.2">
      <c r="C251">
        <v>232</v>
      </c>
      <c r="D251" s="7">
        <v>3201.2569213563775</v>
      </c>
      <c r="E251" s="7"/>
      <c r="F251" s="7">
        <f t="shared" si="8"/>
        <v>258.50949362603222</v>
      </c>
      <c r="G251" s="7"/>
      <c r="H251" s="7"/>
      <c r="I251" s="7"/>
      <c r="J251" s="7">
        <v>2066.9989183725993</v>
      </c>
      <c r="K251" s="7"/>
      <c r="L251" s="7">
        <f t="shared" si="9"/>
        <v>133.88420286234086</v>
      </c>
      <c r="M251" s="7"/>
      <c r="N251" s="7"/>
      <c r="O251" s="7"/>
    </row>
    <row r="252" spans="3:15" x14ac:dyDescent="0.2">
      <c r="C252">
        <v>233</v>
      </c>
      <c r="D252" s="7">
        <v>3203.7217660768883</v>
      </c>
      <c r="E252" s="7"/>
      <c r="F252" s="7">
        <f t="shared" si="8"/>
        <v>258.70853599477033</v>
      </c>
      <c r="G252" s="7"/>
      <c r="H252" s="7"/>
      <c r="I252" s="7"/>
      <c r="J252" s="7">
        <v>2351.8934830918524</v>
      </c>
      <c r="K252" s="7"/>
      <c r="L252" s="7">
        <f t="shared" si="9"/>
        <v>152.33746926621572</v>
      </c>
      <c r="M252" s="7"/>
      <c r="N252" s="7"/>
      <c r="O252" s="7"/>
    </row>
    <row r="253" spans="3:15" x14ac:dyDescent="0.2">
      <c r="C253">
        <v>234</v>
      </c>
      <c r="D253" s="7">
        <v>3206.1753334205032</v>
      </c>
      <c r="E253" s="7"/>
      <c r="F253" s="7">
        <f t="shared" si="8"/>
        <v>258.90666768715147</v>
      </c>
      <c r="G253" s="7"/>
      <c r="H253" s="7"/>
      <c r="I253" s="7"/>
      <c r="J253" s="7">
        <v>2636.7993251879998</v>
      </c>
      <c r="K253" s="7"/>
      <c r="L253" s="7">
        <f t="shared" si="9"/>
        <v>170.79146613134165</v>
      </c>
      <c r="M253" s="7"/>
      <c r="N253" s="7"/>
      <c r="O253" s="7"/>
    </row>
    <row r="254" spans="3:15" x14ac:dyDescent="0.2">
      <c r="C254">
        <v>235</v>
      </c>
      <c r="D254" s="7">
        <v>3208.6167780700689</v>
      </c>
      <c r="E254" s="7"/>
      <c r="F254" s="7">
        <f t="shared" si="8"/>
        <v>259.10382044170387</v>
      </c>
      <c r="G254" s="7"/>
      <c r="H254" s="7"/>
      <c r="I254" s="7"/>
      <c r="J254" s="7">
        <v>3177.1478761468743</v>
      </c>
      <c r="K254" s="7"/>
      <c r="L254" s="7">
        <f t="shared" si="9"/>
        <v>205.79106597143652</v>
      </c>
      <c r="M254" s="7"/>
      <c r="N254" s="7"/>
      <c r="O254" s="7"/>
    </row>
    <row r="255" spans="3:15" x14ac:dyDescent="0.2">
      <c r="C255">
        <v>236</v>
      </c>
      <c r="D255" s="7">
        <v>3211.0450192736225</v>
      </c>
      <c r="E255" s="7"/>
      <c r="F255" s="7">
        <f t="shared" si="8"/>
        <v>259.29990698500654</v>
      </c>
      <c r="G255" s="7"/>
      <c r="H255" s="7"/>
      <c r="I255" s="7"/>
      <c r="J255" s="7">
        <v>3174.7196349433207</v>
      </c>
      <c r="K255" s="7"/>
      <c r="L255" s="7">
        <f t="shared" si="9"/>
        <v>205.6337832873453</v>
      </c>
      <c r="M255" s="7"/>
      <c r="N255" s="7"/>
      <c r="O255" s="7"/>
    </row>
    <row r="256" spans="3:15" x14ac:dyDescent="0.2">
      <c r="C256">
        <v>237</v>
      </c>
      <c r="D256" s="7">
        <v>3213.4597893674077</v>
      </c>
      <c r="E256" s="7"/>
      <c r="F256" s="7">
        <f t="shared" si="8"/>
        <v>259.4949057025425</v>
      </c>
      <c r="G256" s="7"/>
      <c r="H256" s="7"/>
      <c r="I256" s="7"/>
      <c r="J256" s="7">
        <v>3491.5930975603828</v>
      </c>
      <c r="K256" s="7"/>
      <c r="L256" s="7">
        <f t="shared" si="9"/>
        <v>226.15839535831674</v>
      </c>
      <c r="M256" s="7"/>
      <c r="N256" s="7"/>
      <c r="O256" s="7"/>
    </row>
    <row r="257" spans="3:15" x14ac:dyDescent="0.2">
      <c r="C257">
        <v>238</v>
      </c>
      <c r="D257" s="7">
        <v>3215.8610331430941</v>
      </c>
      <c r="E257" s="7"/>
      <c r="F257" s="7">
        <f t="shared" si="8"/>
        <v>259.68881213610121</v>
      </c>
      <c r="G257" s="7"/>
      <c r="H257" s="7"/>
      <c r="I257" s="7"/>
      <c r="J257" s="7">
        <v>2659.042448736494</v>
      </c>
      <c r="K257" s="7"/>
      <c r="L257" s="7">
        <f t="shared" si="9"/>
        <v>172.23220363680844</v>
      </c>
      <c r="M257" s="7"/>
      <c r="N257" s="7"/>
      <c r="O257" s="7"/>
    </row>
    <row r="258" spans="3:15" x14ac:dyDescent="0.2">
      <c r="C258">
        <v>239</v>
      </c>
      <c r="D258" s="7">
        <v>3214.197249851095</v>
      </c>
      <c r="E258" s="7"/>
      <c r="F258" s="7">
        <f t="shared" si="8"/>
        <v>259.55445747888865</v>
      </c>
      <c r="G258" s="7"/>
      <c r="H258" s="7"/>
      <c r="I258" s="7"/>
      <c r="J258" s="7">
        <v>1830.5568269802907</v>
      </c>
      <c r="K258" s="7"/>
      <c r="L258" s="7">
        <f t="shared" si="9"/>
        <v>118.56931292805513</v>
      </c>
      <c r="M258" s="7"/>
      <c r="N258" s="7"/>
      <c r="O258" s="7"/>
    </row>
    <row r="259" spans="3:15" x14ac:dyDescent="0.2">
      <c r="C259">
        <v>240</v>
      </c>
      <c r="D259" s="7">
        <v>3210.3649466884899</v>
      </c>
      <c r="E259" s="7"/>
      <c r="F259" s="7">
        <f t="shared" si="8"/>
        <v>259.24498942483234</v>
      </c>
      <c r="G259" s="7"/>
      <c r="H259" s="7"/>
      <c r="I259" s="7"/>
      <c r="J259" s="7">
        <v>1004.2397250946924</v>
      </c>
      <c r="K259" s="7"/>
      <c r="L259" s="7">
        <f t="shared" si="9"/>
        <v>65.046882164242518</v>
      </c>
      <c r="M259" s="7"/>
      <c r="N259" s="7"/>
      <c r="O259" s="7"/>
    </row>
    <row r="260" spans="3:15" x14ac:dyDescent="0.2">
      <c r="C260">
        <v>241</v>
      </c>
      <c r="D260" s="7">
        <v>2713.9499780422011</v>
      </c>
      <c r="E260" s="7"/>
      <c r="F260" s="7">
        <f t="shared" si="8"/>
        <v>219.15824058657853</v>
      </c>
      <c r="G260" s="7"/>
      <c r="H260" s="7"/>
      <c r="I260" s="7"/>
      <c r="J260" s="7">
        <v>0</v>
      </c>
      <c r="K260" s="7"/>
      <c r="L260" s="7">
        <f t="shared" si="9"/>
        <v>0</v>
      </c>
      <c r="M260" s="7"/>
      <c r="N260" s="7"/>
      <c r="O260" s="7"/>
    </row>
    <row r="261" spans="3:15" x14ac:dyDescent="0.2">
      <c r="C261">
        <v>242</v>
      </c>
      <c r="D261" s="7">
        <v>2554.3058616867775</v>
      </c>
      <c r="E261" s="7"/>
      <c r="F261" s="7">
        <f t="shared" si="8"/>
        <v>206.2665793756033</v>
      </c>
      <c r="G261" s="7"/>
      <c r="H261" s="7"/>
      <c r="I261" s="7"/>
      <c r="J261" s="7">
        <v>0</v>
      </c>
      <c r="K261" s="7"/>
      <c r="L261" s="7">
        <f t="shared" si="9"/>
        <v>0</v>
      </c>
      <c r="M261" s="7"/>
      <c r="N261" s="7"/>
      <c r="O261" s="7"/>
    </row>
    <row r="262" spans="3:15" x14ac:dyDescent="0.2">
      <c r="C262">
        <v>243</v>
      </c>
      <c r="D262" s="7">
        <v>2713.9499780422011</v>
      </c>
      <c r="E262" s="7"/>
      <c r="F262" s="7">
        <f t="shared" si="8"/>
        <v>219.15824058657853</v>
      </c>
      <c r="G262" s="7"/>
      <c r="H262" s="7"/>
      <c r="I262" s="7"/>
      <c r="J262" s="7">
        <v>0</v>
      </c>
      <c r="K262" s="7"/>
      <c r="L262" s="7">
        <f t="shared" si="9"/>
        <v>0</v>
      </c>
      <c r="M262" s="7"/>
      <c r="N262" s="7"/>
      <c r="O262" s="7"/>
    </row>
    <row r="263" spans="3:15" x14ac:dyDescent="0.2">
      <c r="C263">
        <v>244</v>
      </c>
      <c r="D263" s="7">
        <v>2873.5940943976243</v>
      </c>
      <c r="E263" s="7"/>
      <c r="F263" s="7">
        <f t="shared" si="8"/>
        <v>232.0499017975537</v>
      </c>
      <c r="G263" s="7"/>
      <c r="H263" s="7"/>
      <c r="I263" s="7"/>
      <c r="J263" s="7">
        <v>0</v>
      </c>
      <c r="K263" s="7"/>
      <c r="L263" s="7">
        <f t="shared" si="9"/>
        <v>0</v>
      </c>
      <c r="M263" s="7"/>
      <c r="N263" s="7"/>
      <c r="O263" s="7"/>
    </row>
    <row r="264" spans="3:15" x14ac:dyDescent="0.2">
      <c r="C264">
        <v>245</v>
      </c>
      <c r="D264" s="7">
        <v>3192.8823271084716</v>
      </c>
      <c r="E264" s="7"/>
      <c r="F264" s="7">
        <f t="shared" si="8"/>
        <v>257.83322421950413</v>
      </c>
      <c r="G264" s="7"/>
      <c r="H264" s="7"/>
      <c r="I264" s="7"/>
      <c r="J264" s="7">
        <v>0</v>
      </c>
      <c r="K264" s="7"/>
      <c r="L264" s="7">
        <f t="shared" si="9"/>
        <v>0</v>
      </c>
      <c r="M264" s="7"/>
      <c r="N264" s="7"/>
      <c r="O264" s="7"/>
    </row>
    <row r="265" spans="3:15" x14ac:dyDescent="0.2">
      <c r="C265">
        <v>246</v>
      </c>
      <c r="D265" s="7">
        <v>3191.8275834842561</v>
      </c>
      <c r="E265" s="7"/>
      <c r="F265" s="7">
        <f t="shared" si="8"/>
        <v>257.74805103693876</v>
      </c>
      <c r="G265" s="7"/>
      <c r="H265" s="7"/>
      <c r="I265" s="7"/>
      <c r="J265" s="7">
        <v>213.91356543144684</v>
      </c>
      <c r="K265" s="7"/>
      <c r="L265" s="7">
        <f t="shared" si="9"/>
        <v>13.8556662679723</v>
      </c>
      <c r="M265" s="7"/>
      <c r="N265" s="7"/>
      <c r="O265" s="7"/>
    </row>
    <row r="266" spans="3:15" x14ac:dyDescent="0.2">
      <c r="C266">
        <v>247</v>
      </c>
      <c r="D266" s="7">
        <v>3190.3144009819034</v>
      </c>
      <c r="E266" s="7"/>
      <c r="F266" s="7">
        <f t="shared" si="8"/>
        <v>257.62585776971383</v>
      </c>
      <c r="G266" s="7"/>
      <c r="H266" s="7"/>
      <c r="I266" s="7"/>
      <c r="J266" s="7">
        <v>428.28556974103049</v>
      </c>
      <c r="K266" s="7"/>
      <c r="L266" s="7">
        <f t="shared" si="9"/>
        <v>27.74102666070436</v>
      </c>
      <c r="M266" s="7"/>
      <c r="N266" s="7"/>
      <c r="O266" s="7"/>
    </row>
    <row r="267" spans="3:15" x14ac:dyDescent="0.2">
      <c r="C267">
        <v>248</v>
      </c>
      <c r="D267" s="7">
        <v>3192.8590023527186</v>
      </c>
      <c r="E267" s="7"/>
      <c r="F267" s="7">
        <f t="shared" si="8"/>
        <v>257.8313406872083</v>
      </c>
      <c r="G267" s="7"/>
      <c r="H267" s="7"/>
      <c r="I267" s="7"/>
      <c r="J267" s="7">
        <v>638.59979017744718</v>
      </c>
      <c r="K267" s="7"/>
      <c r="L267" s="7">
        <f t="shared" si="9"/>
        <v>41.363555198800356</v>
      </c>
      <c r="M267" s="7"/>
      <c r="N267" s="7"/>
      <c r="O267" s="7"/>
    </row>
    <row r="268" spans="3:15" x14ac:dyDescent="0.2">
      <c r="C268">
        <v>249</v>
      </c>
      <c r="D268" s="7">
        <v>3195.3988810698424</v>
      </c>
      <c r="E268" s="7"/>
      <c r="F268" s="7">
        <f t="shared" si="8"/>
        <v>258.0364422386192</v>
      </c>
      <c r="G268" s="7"/>
      <c r="H268" s="7"/>
      <c r="I268" s="7"/>
      <c r="J268" s="7">
        <v>848.91873326755422</v>
      </c>
      <c r="K268" s="7"/>
      <c r="L268" s="7">
        <f t="shared" si="9"/>
        <v>54.986389633875348</v>
      </c>
      <c r="M268" s="7"/>
      <c r="N268" s="7"/>
      <c r="O268" s="7"/>
    </row>
    <row r="269" spans="3:15" x14ac:dyDescent="0.2">
      <c r="C269">
        <v>250</v>
      </c>
      <c r="D269" s="7">
        <v>3197.9335106351978</v>
      </c>
      <c r="E269" s="7"/>
      <c r="F269" s="7">
        <f t="shared" si="8"/>
        <v>258.2411199079117</v>
      </c>
      <c r="G269" s="7"/>
      <c r="H269" s="7"/>
      <c r="I269" s="7"/>
      <c r="J269" s="7">
        <v>1059.2429255094307</v>
      </c>
      <c r="K269" s="7"/>
      <c r="L269" s="7">
        <f t="shared" si="9"/>
        <v>68.609564068402747</v>
      </c>
      <c r="M269" s="7"/>
      <c r="N269" s="7"/>
      <c r="O269" s="7"/>
    </row>
    <row r="270" spans="3:15" x14ac:dyDescent="0.2">
      <c r="C270">
        <v>251</v>
      </c>
      <c r="D270" s="7">
        <v>3200.4623677440973</v>
      </c>
      <c r="E270" s="7"/>
      <c r="F270" s="7">
        <f t="shared" si="8"/>
        <v>258.44533143692485</v>
      </c>
      <c r="G270" s="7"/>
      <c r="H270" s="7"/>
      <c r="I270" s="7"/>
      <c r="J270" s="7">
        <v>1269.5728902077631</v>
      </c>
      <c r="K270" s="7"/>
      <c r="L270" s="7">
        <f t="shared" si="9"/>
        <v>82.233112398012651</v>
      </c>
      <c r="M270" s="7"/>
      <c r="N270" s="7"/>
      <c r="O270" s="7"/>
    </row>
    <row r="271" spans="3:15" x14ac:dyDescent="0.2">
      <c r="C271">
        <v>252</v>
      </c>
      <c r="D271" s="7">
        <v>3202.9849323198773</v>
      </c>
      <c r="E271" s="7"/>
      <c r="F271" s="7">
        <f t="shared" si="8"/>
        <v>258.64903482816896</v>
      </c>
      <c r="G271" s="7"/>
      <c r="H271" s="7"/>
      <c r="I271" s="7"/>
      <c r="J271" s="7">
        <v>1479.9091474392139</v>
      </c>
      <c r="K271" s="7"/>
      <c r="L271" s="7">
        <f t="shared" si="9"/>
        <v>95.857068309248788</v>
      </c>
      <c r="M271" s="7"/>
      <c r="N271" s="7"/>
      <c r="O271" s="7"/>
    </row>
    <row r="272" spans="3:15" x14ac:dyDescent="0.2">
      <c r="C272">
        <v>253</v>
      </c>
      <c r="D272" s="7">
        <v>3205.5006875481877</v>
      </c>
      <c r="E272" s="7"/>
      <c r="F272" s="7">
        <f t="shared" si="8"/>
        <v>258.85218834759405</v>
      </c>
      <c r="G272" s="7"/>
      <c r="H272" s="7"/>
      <c r="I272" s="7"/>
      <c r="J272" s="7">
        <v>1690.2522140181345</v>
      </c>
      <c r="K272" s="7"/>
      <c r="L272" s="7">
        <f t="shared" si="9"/>
        <v>109.48146527734755</v>
      </c>
      <c r="M272" s="7"/>
      <c r="N272" s="7"/>
      <c r="O272" s="7"/>
    </row>
    <row r="273" spans="3:15" x14ac:dyDescent="0.2">
      <c r="C273">
        <v>254</v>
      </c>
      <c r="D273" s="7">
        <v>3208.0091199110179</v>
      </c>
      <c r="E273" s="7"/>
      <c r="F273" s="7">
        <f t="shared" si="8"/>
        <v>259.054750527338</v>
      </c>
      <c r="G273" s="7"/>
      <c r="H273" s="7"/>
      <c r="I273" s="7"/>
      <c r="J273" s="7">
        <v>1900.602603462537</v>
      </c>
      <c r="K273" s="7"/>
      <c r="L273" s="7">
        <f t="shared" si="9"/>
        <v>123.10633656403401</v>
      </c>
      <c r="M273" s="7"/>
      <c r="N273" s="7"/>
      <c r="O273" s="7"/>
    </row>
    <row r="274" spans="3:15" x14ac:dyDescent="0.2">
      <c r="C274">
        <v>255</v>
      </c>
      <c r="D274" s="7">
        <v>3210.5099075115813</v>
      </c>
      <c r="E274" s="7"/>
      <c r="F274" s="7">
        <f t="shared" si="8"/>
        <v>259.25669537343117</v>
      </c>
      <c r="G274" s="7"/>
      <c r="H274" s="7"/>
      <c r="I274" s="7"/>
      <c r="J274" s="7">
        <v>1738.457699506549</v>
      </c>
      <c r="K274" s="7"/>
      <c r="L274" s="7">
        <f t="shared" si="9"/>
        <v>112.60384378506825</v>
      </c>
      <c r="M274" s="7"/>
      <c r="N274" s="7"/>
      <c r="O274" s="7"/>
    </row>
    <row r="275" spans="3:15" x14ac:dyDescent="0.2">
      <c r="C275">
        <v>256</v>
      </c>
      <c r="D275" s="7">
        <v>3213.0032136770765</v>
      </c>
      <c r="E275" s="7"/>
      <c r="F275" s="7">
        <f t="shared" si="8"/>
        <v>259.45803607495276</v>
      </c>
      <c r="G275" s="7"/>
      <c r="H275" s="7"/>
      <c r="I275" s="7"/>
      <c r="J275" s="7">
        <v>2108.4673315037103</v>
      </c>
      <c r="K275" s="7"/>
      <c r="L275" s="7">
        <f t="shared" si="9"/>
        <v>136.57020593020709</v>
      </c>
      <c r="M275" s="7"/>
      <c r="N275" s="7"/>
      <c r="O275" s="7"/>
    </row>
    <row r="276" spans="3:15" x14ac:dyDescent="0.2">
      <c r="C276">
        <v>257</v>
      </c>
      <c r="D276" s="7">
        <v>3215.4883143783727</v>
      </c>
      <c r="E276" s="7"/>
      <c r="F276" s="7">
        <f t="shared" si="8"/>
        <v>259.65871416474181</v>
      </c>
      <c r="G276" s="7"/>
      <c r="H276" s="7"/>
      <c r="I276" s="7"/>
      <c r="J276" s="7">
        <v>2478.4851689650686</v>
      </c>
      <c r="K276" s="7"/>
      <c r="L276" s="7">
        <f t="shared" si="9"/>
        <v>160.53709956185202</v>
      </c>
      <c r="M276" s="7"/>
      <c r="N276" s="7"/>
      <c r="O276" s="7"/>
    </row>
    <row r="277" spans="3:15" x14ac:dyDescent="0.2">
      <c r="C277">
        <v>258</v>
      </c>
      <c r="D277" s="7">
        <v>3217.9642221248232</v>
      </c>
      <c r="E277" s="7"/>
      <c r="F277" s="7">
        <f t="shared" ref="F277:F340" si="10">D277*(1-($C$2/($D$8-$D$6)*LN($D$8/$D$6)))</f>
        <v>259.85864990046167</v>
      </c>
      <c r="G277" s="7"/>
      <c r="H277" s="7"/>
      <c r="I277" s="7"/>
      <c r="J277" s="7">
        <v>2848.5121993812727</v>
      </c>
      <c r="K277" s="7"/>
      <c r="L277" s="7">
        <f t="shared" ref="L277:L340" si="11">J277*(1-$C$2/($D$10-$D$9)*LN($D$10/$D$9))</f>
        <v>184.50458864200951</v>
      </c>
      <c r="M277" s="7"/>
      <c r="N277" s="7"/>
      <c r="O277" s="7"/>
    </row>
    <row r="278" spans="3:15" x14ac:dyDescent="0.2">
      <c r="C278">
        <v>259</v>
      </c>
      <c r="D278" s="7">
        <v>3220.4303660438209</v>
      </c>
      <c r="E278" s="7"/>
      <c r="F278" s="7">
        <f t="shared" si="10"/>
        <v>260.05779718272322</v>
      </c>
      <c r="G278" s="7"/>
      <c r="H278" s="7"/>
      <c r="I278" s="7"/>
      <c r="J278" s="7">
        <v>2407.0247354848607</v>
      </c>
      <c r="K278" s="7"/>
      <c r="L278" s="7">
        <f t="shared" si="11"/>
        <v>155.90844538711849</v>
      </c>
      <c r="M278" s="7"/>
      <c r="N278" s="7"/>
      <c r="O278" s="7"/>
    </row>
    <row r="279" spans="3:15" x14ac:dyDescent="0.2">
      <c r="C279">
        <v>260</v>
      </c>
      <c r="D279" s="7">
        <v>3222.8878175144328</v>
      </c>
      <c r="E279" s="7"/>
      <c r="F279" s="7">
        <f t="shared" si="10"/>
        <v>260.2562425280625</v>
      </c>
      <c r="G279" s="7"/>
      <c r="H279" s="7"/>
      <c r="I279" s="7"/>
      <c r="J279" s="7">
        <v>1965.5459640368335</v>
      </c>
      <c r="K279" s="7"/>
      <c r="L279" s="7">
        <f t="shared" si="11"/>
        <v>127.31286516180269</v>
      </c>
      <c r="M279" s="7"/>
      <c r="N279" s="7"/>
      <c r="O279" s="7"/>
    </row>
    <row r="280" spans="3:15" x14ac:dyDescent="0.2">
      <c r="C280">
        <v>261</v>
      </c>
      <c r="D280" s="7">
        <v>3225.3380507086035</v>
      </c>
      <c r="E280" s="7"/>
      <c r="F280" s="7">
        <f t="shared" si="10"/>
        <v>260.45410497954686</v>
      </c>
      <c r="G280" s="7"/>
      <c r="H280" s="7"/>
      <c r="I280" s="7"/>
      <c r="J280" s="7">
        <v>1524.0744108652475</v>
      </c>
      <c r="K280" s="7"/>
      <c r="L280" s="7">
        <f t="shared" si="11"/>
        <v>98.717752480605427</v>
      </c>
      <c r="M280" s="7"/>
      <c r="N280" s="7"/>
      <c r="O280" s="7"/>
    </row>
    <row r="281" spans="3:15" x14ac:dyDescent="0.2">
      <c r="C281">
        <v>262</v>
      </c>
      <c r="D281" s="7">
        <v>3227.7825310363773</v>
      </c>
      <c r="E281" s="7"/>
      <c r="F281" s="7">
        <f t="shared" si="10"/>
        <v>260.65150287269813</v>
      </c>
      <c r="G281" s="7"/>
      <c r="H281" s="7"/>
      <c r="I281" s="7"/>
      <c r="J281" s="7">
        <v>1082.6086105600602</v>
      </c>
      <c r="K281" s="7"/>
      <c r="L281" s="7">
        <f t="shared" si="11"/>
        <v>70.123012425598318</v>
      </c>
      <c r="M281" s="7"/>
      <c r="N281" s="7"/>
      <c r="O281" s="7"/>
    </row>
    <row r="282" spans="3:15" x14ac:dyDescent="0.2">
      <c r="C282">
        <v>263</v>
      </c>
      <c r="D282" s="7">
        <v>3226.1796597097164</v>
      </c>
      <c r="E282" s="7"/>
      <c r="F282" s="7">
        <f t="shared" si="10"/>
        <v>260.52206700885398</v>
      </c>
      <c r="G282" s="7"/>
      <c r="H282" s="7"/>
      <c r="I282" s="7"/>
      <c r="J282" s="7">
        <v>645.19016190930643</v>
      </c>
      <c r="K282" s="7"/>
      <c r="L282" s="7">
        <f t="shared" si="11"/>
        <v>41.790428506785041</v>
      </c>
      <c r="M282" s="7"/>
      <c r="N282" s="7"/>
      <c r="O282" s="7"/>
    </row>
    <row r="283" spans="3:15" x14ac:dyDescent="0.2">
      <c r="C283">
        <v>264</v>
      </c>
      <c r="D283" s="7">
        <v>3192.8823271084716</v>
      </c>
      <c r="E283" s="7"/>
      <c r="F283" s="7">
        <f t="shared" si="10"/>
        <v>257.83322421950413</v>
      </c>
      <c r="G283" s="7"/>
      <c r="H283" s="7"/>
      <c r="I283" s="7"/>
      <c r="J283" s="7">
        <v>0</v>
      </c>
      <c r="K283" s="7"/>
      <c r="L283" s="7">
        <f t="shared" si="11"/>
        <v>0</v>
      </c>
      <c r="M283" s="7"/>
      <c r="N283" s="7"/>
      <c r="O283" s="7"/>
    </row>
    <row r="284" spans="3:15" x14ac:dyDescent="0.2">
      <c r="C284">
        <v>265</v>
      </c>
      <c r="D284" s="7">
        <v>2713.9499780422011</v>
      </c>
      <c r="E284" s="7"/>
      <c r="F284" s="7">
        <f t="shared" si="10"/>
        <v>219.15824058657853</v>
      </c>
      <c r="G284" s="7"/>
      <c r="H284" s="7"/>
      <c r="I284" s="7"/>
      <c r="J284" s="7">
        <v>0</v>
      </c>
      <c r="K284" s="7"/>
      <c r="L284" s="7">
        <f t="shared" si="11"/>
        <v>0</v>
      </c>
      <c r="M284" s="7"/>
      <c r="N284" s="7"/>
      <c r="O284" s="7"/>
    </row>
    <row r="285" spans="3:15" x14ac:dyDescent="0.2">
      <c r="C285">
        <v>266</v>
      </c>
      <c r="D285" s="7">
        <v>2554.3058616867775</v>
      </c>
      <c r="E285" s="7"/>
      <c r="F285" s="7">
        <f t="shared" si="10"/>
        <v>206.2665793756033</v>
      </c>
      <c r="G285" s="7"/>
      <c r="H285" s="7"/>
      <c r="I285" s="7"/>
      <c r="J285" s="7">
        <v>0</v>
      </c>
      <c r="K285" s="7"/>
      <c r="L285" s="7">
        <f t="shared" si="11"/>
        <v>0</v>
      </c>
      <c r="M285" s="7"/>
      <c r="N285" s="7"/>
      <c r="O285" s="7"/>
    </row>
    <row r="286" spans="3:15" x14ac:dyDescent="0.2">
      <c r="C286">
        <v>267</v>
      </c>
      <c r="D286" s="7">
        <v>2713.9499780422011</v>
      </c>
      <c r="E286" s="7"/>
      <c r="F286" s="7">
        <f t="shared" si="10"/>
        <v>219.15824058657853</v>
      </c>
      <c r="G286" s="7"/>
      <c r="H286" s="7"/>
      <c r="I286" s="7"/>
      <c r="J286" s="7">
        <v>0</v>
      </c>
      <c r="K286" s="7"/>
      <c r="L286" s="7">
        <f t="shared" si="11"/>
        <v>0</v>
      </c>
      <c r="M286" s="7"/>
      <c r="N286" s="7"/>
      <c r="O286" s="7"/>
    </row>
    <row r="287" spans="3:15" x14ac:dyDescent="0.2">
      <c r="C287">
        <v>268</v>
      </c>
      <c r="D287" s="7">
        <v>2873.5940943976243</v>
      </c>
      <c r="E287" s="7"/>
      <c r="F287" s="7">
        <f t="shared" si="10"/>
        <v>232.0499017975537</v>
      </c>
      <c r="G287" s="7"/>
      <c r="H287" s="7"/>
      <c r="I287" s="7"/>
      <c r="J287" s="7">
        <v>0</v>
      </c>
      <c r="K287" s="7"/>
      <c r="L287" s="7">
        <f t="shared" si="11"/>
        <v>0</v>
      </c>
      <c r="M287" s="7"/>
      <c r="N287" s="7"/>
      <c r="O287" s="7"/>
    </row>
    <row r="288" spans="3:15" x14ac:dyDescent="0.2">
      <c r="C288">
        <v>269</v>
      </c>
      <c r="D288" s="7">
        <v>3163.8561241347584</v>
      </c>
      <c r="E288" s="7"/>
      <c r="F288" s="7">
        <f t="shared" si="10"/>
        <v>255.48928581750863</v>
      </c>
      <c r="G288" s="7"/>
      <c r="H288" s="7"/>
      <c r="I288" s="7"/>
      <c r="J288" s="7">
        <v>0</v>
      </c>
      <c r="K288" s="7"/>
      <c r="L288" s="7">
        <f t="shared" si="11"/>
        <v>0</v>
      </c>
      <c r="M288" s="7"/>
      <c r="N288" s="7"/>
      <c r="O288" s="7"/>
    </row>
    <row r="289" spans="3:15" x14ac:dyDescent="0.2">
      <c r="C289">
        <v>270</v>
      </c>
      <c r="D289" s="7">
        <v>3204.9710194973286</v>
      </c>
      <c r="E289" s="7"/>
      <c r="F289" s="7">
        <f t="shared" si="10"/>
        <v>258.80941632929586</v>
      </c>
      <c r="G289" s="7"/>
      <c r="H289" s="7"/>
      <c r="I289" s="7"/>
      <c r="J289" s="7">
        <v>162.06852545342326</v>
      </c>
      <c r="K289" s="7"/>
      <c r="L289" s="7">
        <f t="shared" si="11"/>
        <v>10.497545570314223</v>
      </c>
      <c r="M289" s="7"/>
      <c r="N289" s="7"/>
      <c r="O289" s="7"/>
    </row>
    <row r="290" spans="3:15" x14ac:dyDescent="0.2">
      <c r="C290">
        <v>271</v>
      </c>
      <c r="D290" s="7">
        <v>3203.5322311610453</v>
      </c>
      <c r="E290" s="7"/>
      <c r="F290" s="7">
        <f t="shared" si="10"/>
        <v>258.69323057682897</v>
      </c>
      <c r="G290" s="7"/>
      <c r="H290" s="7"/>
      <c r="I290" s="7"/>
      <c r="J290" s="7">
        <v>366.69073460570007</v>
      </c>
      <c r="K290" s="7"/>
      <c r="L290" s="7">
        <f t="shared" si="11"/>
        <v>23.751389641917843</v>
      </c>
      <c r="M290" s="7"/>
      <c r="N290" s="7"/>
      <c r="O290" s="7"/>
    </row>
    <row r="291" spans="3:15" x14ac:dyDescent="0.2">
      <c r="C291">
        <v>272</v>
      </c>
      <c r="D291" s="7">
        <v>3206.1504977692193</v>
      </c>
      <c r="E291" s="7"/>
      <c r="F291" s="7">
        <f t="shared" si="10"/>
        <v>258.90466214626707</v>
      </c>
      <c r="G291" s="7"/>
      <c r="H291" s="7"/>
      <c r="I291" s="7"/>
      <c r="J291" s="7">
        <v>567.25588881351996</v>
      </c>
      <c r="K291" s="7"/>
      <c r="L291" s="7">
        <f t="shared" si="11"/>
        <v>36.742449073249375</v>
      </c>
      <c r="M291" s="7"/>
      <c r="N291" s="7"/>
      <c r="O291" s="7"/>
    </row>
    <row r="292" spans="3:15" x14ac:dyDescent="0.2">
      <c r="C292">
        <v>273</v>
      </c>
      <c r="D292" s="7">
        <v>3208.7664219993421</v>
      </c>
      <c r="E292" s="7"/>
      <c r="F292" s="7">
        <f t="shared" si="10"/>
        <v>259.11590456282596</v>
      </c>
      <c r="G292" s="7"/>
      <c r="H292" s="7"/>
      <c r="I292" s="7"/>
      <c r="J292" s="7">
        <v>767.8233853993911</v>
      </c>
      <c r="K292" s="7"/>
      <c r="L292" s="7">
        <f t="shared" si="11"/>
        <v>49.733660225714097</v>
      </c>
      <c r="M292" s="7"/>
      <c r="N292" s="7"/>
      <c r="O292" s="7"/>
    </row>
    <row r="293" spans="3:15" x14ac:dyDescent="0.2">
      <c r="C293">
        <v>274</v>
      </c>
      <c r="D293" s="7">
        <v>3211.3794915803678</v>
      </c>
      <c r="E293" s="7"/>
      <c r="F293" s="7">
        <f t="shared" si="10"/>
        <v>259.32691645933886</v>
      </c>
      <c r="G293" s="7"/>
      <c r="H293" s="7"/>
      <c r="I293" s="7"/>
      <c r="J293" s="7">
        <v>968.39373663435845</v>
      </c>
      <c r="K293" s="7"/>
      <c r="L293" s="7">
        <f t="shared" si="11"/>
        <v>62.72505628026817</v>
      </c>
      <c r="M293" s="7"/>
      <c r="N293" s="7"/>
      <c r="O293" s="7"/>
    </row>
    <row r="294" spans="3:15" x14ac:dyDescent="0.2">
      <c r="C294">
        <v>275</v>
      </c>
      <c r="D294" s="7">
        <v>3213.989197063916</v>
      </c>
      <c r="E294" s="7"/>
      <c r="F294" s="7">
        <f t="shared" si="10"/>
        <v>259.53765669657645</v>
      </c>
      <c r="G294" s="7"/>
      <c r="H294" s="7"/>
      <c r="I294" s="7"/>
      <c r="J294" s="7">
        <v>1168.9674519668038</v>
      </c>
      <c r="K294" s="7"/>
      <c r="L294" s="7">
        <f t="shared" si="11"/>
        <v>75.716670235037469</v>
      </c>
      <c r="M294" s="7"/>
      <c r="N294" s="7"/>
      <c r="O294" s="7"/>
    </row>
    <row r="295" spans="3:15" x14ac:dyDescent="0.2">
      <c r="C295">
        <v>276</v>
      </c>
      <c r="D295" s="7">
        <v>3216.5950318586742</v>
      </c>
      <c r="E295" s="7"/>
      <c r="F295" s="7">
        <f t="shared" si="10"/>
        <v>259.74808436602473</v>
      </c>
      <c r="G295" s="7"/>
      <c r="H295" s="7"/>
      <c r="I295" s="7"/>
      <c r="J295" s="7">
        <v>1369.5450379880399</v>
      </c>
      <c r="K295" s="7"/>
      <c r="L295" s="7">
        <f t="shared" si="11"/>
        <v>88.708534903089046</v>
      </c>
      <c r="M295" s="7"/>
      <c r="N295" s="7"/>
      <c r="O295" s="7"/>
    </row>
    <row r="296" spans="3:15" x14ac:dyDescent="0.2">
      <c r="C296">
        <v>277</v>
      </c>
      <c r="D296" s="7">
        <v>3219.1964922645061</v>
      </c>
      <c r="E296" s="7"/>
      <c r="F296" s="7">
        <f t="shared" si="10"/>
        <v>259.95815879263927</v>
      </c>
      <c r="G296" s="7"/>
      <c r="H296" s="7"/>
      <c r="I296" s="7"/>
      <c r="J296" s="7">
        <v>1570.1269983982024</v>
      </c>
      <c r="K296" s="7"/>
      <c r="L296" s="7">
        <f t="shared" si="11"/>
        <v>101.70068291022184</v>
      </c>
      <c r="M296" s="7"/>
      <c r="N296" s="7"/>
      <c r="O296" s="7"/>
    </row>
    <row r="297" spans="3:15" x14ac:dyDescent="0.2">
      <c r="C297">
        <v>278</v>
      </c>
      <c r="D297" s="7">
        <v>3221.7932263227344</v>
      </c>
      <c r="E297" s="7"/>
      <c r="F297" s="7">
        <f t="shared" si="10"/>
        <v>260.16785155487764</v>
      </c>
      <c r="G297" s="7"/>
      <c r="H297" s="7"/>
      <c r="I297" s="7"/>
      <c r="J297" s="7">
        <v>1476.3050549940167</v>
      </c>
      <c r="K297" s="7"/>
      <c r="L297" s="7">
        <f t="shared" si="11"/>
        <v>95.62362307626951</v>
      </c>
      <c r="M297" s="7"/>
      <c r="N297" s="7"/>
      <c r="O297" s="7"/>
    </row>
    <row r="298" spans="3:15" x14ac:dyDescent="0.2">
      <c r="C298">
        <v>279</v>
      </c>
      <c r="D298" s="7">
        <v>3224.3854784678947</v>
      </c>
      <c r="E298" s="7"/>
      <c r="F298" s="7">
        <f t="shared" si="10"/>
        <v>260.37718239143931</v>
      </c>
      <c r="G298" s="7"/>
      <c r="H298" s="7"/>
      <c r="I298" s="7"/>
      <c r="J298" s="7">
        <v>1382.4875935029008</v>
      </c>
      <c r="K298" s="7"/>
      <c r="L298" s="7">
        <f t="shared" si="11"/>
        <v>89.546853545980753</v>
      </c>
      <c r="M298" s="7"/>
      <c r="N298" s="7"/>
      <c r="O298" s="7"/>
    </row>
    <row r="299" spans="3:15" x14ac:dyDescent="0.2">
      <c r="C299">
        <v>280</v>
      </c>
      <c r="D299" s="7">
        <v>3226.9736398814803</v>
      </c>
      <c r="E299" s="7"/>
      <c r="F299" s="7">
        <f t="shared" si="10"/>
        <v>260.5861828912071</v>
      </c>
      <c r="G299" s="7"/>
      <c r="H299" s="7"/>
      <c r="I299" s="7"/>
      <c r="J299" s="7">
        <v>1288.6742227433588</v>
      </c>
      <c r="K299" s="7"/>
      <c r="L299" s="7">
        <f t="shared" si="11"/>
        <v>83.470348981643866</v>
      </c>
      <c r="M299" s="7"/>
      <c r="N299" s="7"/>
      <c r="O299" s="7"/>
    </row>
    <row r="300" spans="3:15" x14ac:dyDescent="0.2">
      <c r="C300">
        <v>281</v>
      </c>
      <c r="D300" s="7">
        <v>3229.5580991965803</v>
      </c>
      <c r="E300" s="7"/>
      <c r="F300" s="7">
        <f t="shared" si="10"/>
        <v>260.79488443727371</v>
      </c>
      <c r="G300" s="7"/>
      <c r="H300" s="7"/>
      <c r="I300" s="7"/>
      <c r="J300" s="7">
        <v>1194.8645540823022</v>
      </c>
      <c r="K300" s="7"/>
      <c r="L300" s="7">
        <f t="shared" si="11"/>
        <v>77.394084210613215</v>
      </c>
      <c r="M300" s="7"/>
      <c r="N300" s="7"/>
      <c r="O300" s="7"/>
    </row>
    <row r="301" spans="3:15" x14ac:dyDescent="0.2">
      <c r="C301">
        <v>282</v>
      </c>
      <c r="D301" s="7">
        <v>3232.1392424740757</v>
      </c>
      <c r="E301" s="7"/>
      <c r="F301" s="7">
        <f t="shared" si="10"/>
        <v>261.00331820501981</v>
      </c>
      <c r="G301" s="7"/>
      <c r="H301" s="7"/>
      <c r="I301" s="7"/>
      <c r="J301" s="7">
        <v>1101.0582014588504</v>
      </c>
      <c r="K301" s="7"/>
      <c r="L301" s="7">
        <f t="shared" si="11"/>
        <v>71.318034226850926</v>
      </c>
      <c r="M301" s="7"/>
      <c r="N301" s="7"/>
      <c r="O301" s="7"/>
    </row>
    <row r="302" spans="3:15" x14ac:dyDescent="0.2">
      <c r="C302">
        <v>283</v>
      </c>
      <c r="D302" s="7">
        <v>3235.5989616747784</v>
      </c>
      <c r="E302" s="7"/>
      <c r="F302" s="7">
        <f t="shared" si="10"/>
        <v>261.2826991733811</v>
      </c>
      <c r="G302" s="7"/>
      <c r="H302" s="7"/>
      <c r="I302" s="7"/>
      <c r="J302" s="7">
        <v>1006.3732729121912</v>
      </c>
      <c r="K302" s="7"/>
      <c r="L302" s="7">
        <f t="shared" si="11"/>
        <v>65.185076890072082</v>
      </c>
      <c r="M302" s="7"/>
      <c r="N302" s="7"/>
      <c r="O302" s="7"/>
    </row>
    <row r="303" spans="3:15" x14ac:dyDescent="0.2">
      <c r="C303">
        <v>284</v>
      </c>
      <c r="D303" s="7">
        <v>3239.0544624188715</v>
      </c>
      <c r="E303" s="7"/>
      <c r="F303" s="7">
        <f t="shared" si="10"/>
        <v>261.56173949083285</v>
      </c>
      <c r="G303" s="7"/>
      <c r="H303" s="7"/>
      <c r="I303" s="7"/>
      <c r="J303" s="7">
        <v>911.69256282214155</v>
      </c>
      <c r="K303" s="7"/>
      <c r="L303" s="7">
        <f t="shared" si="11"/>
        <v>59.052392792285026</v>
      </c>
      <c r="M303" s="7"/>
      <c r="N303" s="7"/>
      <c r="O303" s="7"/>
    </row>
    <row r="304" spans="3:15" x14ac:dyDescent="0.2">
      <c r="C304">
        <v>285</v>
      </c>
      <c r="D304" s="7">
        <v>3242.5059201464273</v>
      </c>
      <c r="E304" s="7"/>
      <c r="F304" s="7">
        <f t="shared" si="10"/>
        <v>261.84045332459914</v>
      </c>
      <c r="G304" s="7"/>
      <c r="H304" s="7"/>
      <c r="I304" s="7"/>
      <c r="J304" s="7">
        <v>1227.529337805433</v>
      </c>
      <c r="K304" s="7"/>
      <c r="L304" s="7">
        <f t="shared" si="11"/>
        <v>79.509856256534434</v>
      </c>
      <c r="M304" s="7"/>
      <c r="N304" s="7"/>
      <c r="O304" s="7"/>
    </row>
    <row r="305" spans="3:15" x14ac:dyDescent="0.2">
      <c r="C305">
        <v>286</v>
      </c>
      <c r="D305" s="7">
        <v>3245.9530836277704</v>
      </c>
      <c r="E305" s="7"/>
      <c r="F305" s="7">
        <f t="shared" si="10"/>
        <v>262.11882038725611</v>
      </c>
      <c r="G305" s="7"/>
      <c r="H305" s="7"/>
      <c r="I305" s="7"/>
      <c r="J305" s="7">
        <v>745.14982525781852</v>
      </c>
      <c r="K305" s="7"/>
      <c r="L305" s="7">
        <f t="shared" si="11"/>
        <v>48.265042366931752</v>
      </c>
      <c r="M305" s="7"/>
      <c r="N305" s="7"/>
      <c r="O305" s="7"/>
    </row>
    <row r="306" spans="3:15" x14ac:dyDescent="0.2">
      <c r="C306">
        <v>287</v>
      </c>
      <c r="D306" s="7">
        <v>3245.336389618094</v>
      </c>
      <c r="E306" s="7"/>
      <c r="F306" s="7">
        <f t="shared" si="10"/>
        <v>262.06902080537935</v>
      </c>
      <c r="G306" s="7"/>
      <c r="H306" s="7"/>
      <c r="I306" s="7"/>
      <c r="J306" s="7">
        <v>266.83417020122488</v>
      </c>
      <c r="K306" s="7"/>
      <c r="L306" s="7">
        <f t="shared" si="11"/>
        <v>17.283453733953706</v>
      </c>
      <c r="M306" s="7"/>
      <c r="N306" s="7"/>
      <c r="O306" s="7"/>
    </row>
    <row r="307" spans="3:15" x14ac:dyDescent="0.2">
      <c r="C307">
        <v>288</v>
      </c>
      <c r="D307" s="7">
        <v>3033.238210753048</v>
      </c>
      <c r="E307" s="7"/>
      <c r="F307" s="7">
        <f t="shared" si="10"/>
        <v>244.9415630085289</v>
      </c>
      <c r="G307" s="7"/>
      <c r="H307" s="7"/>
      <c r="I307" s="7"/>
      <c r="J307" s="7">
        <v>0</v>
      </c>
      <c r="K307" s="7"/>
      <c r="L307" s="7">
        <f t="shared" si="11"/>
        <v>0</v>
      </c>
      <c r="M307" s="7"/>
      <c r="N307" s="7"/>
      <c r="O307" s="7"/>
    </row>
    <row r="308" spans="3:15" x14ac:dyDescent="0.2">
      <c r="C308">
        <v>289</v>
      </c>
      <c r="D308" s="7">
        <v>2554.3058616867775</v>
      </c>
      <c r="E308" s="7"/>
      <c r="F308" s="7">
        <f t="shared" si="10"/>
        <v>206.2665793756033</v>
      </c>
      <c r="G308" s="7"/>
      <c r="H308" s="7"/>
      <c r="I308" s="7"/>
      <c r="J308" s="7">
        <v>0</v>
      </c>
      <c r="K308" s="7"/>
      <c r="L308" s="7">
        <f t="shared" si="11"/>
        <v>0</v>
      </c>
      <c r="M308" s="7"/>
      <c r="N308" s="7"/>
      <c r="O308" s="7"/>
    </row>
    <row r="309" spans="3:15" x14ac:dyDescent="0.2">
      <c r="C309">
        <v>290</v>
      </c>
      <c r="D309" s="7">
        <v>2554.3058616867775</v>
      </c>
      <c r="E309" s="7"/>
      <c r="F309" s="7">
        <f t="shared" si="10"/>
        <v>206.2665793756033</v>
      </c>
      <c r="G309" s="7"/>
      <c r="H309" s="7"/>
      <c r="I309" s="7"/>
      <c r="J309" s="7">
        <v>0</v>
      </c>
      <c r="K309" s="7"/>
      <c r="L309" s="7">
        <f t="shared" si="11"/>
        <v>0</v>
      </c>
      <c r="M309" s="7"/>
      <c r="N309" s="7"/>
      <c r="O309" s="7"/>
    </row>
    <row r="310" spans="3:15" x14ac:dyDescent="0.2">
      <c r="C310">
        <v>291</v>
      </c>
      <c r="D310" s="7">
        <v>2736.7562803786905</v>
      </c>
      <c r="E310" s="7"/>
      <c r="F310" s="7">
        <f t="shared" si="10"/>
        <v>220.9999064738607</v>
      </c>
      <c r="G310" s="7"/>
      <c r="H310" s="7"/>
      <c r="I310" s="7"/>
      <c r="J310" s="7">
        <v>0</v>
      </c>
      <c r="K310" s="7"/>
      <c r="L310" s="7">
        <f t="shared" si="11"/>
        <v>0</v>
      </c>
      <c r="M310" s="7"/>
      <c r="N310" s="7"/>
      <c r="O310" s="7"/>
    </row>
    <row r="311" spans="3:15" x14ac:dyDescent="0.2">
      <c r="C311">
        <v>292</v>
      </c>
      <c r="D311" s="7">
        <v>2919.2066990706026</v>
      </c>
      <c r="E311" s="7"/>
      <c r="F311" s="7">
        <f t="shared" si="10"/>
        <v>235.73323357211805</v>
      </c>
      <c r="G311" s="7"/>
      <c r="H311" s="7"/>
      <c r="I311" s="7"/>
      <c r="J311" s="7">
        <v>0</v>
      </c>
      <c r="K311" s="7"/>
      <c r="L311" s="7">
        <f t="shared" si="11"/>
        <v>0</v>
      </c>
      <c r="M311" s="7"/>
      <c r="N311" s="7"/>
      <c r="O311" s="7"/>
    </row>
    <row r="312" spans="3:15" x14ac:dyDescent="0.2">
      <c r="C312">
        <v>293</v>
      </c>
      <c r="D312" s="7">
        <v>3101.6571177625156</v>
      </c>
      <c r="E312" s="7"/>
      <c r="F312" s="7">
        <f t="shared" si="10"/>
        <v>250.46656067037546</v>
      </c>
      <c r="G312" s="7"/>
      <c r="H312" s="7"/>
      <c r="I312" s="7"/>
      <c r="J312" s="7">
        <v>0</v>
      </c>
      <c r="K312" s="7"/>
      <c r="L312" s="7">
        <f t="shared" si="11"/>
        <v>0</v>
      </c>
      <c r="M312" s="7"/>
      <c r="N312" s="7"/>
      <c r="O312" s="7"/>
    </row>
    <row r="313" spans="3:15" x14ac:dyDescent="0.2">
      <c r="C313">
        <v>294</v>
      </c>
      <c r="D313" s="7">
        <v>3231.5900287023228</v>
      </c>
      <c r="E313" s="7"/>
      <c r="F313" s="7">
        <f t="shared" si="10"/>
        <v>260.95896782093126</v>
      </c>
      <c r="G313" s="7"/>
      <c r="H313" s="7"/>
      <c r="I313" s="7"/>
      <c r="J313" s="7">
        <v>52.517507752105757</v>
      </c>
      <c r="K313" s="7"/>
      <c r="L313" s="7">
        <f t="shared" si="11"/>
        <v>3.4016779589044868</v>
      </c>
      <c r="M313" s="7"/>
      <c r="N313" s="7"/>
      <c r="O313" s="7"/>
    </row>
    <row r="314" spans="3:15" x14ac:dyDescent="0.2">
      <c r="C314">
        <v>295</v>
      </c>
      <c r="D314" s="7">
        <v>3231.1331401654138</v>
      </c>
      <c r="E314" s="7"/>
      <c r="F314" s="7">
        <f t="shared" si="10"/>
        <v>260.92207293019885</v>
      </c>
      <c r="G314" s="7"/>
      <c r="H314" s="7"/>
      <c r="I314" s="7"/>
      <c r="J314" s="7">
        <v>235.42481498092729</v>
      </c>
      <c r="K314" s="7"/>
      <c r="L314" s="7">
        <f t="shared" si="11"/>
        <v>15.248998636415234</v>
      </c>
      <c r="M314" s="7"/>
      <c r="N314" s="7"/>
      <c r="O314" s="7"/>
    </row>
    <row r="315" spans="3:15" x14ac:dyDescent="0.2">
      <c r="C315">
        <v>296</v>
      </c>
      <c r="D315" s="7">
        <v>3234.7565289095178</v>
      </c>
      <c r="E315" s="7"/>
      <c r="F315" s="7">
        <f t="shared" si="10"/>
        <v>261.21467062306118</v>
      </c>
      <c r="G315" s="7"/>
      <c r="H315" s="7"/>
      <c r="I315" s="7"/>
      <c r="J315" s="7">
        <v>414.25184492873586</v>
      </c>
      <c r="K315" s="7"/>
      <c r="L315" s="7">
        <f t="shared" si="11"/>
        <v>26.832030510303461</v>
      </c>
      <c r="M315" s="7"/>
      <c r="N315" s="7"/>
      <c r="O315" s="7"/>
    </row>
    <row r="316" spans="3:15" x14ac:dyDescent="0.2">
      <c r="C316">
        <v>297</v>
      </c>
      <c r="D316" s="7">
        <v>3234.3039631829297</v>
      </c>
      <c r="E316" s="7"/>
      <c r="F316" s="7">
        <f t="shared" si="10"/>
        <v>261.17812481006121</v>
      </c>
      <c r="G316" s="7"/>
      <c r="H316" s="7"/>
      <c r="I316" s="7"/>
      <c r="J316" s="7">
        <v>597.15482934723696</v>
      </c>
      <c r="K316" s="7"/>
      <c r="L316" s="7">
        <f t="shared" si="11"/>
        <v>38.679071189596144</v>
      </c>
      <c r="M316" s="7"/>
      <c r="N316" s="7"/>
      <c r="O316" s="7"/>
    </row>
    <row r="317" spans="3:15" x14ac:dyDescent="0.2">
      <c r="C317">
        <v>298</v>
      </c>
      <c r="D317" s="7">
        <v>3231.6338337157958</v>
      </c>
      <c r="E317" s="7"/>
      <c r="F317" s="7">
        <f t="shared" si="10"/>
        <v>260.96250518520077</v>
      </c>
      <c r="G317" s="7"/>
      <c r="H317" s="7"/>
      <c r="I317" s="7"/>
      <c r="J317" s="7">
        <v>782.27537750628335</v>
      </c>
      <c r="K317" s="7"/>
      <c r="L317" s="7">
        <f t="shared" si="11"/>
        <v>50.669748496397617</v>
      </c>
      <c r="M317" s="7"/>
      <c r="N317" s="7"/>
      <c r="O317" s="7"/>
    </row>
    <row r="318" spans="3:15" x14ac:dyDescent="0.2">
      <c r="C318">
        <v>299</v>
      </c>
      <c r="D318" s="7">
        <v>3228.9840541613771</v>
      </c>
      <c r="E318" s="7"/>
      <c r="F318" s="7">
        <f t="shared" si="10"/>
        <v>260.74852886662927</v>
      </c>
      <c r="G318" s="7"/>
      <c r="H318" s="7"/>
      <c r="I318" s="7"/>
      <c r="J318" s="7">
        <v>967.37557575261462</v>
      </c>
      <c r="K318" s="7"/>
      <c r="L318" s="7">
        <f t="shared" si="11"/>
        <v>62.659107693248487</v>
      </c>
      <c r="M318" s="7"/>
      <c r="N318" s="7"/>
      <c r="O318" s="7"/>
    </row>
    <row r="319" spans="3:15" x14ac:dyDescent="0.2">
      <c r="C319">
        <v>300</v>
      </c>
      <c r="D319" s="7">
        <v>3226.3545479659442</v>
      </c>
      <c r="E319" s="7"/>
      <c r="F319" s="7">
        <f t="shared" si="10"/>
        <v>260.53618967244182</v>
      </c>
      <c r="G319" s="7"/>
      <c r="H319" s="7"/>
      <c r="I319" s="7"/>
      <c r="J319" s="7">
        <v>1152.4555006399605</v>
      </c>
      <c r="K319" s="7"/>
      <c r="L319" s="7">
        <f t="shared" si="11"/>
        <v>74.647153738707274</v>
      </c>
      <c r="M319" s="7"/>
      <c r="N319" s="7"/>
      <c r="O319" s="7"/>
    </row>
    <row r="320" spans="3:15" x14ac:dyDescent="0.2">
      <c r="C320">
        <v>301</v>
      </c>
      <c r="D320" s="7">
        <v>3223.7452387986136</v>
      </c>
      <c r="E320" s="7"/>
      <c r="F320" s="7">
        <f t="shared" si="10"/>
        <v>260.32548143872884</v>
      </c>
      <c r="G320" s="7"/>
      <c r="H320" s="7"/>
      <c r="I320" s="7"/>
      <c r="J320" s="7">
        <v>1246.2900191532467</v>
      </c>
      <c r="K320" s="7"/>
      <c r="L320" s="7">
        <f t="shared" si="11"/>
        <v>80.725028090965765</v>
      </c>
      <c r="M320" s="7"/>
      <c r="N320" s="7"/>
      <c r="O320" s="7"/>
    </row>
    <row r="321" spans="3:15" x14ac:dyDescent="0.2">
      <c r="C321">
        <v>302</v>
      </c>
      <c r="D321" s="7">
        <v>3221.1560505508219</v>
      </c>
      <c r="E321" s="7"/>
      <c r="F321" s="7">
        <f t="shared" si="10"/>
        <v>260.11639801953379</v>
      </c>
      <c r="G321" s="7"/>
      <c r="H321" s="7"/>
      <c r="I321" s="7"/>
      <c r="J321" s="7">
        <v>1248.8792074010385</v>
      </c>
      <c r="K321" s="7"/>
      <c r="L321" s="7">
        <f t="shared" si="11"/>
        <v>80.892735679748185</v>
      </c>
      <c r="M321" s="7"/>
      <c r="N321" s="7"/>
      <c r="O321" s="7"/>
    </row>
    <row r="322" spans="3:15" x14ac:dyDescent="0.2">
      <c r="C322">
        <v>303</v>
      </c>
      <c r="D322" s="7">
        <v>3218.5869073357712</v>
      </c>
      <c r="E322" s="7"/>
      <c r="F322" s="7">
        <f t="shared" si="10"/>
        <v>259.90893328680806</v>
      </c>
      <c r="G322" s="7"/>
      <c r="H322" s="7"/>
      <c r="I322" s="7"/>
      <c r="J322" s="7">
        <v>1707.5743973458707</v>
      </c>
      <c r="K322" s="7"/>
      <c r="L322" s="7">
        <f t="shared" si="11"/>
        <v>110.60346233600843</v>
      </c>
      <c r="M322" s="7"/>
      <c r="N322" s="7"/>
      <c r="O322" s="7"/>
    </row>
    <row r="323" spans="3:15" x14ac:dyDescent="0.2">
      <c r="C323">
        <v>304</v>
      </c>
      <c r="D323" s="7">
        <v>3218.2808803057992</v>
      </c>
      <c r="E323" s="7"/>
      <c r="F323" s="7">
        <f t="shared" si="10"/>
        <v>259.88422083963576</v>
      </c>
      <c r="G323" s="7"/>
      <c r="H323" s="7"/>
      <c r="I323" s="7"/>
      <c r="J323" s="7">
        <v>1890.3308430677557</v>
      </c>
      <c r="K323" s="7"/>
      <c r="L323" s="7">
        <f t="shared" si="11"/>
        <v>122.44101137192844</v>
      </c>
      <c r="M323" s="7"/>
      <c r="N323" s="7"/>
      <c r="O323" s="7"/>
    </row>
    <row r="324" spans="3:15" x14ac:dyDescent="0.2">
      <c r="C324">
        <v>305</v>
      </c>
      <c r="D324" s="7">
        <v>3222.058422606297</v>
      </c>
      <c r="E324" s="7"/>
      <c r="F324" s="7">
        <f t="shared" si="10"/>
        <v>260.18926681727595</v>
      </c>
      <c r="G324" s="7"/>
      <c r="H324" s="7"/>
      <c r="I324" s="7"/>
      <c r="J324" s="7">
        <v>1631.1227145985799</v>
      </c>
      <c r="K324" s="7"/>
      <c r="L324" s="7">
        <f t="shared" si="11"/>
        <v>105.65151363824889</v>
      </c>
      <c r="M324" s="7"/>
      <c r="N324" s="7"/>
      <c r="O324" s="7"/>
    </row>
    <row r="325" spans="3:15" x14ac:dyDescent="0.2">
      <c r="C325">
        <v>306</v>
      </c>
      <c r="D325" s="7">
        <v>3225.8305764849997</v>
      </c>
      <c r="E325" s="7"/>
      <c r="F325" s="7">
        <f t="shared" si="10"/>
        <v>260.49387766639512</v>
      </c>
      <c r="G325" s="7"/>
      <c r="H325" s="7"/>
      <c r="I325" s="7"/>
      <c r="J325" s="7">
        <v>1371.9199745511992</v>
      </c>
      <c r="K325" s="7"/>
      <c r="L325" s="7">
        <f t="shared" si="11"/>
        <v>88.86236492485682</v>
      </c>
      <c r="M325" s="7"/>
      <c r="N325" s="7"/>
      <c r="O325" s="7"/>
    </row>
    <row r="326" spans="3:15" x14ac:dyDescent="0.2">
      <c r="C326">
        <v>307</v>
      </c>
      <c r="D326" s="7">
        <v>3229.5981546001176</v>
      </c>
      <c r="E326" s="7"/>
      <c r="F326" s="7">
        <f t="shared" si="10"/>
        <v>260.79811901117381</v>
      </c>
      <c r="G326" s="7"/>
      <c r="H326" s="7"/>
      <c r="I326" s="7"/>
      <c r="J326" s="7">
        <v>1240.4371033517427</v>
      </c>
      <c r="K326" s="7"/>
      <c r="L326" s="7">
        <f t="shared" si="11"/>
        <v>80.345921474344166</v>
      </c>
      <c r="M326" s="7"/>
      <c r="N326" s="7"/>
      <c r="O326" s="7"/>
    </row>
    <row r="327" spans="3:15" x14ac:dyDescent="0.2">
      <c r="C327">
        <v>308</v>
      </c>
      <c r="D327" s="7">
        <v>3233.361835537045</v>
      </c>
      <c r="E327" s="7"/>
      <c r="F327" s="7">
        <f t="shared" si="10"/>
        <v>261.10204564907792</v>
      </c>
      <c r="G327" s="7"/>
      <c r="H327" s="7"/>
      <c r="I327" s="7"/>
      <c r="J327" s="7">
        <v>853.52754316179789</v>
      </c>
      <c r="K327" s="7"/>
      <c r="L327" s="7">
        <f t="shared" si="11"/>
        <v>55.284912692281544</v>
      </c>
      <c r="M327" s="7"/>
      <c r="N327" s="7"/>
      <c r="O327" s="7"/>
    </row>
    <row r="328" spans="3:15" x14ac:dyDescent="0.2">
      <c r="C328">
        <v>309</v>
      </c>
      <c r="D328" s="7">
        <v>3237.1226800229292</v>
      </c>
      <c r="E328" s="7"/>
      <c r="F328" s="7">
        <f t="shared" si="10"/>
        <v>261.40574323647439</v>
      </c>
      <c r="G328" s="7"/>
      <c r="H328" s="7"/>
      <c r="I328" s="7"/>
      <c r="J328" s="7">
        <v>594.33611250723607</v>
      </c>
      <c r="K328" s="7"/>
      <c r="L328" s="7">
        <f t="shared" si="11"/>
        <v>38.496496513884516</v>
      </c>
      <c r="M328" s="7"/>
      <c r="N328" s="7"/>
      <c r="O328" s="7"/>
    </row>
    <row r="329" spans="3:15" x14ac:dyDescent="0.2">
      <c r="C329">
        <v>310</v>
      </c>
      <c r="D329" s="7">
        <v>3240.8816126312163</v>
      </c>
      <c r="E329" s="7"/>
      <c r="F329" s="7">
        <f t="shared" si="10"/>
        <v>261.70928643497876</v>
      </c>
      <c r="G329" s="7"/>
      <c r="H329" s="7"/>
      <c r="I329" s="7"/>
      <c r="J329" s="7">
        <v>335.14659373027143</v>
      </c>
      <c r="K329" s="7"/>
      <c r="L329" s="7">
        <f t="shared" si="11"/>
        <v>21.708204172130937</v>
      </c>
      <c r="M329" s="7"/>
      <c r="N329" s="7"/>
      <c r="O329" s="7"/>
    </row>
    <row r="330" spans="3:15" x14ac:dyDescent="0.2">
      <c r="C330">
        <v>311</v>
      </c>
      <c r="D330" s="7">
        <v>2873.5940943976243</v>
      </c>
      <c r="E330" s="7"/>
      <c r="F330" s="7">
        <f t="shared" si="10"/>
        <v>232.0499017975537</v>
      </c>
      <c r="G330" s="7"/>
      <c r="H330" s="7"/>
      <c r="I330" s="7"/>
      <c r="J330" s="7">
        <v>0</v>
      </c>
      <c r="K330" s="7"/>
      <c r="L330" s="7">
        <f t="shared" si="11"/>
        <v>0</v>
      </c>
      <c r="M330" s="7"/>
      <c r="N330" s="7"/>
      <c r="O330" s="7"/>
    </row>
    <row r="331" spans="3:15" x14ac:dyDescent="0.2">
      <c r="C331">
        <v>312</v>
      </c>
      <c r="D331" s="7">
        <v>2713.9499780422011</v>
      </c>
      <c r="E331" s="7"/>
      <c r="F331" s="7">
        <f t="shared" si="10"/>
        <v>219.15824058657853</v>
      </c>
      <c r="G331" s="7"/>
      <c r="H331" s="7"/>
      <c r="I331" s="7"/>
      <c r="J331" s="7">
        <v>0</v>
      </c>
      <c r="K331" s="7"/>
      <c r="L331" s="7">
        <f t="shared" si="11"/>
        <v>0</v>
      </c>
      <c r="M331" s="7"/>
      <c r="N331" s="7"/>
      <c r="O331" s="7"/>
    </row>
    <row r="332" spans="3:15" x14ac:dyDescent="0.2">
      <c r="C332">
        <v>313</v>
      </c>
      <c r="D332" s="7">
        <v>2554.3058616867775</v>
      </c>
      <c r="E332" s="7"/>
      <c r="F332" s="7">
        <f t="shared" si="10"/>
        <v>206.2665793756033</v>
      </c>
      <c r="G332" s="7"/>
      <c r="H332" s="7"/>
      <c r="I332" s="7"/>
      <c r="J332" s="7">
        <v>0</v>
      </c>
      <c r="K332" s="7"/>
      <c r="L332" s="7">
        <f t="shared" si="11"/>
        <v>0</v>
      </c>
      <c r="M332" s="7"/>
      <c r="N332" s="7"/>
      <c r="O332" s="7"/>
    </row>
    <row r="333" spans="3:15" x14ac:dyDescent="0.2">
      <c r="C333">
        <v>314</v>
      </c>
      <c r="D333" s="7">
        <v>2554.3058616867775</v>
      </c>
      <c r="E333" s="7"/>
      <c r="F333" s="7">
        <f t="shared" si="10"/>
        <v>206.2665793756033</v>
      </c>
      <c r="G333" s="7"/>
      <c r="H333" s="7"/>
      <c r="I333" s="7"/>
      <c r="J333" s="7">
        <v>0</v>
      </c>
      <c r="K333" s="7"/>
      <c r="L333" s="7">
        <f t="shared" si="11"/>
        <v>0</v>
      </c>
      <c r="M333" s="7"/>
      <c r="N333" s="7"/>
      <c r="O333" s="7"/>
    </row>
    <row r="334" spans="3:15" x14ac:dyDescent="0.2">
      <c r="C334">
        <v>315</v>
      </c>
      <c r="D334" s="7">
        <v>2713.9499780422016</v>
      </c>
      <c r="E334" s="7"/>
      <c r="F334" s="7">
        <f t="shared" si="10"/>
        <v>219.15824058657856</v>
      </c>
      <c r="G334" s="7"/>
      <c r="H334" s="7"/>
      <c r="I334" s="7"/>
      <c r="J334" s="7">
        <v>0</v>
      </c>
      <c r="K334" s="7"/>
      <c r="L334" s="7">
        <f t="shared" si="11"/>
        <v>0</v>
      </c>
      <c r="M334" s="7"/>
      <c r="N334" s="7"/>
      <c r="O334" s="7"/>
    </row>
    <row r="335" spans="3:15" x14ac:dyDescent="0.2">
      <c r="C335">
        <v>316</v>
      </c>
      <c r="D335" s="7">
        <v>2873.5940943976243</v>
      </c>
      <c r="E335" s="7"/>
      <c r="F335" s="7">
        <f t="shared" si="10"/>
        <v>232.0499017975537</v>
      </c>
      <c r="G335" s="7"/>
      <c r="H335" s="7"/>
      <c r="I335" s="7"/>
      <c r="J335" s="7">
        <v>0</v>
      </c>
      <c r="K335" s="7"/>
      <c r="L335" s="7">
        <f t="shared" si="11"/>
        <v>0</v>
      </c>
      <c r="M335" s="7"/>
      <c r="N335" s="7"/>
      <c r="O335" s="7"/>
    </row>
    <row r="336" spans="3:15" x14ac:dyDescent="0.2">
      <c r="C336">
        <v>317</v>
      </c>
      <c r="D336" s="7">
        <v>3033.238210753048</v>
      </c>
      <c r="E336" s="7"/>
      <c r="F336" s="7">
        <f t="shared" si="10"/>
        <v>244.9415630085289</v>
      </c>
      <c r="G336" s="7"/>
      <c r="H336" s="7"/>
      <c r="I336" s="7"/>
      <c r="J336" s="7">
        <v>0</v>
      </c>
      <c r="K336" s="7"/>
      <c r="L336" s="7">
        <f t="shared" si="11"/>
        <v>0</v>
      </c>
      <c r="M336" s="7"/>
      <c r="N336" s="7"/>
      <c r="O336" s="7"/>
    </row>
    <row r="337" spans="3:15" x14ac:dyDescent="0.2">
      <c r="C337">
        <v>318</v>
      </c>
      <c r="D337" s="7">
        <v>3192.8823271084716</v>
      </c>
      <c r="E337" s="7"/>
      <c r="F337" s="7">
        <f t="shared" si="10"/>
        <v>257.83322421950413</v>
      </c>
      <c r="G337" s="7"/>
      <c r="H337" s="7"/>
      <c r="I337" s="7"/>
      <c r="J337" s="7">
        <v>0</v>
      </c>
      <c r="K337" s="7"/>
      <c r="L337" s="7">
        <f t="shared" si="11"/>
        <v>0</v>
      </c>
      <c r="M337" s="7"/>
      <c r="N337" s="7"/>
      <c r="O337" s="7"/>
    </row>
    <row r="338" spans="3:15" x14ac:dyDescent="0.2">
      <c r="C338">
        <v>319</v>
      </c>
      <c r="D338" s="7">
        <v>3229.9261412507763</v>
      </c>
      <c r="E338" s="7"/>
      <c r="F338" s="7">
        <f t="shared" si="10"/>
        <v>260.82460475257506</v>
      </c>
      <c r="G338" s="7"/>
      <c r="H338" s="7"/>
      <c r="I338" s="7"/>
      <c r="J338" s="7">
        <v>122.60030221311899</v>
      </c>
      <c r="K338" s="7"/>
      <c r="L338" s="7">
        <f t="shared" si="11"/>
        <v>7.9410993332347122</v>
      </c>
      <c r="M338" s="7"/>
      <c r="N338" s="7"/>
      <c r="O338" s="7"/>
    </row>
    <row r="339" spans="3:15" x14ac:dyDescent="0.2">
      <c r="C339">
        <v>320</v>
      </c>
      <c r="D339" s="7">
        <v>3233.8679333950695</v>
      </c>
      <c r="E339" s="7"/>
      <c r="F339" s="7">
        <f t="shared" si="10"/>
        <v>261.14291431542279</v>
      </c>
      <c r="G339" s="7"/>
      <c r="H339" s="7"/>
      <c r="I339" s="7"/>
      <c r="J339" s="7">
        <v>278.30262642424941</v>
      </c>
      <c r="K339" s="7"/>
      <c r="L339" s="7">
        <f t="shared" si="11"/>
        <v>18.026291626046167</v>
      </c>
      <c r="M339" s="7"/>
      <c r="N339" s="7"/>
      <c r="O339" s="7"/>
    </row>
    <row r="340" spans="3:15" x14ac:dyDescent="0.2">
      <c r="C340">
        <v>321</v>
      </c>
      <c r="D340" s="7">
        <v>3233.6993308451406</v>
      </c>
      <c r="E340" s="7"/>
      <c r="F340" s="7">
        <f t="shared" si="10"/>
        <v>261.12929923832127</v>
      </c>
      <c r="G340" s="7"/>
      <c r="H340" s="7"/>
      <c r="I340" s="7"/>
      <c r="J340" s="7">
        <v>438.11534532960241</v>
      </c>
      <c r="K340" s="7"/>
      <c r="L340" s="7">
        <f t="shared" si="11"/>
        <v>28.37772349556667</v>
      </c>
      <c r="M340" s="7"/>
      <c r="N340" s="7"/>
      <c r="O340" s="7"/>
    </row>
    <row r="341" spans="3:15" x14ac:dyDescent="0.2">
      <c r="C341">
        <v>322</v>
      </c>
      <c r="D341" s="7">
        <v>3231.2266655761555</v>
      </c>
      <c r="E341" s="7"/>
      <c r="F341" s="7">
        <f t="shared" ref="F341:F404" si="12">D341*(1-($C$2/($D$8-$D$6)*LN($D$8/$D$6)))</f>
        <v>260.9296253407569</v>
      </c>
      <c r="G341" s="7"/>
      <c r="H341" s="7"/>
      <c r="I341" s="7"/>
      <c r="J341" s="7">
        <v>600.23212695401116</v>
      </c>
      <c r="K341" s="7"/>
      <c r="L341" s="7">
        <f t="shared" ref="L341:L404" si="13">J341*(1-$C$2/($D$10-$D$9)*LN($D$10/$D$9))</f>
        <v>38.878394727403091</v>
      </c>
      <c r="M341" s="7"/>
      <c r="N341" s="7"/>
      <c r="O341" s="7"/>
    </row>
    <row r="342" spans="3:15" x14ac:dyDescent="0.2">
      <c r="C342">
        <v>323</v>
      </c>
      <c r="D342" s="7">
        <v>3228.773447446149</v>
      </c>
      <c r="E342" s="7"/>
      <c r="F342" s="7">
        <f t="shared" si="12"/>
        <v>260.73152184824704</v>
      </c>
      <c r="G342" s="7"/>
      <c r="H342" s="7"/>
      <c r="I342" s="7"/>
      <c r="J342" s="7">
        <v>762.32946143944082</v>
      </c>
      <c r="K342" s="7"/>
      <c r="L342" s="7">
        <f t="shared" si="13"/>
        <v>49.377806323989091</v>
      </c>
      <c r="M342" s="7"/>
      <c r="N342" s="7"/>
      <c r="O342" s="7"/>
    </row>
    <row r="343" spans="3:15" x14ac:dyDescent="0.2">
      <c r="C343">
        <v>324</v>
      </c>
      <c r="D343" s="7">
        <v>3226.339602798118</v>
      </c>
      <c r="E343" s="7"/>
      <c r="F343" s="7">
        <f t="shared" si="12"/>
        <v>260.53498281280451</v>
      </c>
      <c r="G343" s="7"/>
      <c r="H343" s="7"/>
      <c r="I343" s="7"/>
      <c r="J343" s="7">
        <v>924.40742244289595</v>
      </c>
      <c r="K343" s="7"/>
      <c r="L343" s="7">
        <f t="shared" si="13"/>
        <v>59.875963056255721</v>
      </c>
      <c r="M343" s="7"/>
      <c r="N343" s="7"/>
      <c r="O343" s="7"/>
    </row>
    <row r="344" spans="3:15" x14ac:dyDescent="0.2">
      <c r="C344">
        <v>325</v>
      </c>
      <c r="D344" s="7">
        <v>3223.9250581903275</v>
      </c>
      <c r="E344" s="7"/>
      <c r="F344" s="7">
        <f t="shared" si="12"/>
        <v>260.34000230382594</v>
      </c>
      <c r="G344" s="7"/>
      <c r="H344" s="7"/>
      <c r="I344" s="7"/>
      <c r="J344" s="7">
        <v>1086.4660834061101</v>
      </c>
      <c r="K344" s="7"/>
      <c r="L344" s="7">
        <f t="shared" si="13"/>
        <v>70.372869681190465</v>
      </c>
      <c r="M344" s="7"/>
      <c r="N344" s="7"/>
      <c r="O344" s="7"/>
    </row>
    <row r="345" spans="3:15" x14ac:dyDescent="0.2">
      <c r="C345">
        <v>326</v>
      </c>
      <c r="D345" s="7">
        <v>3221.5297403957647</v>
      </c>
      <c r="E345" s="7"/>
      <c r="F345" s="7">
        <f t="shared" si="12"/>
        <v>260.14657440804694</v>
      </c>
      <c r="G345" s="7"/>
      <c r="H345" s="7"/>
      <c r="I345" s="7"/>
      <c r="J345" s="7">
        <v>1248.5055175560974</v>
      </c>
      <c r="K345" s="7"/>
      <c r="L345" s="7">
        <f t="shared" si="13"/>
        <v>80.868530941872919</v>
      </c>
      <c r="M345" s="7"/>
      <c r="N345" s="7"/>
      <c r="O345" s="7"/>
    </row>
    <row r="346" spans="3:15" x14ac:dyDescent="0.2">
      <c r="C346">
        <v>327</v>
      </c>
      <c r="D346" s="7">
        <v>3219.1535764016403</v>
      </c>
      <c r="E346" s="7"/>
      <c r="F346" s="7">
        <f t="shared" si="12"/>
        <v>259.95469322950248</v>
      </c>
      <c r="G346" s="7"/>
      <c r="H346" s="7"/>
      <c r="I346" s="7"/>
      <c r="J346" s="7">
        <v>1091.2375651947973</v>
      </c>
      <c r="K346" s="7"/>
      <c r="L346" s="7">
        <f t="shared" si="13"/>
        <v>70.681929366743432</v>
      </c>
      <c r="M346" s="7"/>
      <c r="N346" s="7"/>
      <c r="O346" s="7"/>
    </row>
    <row r="347" spans="3:15" x14ac:dyDescent="0.2">
      <c r="C347">
        <v>328</v>
      </c>
      <c r="D347" s="7">
        <v>3219.1350375980187</v>
      </c>
      <c r="E347" s="7"/>
      <c r="F347" s="7">
        <f t="shared" si="12"/>
        <v>259.95319617479726</v>
      </c>
      <c r="G347" s="7"/>
      <c r="H347" s="7"/>
      <c r="I347" s="7"/>
      <c r="J347" s="7">
        <v>1250.9002203538416</v>
      </c>
      <c r="K347" s="7"/>
      <c r="L347" s="7">
        <f t="shared" si="13"/>
        <v>81.023641267436432</v>
      </c>
      <c r="M347" s="7"/>
      <c r="N347" s="7"/>
      <c r="O347" s="7"/>
    </row>
    <row r="348" spans="3:15" x14ac:dyDescent="0.2">
      <c r="C348">
        <v>329</v>
      </c>
      <c r="D348" s="7">
        <v>3223.2405416824299</v>
      </c>
      <c r="E348" s="7"/>
      <c r="F348" s="7">
        <f t="shared" si="12"/>
        <v>260.28472588578688</v>
      </c>
      <c r="G348" s="7"/>
      <c r="H348" s="7"/>
      <c r="I348" s="7"/>
      <c r="J348" s="7">
        <v>1885.371181691125</v>
      </c>
      <c r="K348" s="7"/>
      <c r="L348" s="7">
        <f t="shared" si="13"/>
        <v>122.11976286813137</v>
      </c>
      <c r="M348" s="7"/>
      <c r="N348" s="7"/>
      <c r="O348" s="7"/>
    </row>
    <row r="349" spans="3:15" x14ac:dyDescent="0.2">
      <c r="C349">
        <v>330</v>
      </c>
      <c r="D349" s="7">
        <v>3227.3392498948974</v>
      </c>
      <c r="E349" s="7"/>
      <c r="F349" s="7">
        <f t="shared" si="12"/>
        <v>260.61570681313992</v>
      </c>
      <c r="G349" s="7"/>
      <c r="H349" s="7"/>
      <c r="I349" s="7"/>
      <c r="J349" s="7">
        <v>1721.6283571232329</v>
      </c>
      <c r="K349" s="7"/>
      <c r="L349" s="7">
        <f t="shared" si="13"/>
        <v>111.51376915094039</v>
      </c>
      <c r="M349" s="7"/>
      <c r="N349" s="7"/>
      <c r="O349" s="7"/>
    </row>
    <row r="350" spans="3:15" x14ac:dyDescent="0.2">
      <c r="C350">
        <v>331</v>
      </c>
      <c r="D350" s="7">
        <v>3231.4309584665011</v>
      </c>
      <c r="E350" s="7"/>
      <c r="F350" s="7">
        <f t="shared" si="12"/>
        <v>260.94612250200703</v>
      </c>
      <c r="G350" s="7"/>
      <c r="H350" s="7"/>
      <c r="I350" s="7"/>
      <c r="J350" s="7">
        <v>2036.8248812624756</v>
      </c>
      <c r="K350" s="7"/>
      <c r="L350" s="7">
        <f t="shared" si="13"/>
        <v>131.92976211749118</v>
      </c>
      <c r="M350" s="7"/>
      <c r="N350" s="7"/>
      <c r="O350" s="7"/>
    </row>
    <row r="351" spans="3:15" x14ac:dyDescent="0.2">
      <c r="C351">
        <v>332</v>
      </c>
      <c r="D351" s="7">
        <v>3235.5152388675783</v>
      </c>
      <c r="E351" s="7"/>
      <c r="F351" s="7">
        <f t="shared" si="12"/>
        <v>261.27593834754742</v>
      </c>
      <c r="G351" s="7"/>
      <c r="H351" s="7"/>
      <c r="I351" s="7"/>
      <c r="J351" s="7">
        <v>1681.5235448794679</v>
      </c>
      <c r="K351" s="7"/>
      <c r="L351" s="7">
        <f t="shared" si="13"/>
        <v>108.91608960187328</v>
      </c>
      <c r="M351" s="7"/>
      <c r="N351" s="7"/>
      <c r="O351" s="7"/>
    </row>
    <row r="352" spans="3:15" x14ac:dyDescent="0.2">
      <c r="C352">
        <v>333</v>
      </c>
      <c r="D352" s="7">
        <v>3239.5927771905685</v>
      </c>
      <c r="E352" s="7"/>
      <c r="F352" s="7">
        <f t="shared" si="12"/>
        <v>261.60520975343957</v>
      </c>
      <c r="G352" s="7"/>
      <c r="H352" s="7"/>
      <c r="I352" s="7"/>
      <c r="J352" s="7">
        <v>1326.2289505745462</v>
      </c>
      <c r="K352" s="7"/>
      <c r="L352" s="7">
        <f t="shared" si="13"/>
        <v>85.902853785927633</v>
      </c>
      <c r="M352" s="7"/>
      <c r="N352" s="7"/>
      <c r="O352" s="7"/>
    </row>
    <row r="353" spans="3:15" x14ac:dyDescent="0.2">
      <c r="C353">
        <v>334</v>
      </c>
      <c r="D353" s="7">
        <v>3243.6645929166243</v>
      </c>
      <c r="E353" s="7"/>
      <c r="F353" s="7">
        <f t="shared" si="12"/>
        <v>261.93401904533329</v>
      </c>
      <c r="G353" s="7"/>
      <c r="H353" s="7"/>
      <c r="I353" s="7"/>
      <c r="J353" s="7">
        <v>970.940078866558</v>
      </c>
      <c r="K353" s="7"/>
      <c r="L353" s="7">
        <f t="shared" si="13"/>
        <v>62.889988635550274</v>
      </c>
      <c r="M353" s="7"/>
      <c r="N353" s="7"/>
      <c r="O353" s="7"/>
    </row>
    <row r="354" spans="3:15" x14ac:dyDescent="0.2">
      <c r="C354">
        <v>335</v>
      </c>
      <c r="D354" s="7">
        <v>3243.6057787116233</v>
      </c>
      <c r="E354" s="7"/>
      <c r="F354" s="7">
        <f t="shared" si="12"/>
        <v>261.92926965135268</v>
      </c>
      <c r="G354" s="7"/>
      <c r="H354" s="7"/>
      <c r="I354" s="7"/>
      <c r="J354" s="7">
        <v>619.78183708962752</v>
      </c>
      <c r="K354" s="7"/>
      <c r="L354" s="7">
        <f t="shared" si="13"/>
        <v>40.144673744016011</v>
      </c>
      <c r="M354" s="7"/>
      <c r="N354" s="7"/>
      <c r="O354" s="7"/>
    </row>
    <row r="355" spans="3:15" x14ac:dyDescent="0.2">
      <c r="C355">
        <v>336</v>
      </c>
      <c r="D355" s="7">
        <v>3241.201381307008</v>
      </c>
      <c r="E355" s="7"/>
      <c r="F355" s="7">
        <f t="shared" si="12"/>
        <v>261.73510855437968</v>
      </c>
      <c r="G355" s="7"/>
      <c r="H355" s="7"/>
      <c r="I355" s="7"/>
      <c r="J355" s="7">
        <v>270.96917851231092</v>
      </c>
      <c r="K355" s="7"/>
      <c r="L355" s="7">
        <f t="shared" si="13"/>
        <v>17.551287590390739</v>
      </c>
      <c r="M355" s="7"/>
      <c r="N355" s="7"/>
      <c r="O355" s="7"/>
    </row>
    <row r="356" spans="3:15" x14ac:dyDescent="0.2">
      <c r="C356">
        <v>337</v>
      </c>
      <c r="D356" s="7">
        <v>2713.9499780422011</v>
      </c>
      <c r="E356" s="7"/>
      <c r="F356" s="7">
        <f t="shared" si="12"/>
        <v>219.15824058657853</v>
      </c>
      <c r="G356" s="7"/>
      <c r="H356" s="7"/>
      <c r="I356" s="7"/>
      <c r="J356" s="7">
        <v>0</v>
      </c>
      <c r="K356" s="7"/>
      <c r="L356" s="7">
        <f t="shared" si="13"/>
        <v>0</v>
      </c>
      <c r="M356" s="7"/>
      <c r="N356" s="7"/>
      <c r="O356" s="7"/>
    </row>
    <row r="357" spans="3:15" x14ac:dyDescent="0.2">
      <c r="C357">
        <v>338</v>
      </c>
      <c r="D357" s="7">
        <v>2554.3058616867775</v>
      </c>
      <c r="E357" s="7"/>
      <c r="F357" s="7">
        <f t="shared" si="12"/>
        <v>206.2665793756033</v>
      </c>
      <c r="G357" s="7"/>
      <c r="H357" s="7"/>
      <c r="I357" s="7"/>
      <c r="J357" s="7">
        <v>0</v>
      </c>
      <c r="K357" s="7"/>
      <c r="L357" s="7">
        <f t="shared" si="13"/>
        <v>0</v>
      </c>
      <c r="M357" s="7"/>
      <c r="N357" s="7"/>
      <c r="O357" s="7"/>
    </row>
    <row r="358" spans="3:15" x14ac:dyDescent="0.2">
      <c r="C358">
        <v>339</v>
      </c>
      <c r="D358" s="7">
        <v>2713.9499780422011</v>
      </c>
      <c r="E358" s="7"/>
      <c r="F358" s="7">
        <f t="shared" si="12"/>
        <v>219.15824058657853</v>
      </c>
      <c r="G358" s="7"/>
      <c r="H358" s="7"/>
      <c r="I358" s="7"/>
      <c r="J358" s="7">
        <v>0</v>
      </c>
      <c r="K358" s="7"/>
      <c r="L358" s="7">
        <f t="shared" si="13"/>
        <v>0</v>
      </c>
      <c r="M358" s="7"/>
      <c r="N358" s="7"/>
      <c r="O358" s="7"/>
    </row>
    <row r="359" spans="3:15" x14ac:dyDescent="0.2">
      <c r="C359">
        <v>340</v>
      </c>
      <c r="D359" s="7">
        <v>2873.5940943976243</v>
      </c>
      <c r="E359" s="7"/>
      <c r="F359" s="7">
        <f t="shared" si="12"/>
        <v>232.0499017975537</v>
      </c>
      <c r="G359" s="7"/>
      <c r="H359" s="7"/>
      <c r="I359" s="7"/>
      <c r="J359" s="7">
        <v>0</v>
      </c>
      <c r="K359" s="7"/>
      <c r="L359" s="7">
        <f t="shared" si="13"/>
        <v>0</v>
      </c>
      <c r="M359" s="7"/>
      <c r="N359" s="7"/>
      <c r="O359" s="7"/>
    </row>
    <row r="360" spans="3:15" x14ac:dyDescent="0.2">
      <c r="C360">
        <v>341</v>
      </c>
      <c r="D360" s="7">
        <v>3233.883520875117</v>
      </c>
      <c r="E360" s="7"/>
      <c r="F360" s="7">
        <f t="shared" si="12"/>
        <v>261.14417304337655</v>
      </c>
      <c r="G360" s="7"/>
      <c r="H360" s="7"/>
      <c r="I360" s="7"/>
      <c r="J360" s="7">
        <v>38.820864411065941</v>
      </c>
      <c r="K360" s="7"/>
      <c r="L360" s="7">
        <f t="shared" si="13"/>
        <v>2.5145153390765702</v>
      </c>
      <c r="M360" s="7"/>
      <c r="N360" s="7"/>
      <c r="O360" s="7"/>
    </row>
    <row r="361" spans="3:15" x14ac:dyDescent="0.2">
      <c r="C361">
        <v>342</v>
      </c>
      <c r="D361" s="7">
        <v>3231.5721193332306</v>
      </c>
      <c r="E361" s="7"/>
      <c r="F361" s="7">
        <f t="shared" si="12"/>
        <v>260.95752159463672</v>
      </c>
      <c r="G361" s="7"/>
      <c r="H361" s="7"/>
      <c r="I361" s="7"/>
      <c r="J361" s="7">
        <v>280.59844048608784</v>
      </c>
      <c r="K361" s="7"/>
      <c r="L361" s="7">
        <f t="shared" si="13"/>
        <v>18.174996704146253</v>
      </c>
      <c r="M361" s="7"/>
      <c r="N361" s="7"/>
      <c r="O361" s="7"/>
    </row>
    <row r="362" spans="3:15" x14ac:dyDescent="0.2">
      <c r="C362">
        <v>343</v>
      </c>
      <c r="D362" s="7">
        <v>3231.6719015877661</v>
      </c>
      <c r="E362" s="7"/>
      <c r="F362" s="7">
        <f t="shared" si="12"/>
        <v>260.9655792609617</v>
      </c>
      <c r="G362" s="7"/>
      <c r="H362" s="7"/>
      <c r="I362" s="7"/>
      <c r="J362" s="7">
        <v>519.96483276468734</v>
      </c>
      <c r="K362" s="7"/>
      <c r="L362" s="7">
        <f t="shared" si="13"/>
        <v>33.67930023202927</v>
      </c>
      <c r="M362" s="7"/>
      <c r="N362" s="7"/>
      <c r="O362" s="7"/>
    </row>
    <row r="363" spans="3:15" x14ac:dyDescent="0.2">
      <c r="C363">
        <v>344</v>
      </c>
      <c r="D363" s="7">
        <v>3235.9147417884169</v>
      </c>
      <c r="E363" s="7"/>
      <c r="F363" s="7">
        <f t="shared" si="12"/>
        <v>261.30819920642415</v>
      </c>
      <c r="G363" s="7"/>
      <c r="H363" s="7"/>
      <c r="I363" s="7"/>
      <c r="J363" s="7">
        <v>755.18816709717112</v>
      </c>
      <c r="K363" s="7"/>
      <c r="L363" s="7">
        <f t="shared" si="13"/>
        <v>48.915248510377417</v>
      </c>
      <c r="M363" s="7"/>
      <c r="N363" s="7"/>
      <c r="O363" s="7"/>
    </row>
    <row r="364" spans="3:15" x14ac:dyDescent="0.2">
      <c r="C364">
        <v>345</v>
      </c>
      <c r="D364" s="7">
        <v>3236.0122500161106</v>
      </c>
      <c r="E364" s="7"/>
      <c r="F364" s="7">
        <f t="shared" si="12"/>
        <v>261.31607323940079</v>
      </c>
      <c r="G364" s="7"/>
      <c r="H364" s="7"/>
      <c r="I364" s="7"/>
      <c r="J364" s="7">
        <v>994.55683340261294</v>
      </c>
      <c r="K364" s="7"/>
      <c r="L364" s="7">
        <f t="shared" si="13"/>
        <v>64.419699332130961</v>
      </c>
      <c r="M364" s="7"/>
      <c r="N364" s="7"/>
      <c r="O364" s="7"/>
    </row>
    <row r="365" spans="3:15" x14ac:dyDescent="0.2">
      <c r="C365">
        <v>346</v>
      </c>
      <c r="D365" s="7">
        <v>3233.7234648377453</v>
      </c>
      <c r="E365" s="7"/>
      <c r="F365" s="7">
        <f t="shared" si="12"/>
        <v>261.13124811851446</v>
      </c>
      <c r="G365" s="7"/>
      <c r="H365" s="7"/>
      <c r="I365" s="7"/>
      <c r="J365" s="7">
        <v>1236.3117931141142</v>
      </c>
      <c r="K365" s="7"/>
      <c r="L365" s="7">
        <f t="shared" si="13"/>
        <v>80.078715784096588</v>
      </c>
      <c r="M365" s="7"/>
      <c r="N365" s="7"/>
      <c r="O365" s="7"/>
    </row>
    <row r="366" spans="3:15" x14ac:dyDescent="0.2">
      <c r="C366">
        <v>347</v>
      </c>
      <c r="D366" s="7">
        <v>3231.4532679514323</v>
      </c>
      <c r="E366" s="7"/>
      <c r="F366" s="7">
        <f t="shared" si="12"/>
        <v>260.94792404864768</v>
      </c>
      <c r="G366" s="7"/>
      <c r="H366" s="7"/>
      <c r="I366" s="7"/>
      <c r="J366" s="7">
        <v>1478.0481645335622</v>
      </c>
      <c r="K366" s="7"/>
      <c r="L366" s="7">
        <f t="shared" si="13"/>
        <v>95.736528230272938</v>
      </c>
      <c r="M366" s="7"/>
      <c r="N366" s="7"/>
      <c r="O366" s="7"/>
    </row>
    <row r="367" spans="3:15" x14ac:dyDescent="0.2">
      <c r="C367">
        <v>348</v>
      </c>
      <c r="D367" s="7">
        <v>3229.2015884810885</v>
      </c>
      <c r="E367" s="7"/>
      <c r="F367" s="7">
        <f t="shared" si="12"/>
        <v>260.76609530637978</v>
      </c>
      <c r="G367" s="7"/>
      <c r="H367" s="7"/>
      <c r="I367" s="7"/>
      <c r="J367" s="7">
        <v>1719.766018537041</v>
      </c>
      <c r="K367" s="7"/>
      <c r="L367" s="7">
        <f t="shared" si="13"/>
        <v>111.39314126146456</v>
      </c>
      <c r="M367" s="7"/>
      <c r="N367" s="7"/>
      <c r="O367" s="7"/>
    </row>
    <row r="368" spans="3:15" x14ac:dyDescent="0.2">
      <c r="C368">
        <v>349</v>
      </c>
      <c r="D368" s="7">
        <v>3226.9683557585499</v>
      </c>
      <c r="E368" s="7"/>
      <c r="F368" s="7">
        <f t="shared" si="12"/>
        <v>260.5857561850799</v>
      </c>
      <c r="G368" s="7"/>
      <c r="H368" s="7"/>
      <c r="I368" s="7"/>
      <c r="J368" s="7">
        <v>1961.4654257927164</v>
      </c>
      <c r="K368" s="7"/>
      <c r="L368" s="7">
        <f t="shared" si="13"/>
        <v>127.04855945500867</v>
      </c>
      <c r="M368" s="7"/>
      <c r="N368" s="7"/>
      <c r="O368" s="7"/>
    </row>
    <row r="369" spans="3:15" x14ac:dyDescent="0.2">
      <c r="C369">
        <v>350</v>
      </c>
      <c r="D369" s="7">
        <v>3224.753499323057</v>
      </c>
      <c r="E369" s="7"/>
      <c r="F369" s="7">
        <f t="shared" si="12"/>
        <v>260.40690099486574</v>
      </c>
      <c r="G369" s="7"/>
      <c r="H369" s="7"/>
      <c r="I369" s="7"/>
      <c r="J369" s="7">
        <v>2203.1464567613452</v>
      </c>
      <c r="K369" s="7"/>
      <c r="L369" s="7">
        <f t="shared" si="13"/>
        <v>142.70278737480811</v>
      </c>
      <c r="M369" s="7"/>
      <c r="N369" s="7"/>
      <c r="O369" s="7"/>
    </row>
    <row r="370" spans="3:15" x14ac:dyDescent="0.2">
      <c r="C370">
        <v>351</v>
      </c>
      <c r="D370" s="7">
        <v>3222.5569489207601</v>
      </c>
      <c r="E370" s="7"/>
      <c r="F370" s="7">
        <f t="shared" si="12"/>
        <v>260.22952406256337</v>
      </c>
      <c r="G370" s="7"/>
      <c r="H370" s="7"/>
      <c r="I370" s="7"/>
      <c r="J370" s="7">
        <v>2045.6988908082167</v>
      </c>
      <c r="K370" s="7"/>
      <c r="L370" s="7">
        <f t="shared" si="13"/>
        <v>132.50455182040972</v>
      </c>
      <c r="M370" s="7"/>
      <c r="N370" s="7"/>
      <c r="O370" s="7"/>
    </row>
    <row r="371" spans="3:15" x14ac:dyDescent="0.2">
      <c r="C371">
        <v>352</v>
      </c>
      <c r="D371" s="7">
        <v>3222.7802165107341</v>
      </c>
      <c r="E371" s="7"/>
      <c r="F371" s="7">
        <f t="shared" si="12"/>
        <v>260.24755347821019</v>
      </c>
      <c r="G371" s="7"/>
      <c r="H371" s="7"/>
      <c r="I371" s="7"/>
      <c r="J371" s="7">
        <v>2258.3344450254754</v>
      </c>
      <c r="K371" s="7"/>
      <c r="L371" s="7">
        <f t="shared" si="13"/>
        <v>146.27743840662222</v>
      </c>
      <c r="M371" s="7"/>
      <c r="N371" s="7"/>
      <c r="O371" s="7"/>
    </row>
    <row r="372" spans="3:15" x14ac:dyDescent="0.2">
      <c r="C372">
        <v>353</v>
      </c>
      <c r="D372" s="7">
        <v>3227.1437648806832</v>
      </c>
      <c r="E372" s="7"/>
      <c r="F372" s="7">
        <f t="shared" si="12"/>
        <v>260.59992090989084</v>
      </c>
      <c r="G372" s="7"/>
      <c r="H372" s="7"/>
      <c r="I372" s="7"/>
      <c r="J372" s="7">
        <v>2998.9767729808364</v>
      </c>
      <c r="K372" s="7"/>
      <c r="L372" s="7">
        <f t="shared" si="13"/>
        <v>194.25051996124799</v>
      </c>
      <c r="M372" s="7"/>
      <c r="N372" s="7"/>
      <c r="O372" s="7"/>
    </row>
    <row r="373" spans="3:15" x14ac:dyDescent="0.2">
      <c r="C373">
        <v>354</v>
      </c>
      <c r="D373" s="7">
        <v>3231.4944482482865</v>
      </c>
      <c r="E373" s="7"/>
      <c r="F373" s="7">
        <f t="shared" si="12"/>
        <v>260.95124946049333</v>
      </c>
      <c r="G373" s="7"/>
      <c r="H373" s="7"/>
      <c r="I373" s="7"/>
      <c r="J373" s="7">
        <v>2834.9819732578094</v>
      </c>
      <c r="K373" s="7"/>
      <c r="L373" s="7">
        <f t="shared" si="13"/>
        <v>183.62820524239297</v>
      </c>
      <c r="M373" s="7"/>
      <c r="N373" s="7"/>
      <c r="O373" s="7"/>
    </row>
    <row r="374" spans="3:15" x14ac:dyDescent="0.2">
      <c r="C374">
        <v>355</v>
      </c>
      <c r="D374" s="7">
        <v>3235.8320366174894</v>
      </c>
      <c r="E374" s="7"/>
      <c r="F374" s="7">
        <f t="shared" si="12"/>
        <v>261.30152055726171</v>
      </c>
      <c r="G374" s="7"/>
      <c r="H374" s="7"/>
      <c r="I374" s="7"/>
      <c r="J374" s="7">
        <v>3149.9326175994538</v>
      </c>
      <c r="K374" s="7"/>
      <c r="L374" s="7">
        <f t="shared" si="13"/>
        <v>204.02827201739677</v>
      </c>
      <c r="M374" s="7"/>
      <c r="N374" s="7"/>
      <c r="O374" s="7"/>
    </row>
    <row r="375" spans="3:15" x14ac:dyDescent="0.2">
      <c r="C375">
        <v>356</v>
      </c>
      <c r="D375" s="7">
        <v>3240.1561133952532</v>
      </c>
      <c r="E375" s="7"/>
      <c r="F375" s="7">
        <f t="shared" si="12"/>
        <v>261.65070055926731</v>
      </c>
      <c r="G375" s="7"/>
      <c r="H375" s="7"/>
      <c r="I375" s="7"/>
      <c r="J375" s="7">
        <v>2826.3203081108427</v>
      </c>
      <c r="K375" s="7"/>
      <c r="L375" s="7">
        <f t="shared" si="13"/>
        <v>183.06716956726297</v>
      </c>
      <c r="M375" s="7"/>
      <c r="N375" s="7"/>
      <c r="O375" s="7"/>
    </row>
    <row r="376" spans="3:15" x14ac:dyDescent="0.2">
      <c r="C376">
        <v>357</v>
      </c>
      <c r="D376" s="7">
        <v>3244.466909109663</v>
      </c>
      <c r="E376" s="7"/>
      <c r="F376" s="7">
        <f t="shared" si="12"/>
        <v>261.998808082229</v>
      </c>
      <c r="G376" s="7"/>
      <c r="H376" s="7"/>
      <c r="I376" s="7"/>
      <c r="J376" s="7">
        <v>3300.9418614627029</v>
      </c>
      <c r="K376" s="7"/>
      <c r="L376" s="7">
        <f t="shared" si="13"/>
        <v>213.80948286359978</v>
      </c>
      <c r="M376" s="7"/>
      <c r="N376" s="7"/>
      <c r="O376" s="7"/>
    </row>
    <row r="377" spans="3:15" x14ac:dyDescent="0.2">
      <c r="C377">
        <v>358</v>
      </c>
      <c r="D377" s="7">
        <v>3248.7640090330442</v>
      </c>
      <c r="E377" s="7"/>
      <c r="F377" s="7">
        <f t="shared" si="12"/>
        <v>262.34580963585097</v>
      </c>
      <c r="G377" s="7"/>
      <c r="H377" s="7"/>
      <c r="I377" s="7"/>
      <c r="J377" s="7">
        <v>2498.4241797622044</v>
      </c>
      <c r="K377" s="7"/>
      <c r="L377" s="7">
        <f t="shared" si="13"/>
        <v>161.82859446429728</v>
      </c>
      <c r="M377" s="7"/>
      <c r="N377" s="7"/>
      <c r="O377" s="7"/>
    </row>
    <row r="378" spans="3:15" x14ac:dyDescent="0.2">
      <c r="C378">
        <v>359</v>
      </c>
      <c r="D378" s="7">
        <v>3248.9113639930802</v>
      </c>
      <c r="E378" s="7"/>
      <c r="F378" s="7">
        <f t="shared" si="12"/>
        <v>262.357708916989</v>
      </c>
      <c r="G378" s="7"/>
      <c r="H378" s="7"/>
      <c r="I378" s="7"/>
      <c r="J378" s="7">
        <v>1700.0562430250493</v>
      </c>
      <c r="K378" s="7"/>
      <c r="L378" s="7">
        <f t="shared" si="13"/>
        <v>110.11649444778539</v>
      </c>
      <c r="M378" s="7"/>
      <c r="N378" s="7"/>
      <c r="O378" s="7"/>
    </row>
    <row r="379" spans="3:15" x14ac:dyDescent="0.2">
      <c r="C379">
        <v>360</v>
      </c>
      <c r="D379" s="7">
        <v>3246.6767860786294</v>
      </c>
      <c r="E379" s="7"/>
      <c r="F379" s="7">
        <f t="shared" si="12"/>
        <v>262.17726116808171</v>
      </c>
      <c r="G379" s="7"/>
      <c r="H379" s="7"/>
      <c r="I379" s="7"/>
      <c r="J379" s="7">
        <v>904.07023916238268</v>
      </c>
      <c r="K379" s="7"/>
      <c r="L379" s="7">
        <f t="shared" si="13"/>
        <v>58.558677619976642</v>
      </c>
      <c r="M379" s="7"/>
      <c r="N379" s="7"/>
      <c r="O379" s="7"/>
    </row>
    <row r="380" spans="3:15" x14ac:dyDescent="0.2">
      <c r="C380">
        <v>361</v>
      </c>
      <c r="D380" s="7">
        <v>2713.9499780422011</v>
      </c>
      <c r="E380" s="7"/>
      <c r="F380" s="7">
        <f t="shared" si="12"/>
        <v>219.15824058657853</v>
      </c>
      <c r="G380" s="7"/>
      <c r="H380" s="7"/>
      <c r="I380" s="7"/>
      <c r="J380" s="7">
        <v>0</v>
      </c>
      <c r="K380" s="7"/>
      <c r="L380" s="7">
        <f t="shared" si="13"/>
        <v>0</v>
      </c>
      <c r="M380" s="7"/>
      <c r="N380" s="7"/>
      <c r="O380" s="7"/>
    </row>
    <row r="381" spans="3:15" x14ac:dyDescent="0.2">
      <c r="C381">
        <v>362</v>
      </c>
      <c r="D381" s="7">
        <v>2554.3058616867775</v>
      </c>
      <c r="E381" s="7"/>
      <c r="F381" s="7">
        <f t="shared" si="12"/>
        <v>206.2665793756033</v>
      </c>
      <c r="G381" s="7"/>
      <c r="H381" s="7"/>
      <c r="I381" s="7"/>
      <c r="J381" s="7">
        <v>0</v>
      </c>
      <c r="K381" s="7"/>
      <c r="L381" s="7">
        <f t="shared" si="13"/>
        <v>0</v>
      </c>
      <c r="M381" s="7"/>
      <c r="N381" s="7"/>
      <c r="O381" s="7"/>
    </row>
    <row r="382" spans="3:15" x14ac:dyDescent="0.2">
      <c r="C382">
        <v>363</v>
      </c>
      <c r="D382" s="7">
        <v>2745.8788013132853</v>
      </c>
      <c r="E382" s="7"/>
      <c r="F382" s="7">
        <f t="shared" si="12"/>
        <v>221.73657282877352</v>
      </c>
      <c r="G382" s="7"/>
      <c r="H382" s="7"/>
      <c r="I382" s="7"/>
      <c r="J382" s="7">
        <v>0</v>
      </c>
      <c r="K382" s="7"/>
      <c r="L382" s="7">
        <f t="shared" si="13"/>
        <v>0</v>
      </c>
      <c r="M382" s="7"/>
      <c r="N382" s="7"/>
      <c r="O382" s="7"/>
    </row>
    <row r="383" spans="3:15" x14ac:dyDescent="0.2">
      <c r="C383">
        <v>364</v>
      </c>
      <c r="D383" s="7">
        <v>2873.5940943976243</v>
      </c>
      <c r="E383" s="7"/>
      <c r="F383" s="7">
        <f t="shared" si="12"/>
        <v>232.0499017975537</v>
      </c>
      <c r="G383" s="7"/>
      <c r="H383" s="7"/>
      <c r="I383" s="7"/>
      <c r="J383" s="7">
        <v>0</v>
      </c>
      <c r="K383" s="7"/>
      <c r="L383" s="7">
        <f t="shared" si="13"/>
        <v>0</v>
      </c>
      <c r="M383" s="7"/>
      <c r="N383" s="7"/>
      <c r="O383" s="7"/>
    </row>
    <row r="384" spans="3:15" x14ac:dyDescent="0.2">
      <c r="C384">
        <v>365</v>
      </c>
      <c r="D384" s="7">
        <v>3170.0760247719822</v>
      </c>
      <c r="E384" s="7"/>
      <c r="F384" s="7">
        <f t="shared" si="12"/>
        <v>255.99155833222193</v>
      </c>
      <c r="G384" s="7"/>
      <c r="H384" s="7"/>
      <c r="I384" s="7"/>
      <c r="J384" s="7">
        <v>0</v>
      </c>
      <c r="K384" s="7"/>
      <c r="L384" s="7">
        <f t="shared" si="13"/>
        <v>0</v>
      </c>
      <c r="M384" s="7"/>
      <c r="N384" s="7"/>
      <c r="O384" s="7"/>
    </row>
    <row r="385" spans="3:15" x14ac:dyDescent="0.2">
      <c r="C385">
        <v>366</v>
      </c>
      <c r="D385" s="7">
        <v>3238.0019139356632</v>
      </c>
      <c r="E385" s="7"/>
      <c r="F385" s="7">
        <f t="shared" si="12"/>
        <v>261.47674357138766</v>
      </c>
      <c r="G385" s="7"/>
      <c r="H385" s="7"/>
      <c r="I385" s="7"/>
      <c r="J385" s="7">
        <v>137.33083186472095</v>
      </c>
      <c r="K385" s="7"/>
      <c r="L385" s="7">
        <f t="shared" si="13"/>
        <v>8.8952291117338493</v>
      </c>
      <c r="M385" s="7"/>
      <c r="N385" s="7"/>
      <c r="O385" s="7"/>
    </row>
    <row r="386" spans="3:15" x14ac:dyDescent="0.2">
      <c r="C386">
        <v>367</v>
      </c>
      <c r="D386" s="7">
        <v>3238.2890258087491</v>
      </c>
      <c r="E386" s="7"/>
      <c r="F386" s="7">
        <f t="shared" si="12"/>
        <v>261.49992857238846</v>
      </c>
      <c r="G386" s="7"/>
      <c r="H386" s="7"/>
      <c r="I386" s="7"/>
      <c r="J386" s="7">
        <v>342.30044102003694</v>
      </c>
      <c r="K386" s="7"/>
      <c r="L386" s="7">
        <f t="shared" si="13"/>
        <v>22.171575068591427</v>
      </c>
      <c r="M386" s="7"/>
      <c r="N386" s="7"/>
      <c r="O386" s="7"/>
    </row>
    <row r="387" spans="3:15" x14ac:dyDescent="0.2">
      <c r="C387">
        <v>368</v>
      </c>
      <c r="D387" s="7">
        <v>3242.7252267732638</v>
      </c>
      <c r="E387" s="7"/>
      <c r="F387" s="7">
        <f t="shared" si="12"/>
        <v>261.85816288257752</v>
      </c>
      <c r="G387" s="7"/>
      <c r="H387" s="7"/>
      <c r="I387" s="7"/>
      <c r="J387" s="7">
        <v>543.12096108392416</v>
      </c>
      <c r="K387" s="7"/>
      <c r="L387" s="7">
        <f t="shared" si="13"/>
        <v>35.179175124968253</v>
      </c>
      <c r="M387" s="7"/>
      <c r="N387" s="7"/>
      <c r="O387" s="7"/>
    </row>
    <row r="388" spans="3:15" x14ac:dyDescent="0.2">
      <c r="C388">
        <v>369</v>
      </c>
      <c r="D388" s="7">
        <v>3243.0072181718533</v>
      </c>
      <c r="E388" s="7"/>
      <c r="F388" s="7">
        <f t="shared" si="12"/>
        <v>261.88093439247098</v>
      </c>
      <c r="G388" s="7"/>
      <c r="H388" s="7"/>
      <c r="I388" s="7"/>
      <c r="J388" s="7">
        <v>748.09569071373562</v>
      </c>
      <c r="K388" s="7"/>
      <c r="L388" s="7">
        <f t="shared" si="13"/>
        <v>48.455852746559664</v>
      </c>
      <c r="M388" s="7"/>
      <c r="N388" s="7"/>
      <c r="O388" s="7"/>
    </row>
    <row r="389" spans="3:15" x14ac:dyDescent="0.2">
      <c r="C389">
        <v>370</v>
      </c>
      <c r="D389" s="7">
        <v>3240.8801183972359</v>
      </c>
      <c r="E389" s="7"/>
      <c r="F389" s="7">
        <f t="shared" si="12"/>
        <v>261.70916577185199</v>
      </c>
      <c r="G389" s="7"/>
      <c r="H389" s="7"/>
      <c r="I389" s="7"/>
      <c r="J389" s="7">
        <v>955.47951151675488</v>
      </c>
      <c r="K389" s="7"/>
      <c r="L389" s="7">
        <f t="shared" si="13"/>
        <v>61.888572661391159</v>
      </c>
      <c r="M389" s="7"/>
      <c r="N389" s="7"/>
      <c r="O389" s="7"/>
    </row>
    <row r="390" spans="3:15" x14ac:dyDescent="0.2">
      <c r="C390">
        <v>371</v>
      </c>
      <c r="D390" s="7">
        <v>3238.7708203748516</v>
      </c>
      <c r="E390" s="7"/>
      <c r="F390" s="7">
        <f t="shared" si="12"/>
        <v>261.53883468719732</v>
      </c>
      <c r="G390" s="7"/>
      <c r="H390" s="7"/>
      <c r="I390" s="7"/>
      <c r="J390" s="7">
        <v>1162.8455305675416</v>
      </c>
      <c r="K390" s="7"/>
      <c r="L390" s="7">
        <f t="shared" si="13"/>
        <v>75.320139516399536</v>
      </c>
      <c r="M390" s="7"/>
      <c r="N390" s="7"/>
      <c r="O390" s="7"/>
    </row>
    <row r="391" spans="3:15" x14ac:dyDescent="0.2">
      <c r="C391">
        <v>372</v>
      </c>
      <c r="D391" s="7">
        <v>3236.6792558178345</v>
      </c>
      <c r="E391" s="7"/>
      <c r="F391" s="7">
        <f t="shared" si="12"/>
        <v>261.36993562417194</v>
      </c>
      <c r="G391" s="7"/>
      <c r="H391" s="7"/>
      <c r="I391" s="7"/>
      <c r="J391" s="7">
        <v>1370.1938161529602</v>
      </c>
      <c r="K391" s="7"/>
      <c r="L391" s="7">
        <f t="shared" si="13"/>
        <v>88.750557734679703</v>
      </c>
      <c r="M391" s="7"/>
      <c r="N391" s="7"/>
      <c r="O391" s="7"/>
    </row>
    <row r="392" spans="3:15" x14ac:dyDescent="0.2">
      <c r="C392">
        <v>373</v>
      </c>
      <c r="D392" s="7">
        <v>3234.6053566403216</v>
      </c>
      <c r="E392" s="7"/>
      <c r="F392" s="7">
        <f t="shared" si="12"/>
        <v>261.20246308467227</v>
      </c>
      <c r="G392" s="7"/>
      <c r="H392" s="7"/>
      <c r="I392" s="7"/>
      <c r="J392" s="7">
        <v>1577.5244363588745</v>
      </c>
      <c r="K392" s="7"/>
      <c r="L392" s="7">
        <f t="shared" si="13"/>
        <v>102.17983172630733</v>
      </c>
      <c r="M392" s="7"/>
      <c r="N392" s="7"/>
      <c r="O392" s="7"/>
    </row>
    <row r="393" spans="3:15" x14ac:dyDescent="0.2">
      <c r="C393">
        <v>374</v>
      </c>
      <c r="D393" s="7">
        <v>3232.5490549569608</v>
      </c>
      <c r="E393" s="7"/>
      <c r="F393" s="7">
        <f t="shared" si="12"/>
        <v>261.0364115867867</v>
      </c>
      <c r="G393" s="7"/>
      <c r="H393" s="7"/>
      <c r="I393" s="7"/>
      <c r="J393" s="7">
        <v>1784.8374590706367</v>
      </c>
      <c r="K393" s="7"/>
      <c r="L393" s="7">
        <f t="shared" si="13"/>
        <v>115.60796588837046</v>
      </c>
      <c r="M393" s="7"/>
      <c r="N393" s="7"/>
      <c r="O393" s="7"/>
    </row>
    <row r="394" spans="3:15" x14ac:dyDescent="0.2">
      <c r="C394">
        <v>375</v>
      </c>
      <c r="D394" s="7">
        <v>3230.5102830824212</v>
      </c>
      <c r="E394" s="7"/>
      <c r="F394" s="7">
        <f t="shared" si="12"/>
        <v>260.87177566475549</v>
      </c>
      <c r="G394" s="7"/>
      <c r="H394" s="7"/>
      <c r="I394" s="7"/>
      <c r="J394" s="7">
        <v>1992.1329519735787</v>
      </c>
      <c r="K394" s="7"/>
      <c r="L394" s="7">
        <f t="shared" si="13"/>
        <v>129.03496460500139</v>
      </c>
      <c r="M394" s="7"/>
      <c r="N394" s="7"/>
      <c r="O394" s="7"/>
    </row>
    <row r="395" spans="3:15" x14ac:dyDescent="0.2">
      <c r="C395">
        <v>376</v>
      </c>
      <c r="D395" s="7">
        <v>3230.9088179898995</v>
      </c>
      <c r="E395" s="7"/>
      <c r="F395" s="7">
        <f t="shared" si="12"/>
        <v>260.90395835413517</v>
      </c>
      <c r="G395" s="7"/>
      <c r="H395" s="7"/>
      <c r="I395" s="7"/>
      <c r="J395" s="7">
        <v>2196.9911380945027</v>
      </c>
      <c r="K395" s="7"/>
      <c r="L395" s="7">
        <f t="shared" si="13"/>
        <v>142.30409343948534</v>
      </c>
      <c r="M395" s="7"/>
      <c r="N395" s="7"/>
      <c r="O395" s="7"/>
    </row>
    <row r="396" spans="3:15" x14ac:dyDescent="0.2">
      <c r="C396">
        <v>377</v>
      </c>
      <c r="D396" s="7">
        <v>3235.4522553529109</v>
      </c>
      <c r="E396" s="7"/>
      <c r="F396" s="7">
        <f t="shared" si="12"/>
        <v>261.27085227139565</v>
      </c>
      <c r="G396" s="7"/>
      <c r="H396" s="7"/>
      <c r="I396" s="7"/>
      <c r="J396" s="7">
        <v>2032.8035843760658</v>
      </c>
      <c r="K396" s="7"/>
      <c r="L396" s="7">
        <f t="shared" si="13"/>
        <v>131.66929360765099</v>
      </c>
      <c r="M396" s="7"/>
      <c r="N396" s="7"/>
      <c r="O396" s="7"/>
    </row>
    <row r="397" spans="3:15" x14ac:dyDescent="0.2">
      <c r="C397">
        <v>378</v>
      </c>
      <c r="D397" s="7">
        <v>3239.9826359449717</v>
      </c>
      <c r="E397" s="7"/>
      <c r="F397" s="7">
        <f t="shared" si="12"/>
        <v>261.63669182178404</v>
      </c>
      <c r="G397" s="7"/>
      <c r="H397" s="7"/>
      <c r="I397" s="7"/>
      <c r="J397" s="7">
        <v>2347.5614364948533</v>
      </c>
      <c r="K397" s="7"/>
      <c r="L397" s="7">
        <f t="shared" si="13"/>
        <v>152.05687279359714</v>
      </c>
      <c r="M397" s="7"/>
      <c r="N397" s="7"/>
      <c r="O397" s="7"/>
    </row>
    <row r="398" spans="3:15" x14ac:dyDescent="0.2">
      <c r="C398">
        <v>379</v>
      </c>
      <c r="D398" s="7">
        <v>3244.4992157982665</v>
      </c>
      <c r="E398" s="7"/>
      <c r="F398" s="7">
        <f t="shared" si="12"/>
        <v>262.00141692804078</v>
      </c>
      <c r="G398" s="7"/>
      <c r="H398" s="7"/>
      <c r="I398" s="7"/>
      <c r="J398" s="7">
        <v>2662.3330893524058</v>
      </c>
      <c r="K398" s="7"/>
      <c r="L398" s="7">
        <f t="shared" si="13"/>
        <v>172.44534588465959</v>
      </c>
      <c r="M398" s="7"/>
      <c r="N398" s="7"/>
      <c r="O398" s="7"/>
    </row>
    <row r="399" spans="3:15" x14ac:dyDescent="0.2">
      <c r="C399">
        <v>380</v>
      </c>
      <c r="D399" s="7">
        <v>3249.0010950147175</v>
      </c>
      <c r="E399" s="7"/>
      <c r="F399" s="7">
        <f t="shared" si="12"/>
        <v>262.36495492114796</v>
      </c>
      <c r="G399" s="7"/>
      <c r="H399" s="7"/>
      <c r="I399" s="7"/>
      <c r="J399" s="7">
        <v>2817.4753264913784</v>
      </c>
      <c r="K399" s="7"/>
      <c r="L399" s="7">
        <f t="shared" si="13"/>
        <v>182.49426006889399</v>
      </c>
      <c r="M399" s="7"/>
      <c r="N399" s="7"/>
      <c r="O399" s="7"/>
    </row>
    <row r="400" spans="3:15" x14ac:dyDescent="0.2">
      <c r="C400">
        <v>381</v>
      </c>
      <c r="D400" s="7">
        <v>3253.4875403634073</v>
      </c>
      <c r="E400" s="7"/>
      <c r="F400" s="7">
        <f t="shared" si="12"/>
        <v>262.72724659087726</v>
      </c>
      <c r="G400" s="7"/>
      <c r="H400" s="7"/>
      <c r="I400" s="7"/>
      <c r="J400" s="7">
        <v>3291.9212302089586</v>
      </c>
      <c r="K400" s="7"/>
      <c r="L400" s="7">
        <f t="shared" si="13"/>
        <v>213.22519614047292</v>
      </c>
      <c r="M400" s="7"/>
      <c r="N400" s="7"/>
      <c r="O400" s="7"/>
    </row>
    <row r="401" spans="3:15" x14ac:dyDescent="0.2">
      <c r="C401">
        <v>382</v>
      </c>
      <c r="D401" s="7">
        <v>3257.957904883373</v>
      </c>
      <c r="E401" s="7"/>
      <c r="F401" s="7">
        <f t="shared" si="12"/>
        <v>263.08823969351471</v>
      </c>
      <c r="G401" s="7"/>
      <c r="H401" s="7"/>
      <c r="I401" s="7"/>
      <c r="J401" s="7">
        <v>2489.2302839118756</v>
      </c>
      <c r="K401" s="7"/>
      <c r="L401" s="7">
        <f t="shared" si="13"/>
        <v>161.23308500070755</v>
      </c>
      <c r="M401" s="7"/>
      <c r="N401" s="7"/>
      <c r="O401" s="7"/>
    </row>
    <row r="402" spans="3:15" x14ac:dyDescent="0.2">
      <c r="C402">
        <v>383</v>
      </c>
      <c r="D402" s="7">
        <v>3258.2713743806744</v>
      </c>
      <c r="E402" s="7"/>
      <c r="F402" s="7">
        <f t="shared" si="12"/>
        <v>263.11355313851624</v>
      </c>
      <c r="G402" s="7"/>
      <c r="H402" s="7"/>
      <c r="I402" s="7"/>
      <c r="J402" s="7">
        <v>1690.6962326374551</v>
      </c>
      <c r="K402" s="7"/>
      <c r="L402" s="7">
        <f t="shared" si="13"/>
        <v>109.51022536927377</v>
      </c>
      <c r="M402" s="7"/>
      <c r="N402" s="7"/>
      <c r="O402" s="7"/>
    </row>
    <row r="403" spans="3:15" x14ac:dyDescent="0.2">
      <c r="C403">
        <v>384</v>
      </c>
      <c r="D403" s="7">
        <v>3256.1869093965802</v>
      </c>
      <c r="E403" s="7"/>
      <c r="F403" s="7">
        <f t="shared" si="12"/>
        <v>262.94522738374019</v>
      </c>
      <c r="G403" s="7"/>
      <c r="H403" s="7"/>
      <c r="I403" s="7"/>
      <c r="J403" s="7">
        <v>894.56011584443195</v>
      </c>
      <c r="K403" s="7"/>
      <c r="L403" s="7">
        <f t="shared" si="13"/>
        <v>57.942685386875297</v>
      </c>
      <c r="M403" s="7"/>
      <c r="N403" s="7"/>
      <c r="O403" s="7"/>
    </row>
    <row r="404" spans="3:15" x14ac:dyDescent="0.2">
      <c r="C404">
        <v>385</v>
      </c>
      <c r="D404" s="7">
        <v>2713.9499780422011</v>
      </c>
      <c r="E404" s="7"/>
      <c r="F404" s="7">
        <f t="shared" si="12"/>
        <v>219.15824058657853</v>
      </c>
      <c r="G404" s="7"/>
      <c r="H404" s="7"/>
      <c r="I404" s="7"/>
      <c r="J404" s="7">
        <v>0</v>
      </c>
      <c r="K404" s="7"/>
      <c r="L404" s="7">
        <f t="shared" si="13"/>
        <v>0</v>
      </c>
      <c r="M404" s="7"/>
      <c r="N404" s="7"/>
      <c r="O404" s="7"/>
    </row>
    <row r="405" spans="3:15" x14ac:dyDescent="0.2">
      <c r="C405">
        <v>386</v>
      </c>
      <c r="D405" s="7">
        <v>2554.3058616867775</v>
      </c>
      <c r="E405" s="7"/>
      <c r="F405" s="7">
        <f t="shared" ref="F405:F468" si="14">D405*(1-($C$2/($D$8-$D$6)*LN($D$8/$D$6)))</f>
        <v>206.2665793756033</v>
      </c>
      <c r="G405" s="7"/>
      <c r="H405" s="7"/>
      <c r="I405" s="7"/>
      <c r="J405" s="7">
        <v>0</v>
      </c>
      <c r="K405" s="7"/>
      <c r="L405" s="7">
        <f t="shared" ref="L405:L468" si="15">J405*(1-$C$2/($D$10-$D$9)*LN($D$10/$D$9))</f>
        <v>0</v>
      </c>
      <c r="M405" s="7"/>
      <c r="N405" s="7"/>
      <c r="O405" s="7"/>
    </row>
    <row r="406" spans="3:15" x14ac:dyDescent="0.2">
      <c r="C406">
        <v>387</v>
      </c>
      <c r="D406" s="7">
        <v>2713.9499780422011</v>
      </c>
      <c r="E406" s="7"/>
      <c r="F406" s="7">
        <f t="shared" si="14"/>
        <v>219.15824058657853</v>
      </c>
      <c r="G406" s="7"/>
      <c r="H406" s="7"/>
      <c r="I406" s="7"/>
      <c r="J406" s="7">
        <v>0</v>
      </c>
      <c r="K406" s="7"/>
      <c r="L406" s="7">
        <f t="shared" si="15"/>
        <v>0</v>
      </c>
      <c r="M406" s="7"/>
      <c r="N406" s="7"/>
      <c r="O406" s="7"/>
    </row>
    <row r="407" spans="3:15" x14ac:dyDescent="0.2">
      <c r="C407">
        <v>388</v>
      </c>
      <c r="D407" s="7">
        <v>2873.5940943976243</v>
      </c>
      <c r="E407" s="7"/>
      <c r="F407" s="7">
        <f t="shared" si="14"/>
        <v>232.0499017975537</v>
      </c>
      <c r="G407" s="7"/>
      <c r="H407" s="7"/>
      <c r="I407" s="7"/>
      <c r="J407" s="7">
        <v>0</v>
      </c>
      <c r="K407" s="7"/>
      <c r="L407" s="7">
        <f t="shared" si="15"/>
        <v>0</v>
      </c>
      <c r="M407" s="7"/>
      <c r="N407" s="7"/>
      <c r="O407" s="7"/>
    </row>
    <row r="408" spans="3:15" x14ac:dyDescent="0.2">
      <c r="C408">
        <v>389</v>
      </c>
      <c r="D408" s="7">
        <v>3217.4429603939211</v>
      </c>
      <c r="E408" s="7"/>
      <c r="F408" s="7">
        <f t="shared" si="14"/>
        <v>259.81655671350029</v>
      </c>
      <c r="G408" s="7"/>
      <c r="H408" s="7"/>
      <c r="I408" s="7"/>
      <c r="J408" s="7">
        <v>0</v>
      </c>
      <c r="K408" s="7"/>
      <c r="L408" s="7">
        <f t="shared" si="15"/>
        <v>0</v>
      </c>
      <c r="M408" s="7"/>
      <c r="N408" s="7"/>
      <c r="O408" s="7"/>
    </row>
    <row r="409" spans="3:15" x14ac:dyDescent="0.2">
      <c r="C409">
        <v>390</v>
      </c>
      <c r="D409" s="7">
        <v>3248.4913733244493</v>
      </c>
      <c r="E409" s="7"/>
      <c r="F409" s="7">
        <f t="shared" si="14"/>
        <v>262.32379362129649</v>
      </c>
      <c r="G409" s="7"/>
      <c r="H409" s="7"/>
      <c r="I409" s="7"/>
      <c r="J409" s="7">
        <v>189.99728663852011</v>
      </c>
      <c r="K409" s="7"/>
      <c r="L409" s="7">
        <f t="shared" si="15"/>
        <v>12.306554706682499</v>
      </c>
      <c r="M409" s="7"/>
      <c r="N409" s="7"/>
      <c r="O409" s="7"/>
    </row>
    <row r="410" spans="3:15" x14ac:dyDescent="0.2">
      <c r="C410">
        <v>391</v>
      </c>
      <c r="D410" s="7">
        <v>3248.928480478618</v>
      </c>
      <c r="E410" s="7"/>
      <c r="F410" s="7">
        <f t="shared" si="14"/>
        <v>262.35909111595572</v>
      </c>
      <c r="G410" s="7"/>
      <c r="H410" s="7"/>
      <c r="I410" s="7"/>
      <c r="J410" s="7">
        <v>410.60587905339935</v>
      </c>
      <c r="K410" s="7"/>
      <c r="L410" s="7">
        <f t="shared" si="15"/>
        <v>26.595873040387101</v>
      </c>
      <c r="M410" s="7"/>
      <c r="N410" s="7"/>
      <c r="O410" s="7"/>
    </row>
    <row r="411" spans="3:15" x14ac:dyDescent="0.2">
      <c r="C411">
        <v>392</v>
      </c>
      <c r="D411" s="7">
        <v>3253.5142633864689</v>
      </c>
      <c r="E411" s="7"/>
      <c r="F411" s="7">
        <f t="shared" si="14"/>
        <v>262.72940454174761</v>
      </c>
      <c r="G411" s="7"/>
      <c r="H411" s="7"/>
      <c r="I411" s="7"/>
      <c r="J411" s="7">
        <v>627.06579571459588</v>
      </c>
      <c r="K411" s="7"/>
      <c r="L411" s="7">
        <f t="shared" si="15"/>
        <v>40.616472246433204</v>
      </c>
      <c r="M411" s="7"/>
      <c r="N411" s="7"/>
      <c r="O411" s="7"/>
    </row>
    <row r="412" spans="3:15" x14ac:dyDescent="0.2">
      <c r="C412">
        <v>393</v>
      </c>
      <c r="D412" s="7">
        <v>3253.942460663684</v>
      </c>
      <c r="E412" s="7"/>
      <c r="F412" s="7">
        <f t="shared" si="14"/>
        <v>262.76398254158465</v>
      </c>
      <c r="G412" s="7"/>
      <c r="H412" s="7"/>
      <c r="I412" s="7"/>
      <c r="J412" s="7">
        <v>847.68329800642914</v>
      </c>
      <c r="K412" s="7"/>
      <c r="L412" s="7">
        <f t="shared" si="15"/>
        <v>54.906367693054023</v>
      </c>
      <c r="M412" s="7"/>
      <c r="N412" s="7"/>
      <c r="O412" s="7"/>
    </row>
    <row r="413" spans="3:15" x14ac:dyDescent="0.2">
      <c r="C413">
        <v>394</v>
      </c>
      <c r="D413" s="7">
        <v>3251.9576035653035</v>
      </c>
      <c r="E413" s="7"/>
      <c r="F413" s="7">
        <f t="shared" si="14"/>
        <v>262.60370037241563</v>
      </c>
      <c r="G413" s="7"/>
      <c r="H413" s="7"/>
      <c r="I413" s="7"/>
      <c r="J413" s="7">
        <v>1070.713854673857</v>
      </c>
      <c r="K413" s="7"/>
      <c r="L413" s="7">
        <f t="shared" si="15"/>
        <v>69.352562138512397</v>
      </c>
      <c r="M413" s="7"/>
      <c r="N413" s="7"/>
      <c r="O413" s="7"/>
    </row>
    <row r="414" spans="3:15" x14ac:dyDescent="0.2">
      <c r="C414">
        <v>395</v>
      </c>
      <c r="D414" s="7">
        <v>3249.989826040055</v>
      </c>
      <c r="E414" s="7"/>
      <c r="F414" s="7">
        <f t="shared" si="14"/>
        <v>262.44479742144438</v>
      </c>
      <c r="G414" s="7"/>
      <c r="H414" s="7"/>
      <c r="I414" s="7"/>
      <c r="J414" s="7">
        <v>1293.7273317681538</v>
      </c>
      <c r="K414" s="7"/>
      <c r="L414" s="7">
        <f t="shared" si="15"/>
        <v>83.797650301324197</v>
      </c>
      <c r="M414" s="7"/>
      <c r="N414" s="7"/>
      <c r="O414" s="7"/>
    </row>
    <row r="415" spans="3:15" x14ac:dyDescent="0.2">
      <c r="C415">
        <v>396</v>
      </c>
      <c r="D415" s="7">
        <v>3248.039062217691</v>
      </c>
      <c r="E415" s="7"/>
      <c r="F415" s="7">
        <f t="shared" si="14"/>
        <v>262.28726836948385</v>
      </c>
      <c r="G415" s="7"/>
      <c r="H415" s="7"/>
      <c r="I415" s="7"/>
      <c r="J415" s="7">
        <v>1516.7237951595662</v>
      </c>
      <c r="K415" s="7"/>
      <c r="L415" s="7">
        <f t="shared" si="15"/>
        <v>98.241636448054535</v>
      </c>
      <c r="M415" s="7"/>
      <c r="N415" s="7"/>
      <c r="O415" s="7"/>
    </row>
    <row r="416" spans="3:15" x14ac:dyDescent="0.2">
      <c r="C416">
        <v>397</v>
      </c>
      <c r="D416" s="7">
        <v>3246.1052464224335</v>
      </c>
      <c r="E416" s="7"/>
      <c r="F416" s="7">
        <f t="shared" si="14"/>
        <v>262.13110791305093</v>
      </c>
      <c r="G416" s="7"/>
      <c r="H416" s="7"/>
      <c r="I416" s="7"/>
      <c r="J416" s="7">
        <v>1739.7033105238711</v>
      </c>
      <c r="K416" s="7"/>
      <c r="L416" s="7">
        <f t="shared" si="15"/>
        <v>112.68452483267228</v>
      </c>
      <c r="M416" s="7"/>
      <c r="N416" s="7"/>
      <c r="O416" s="7"/>
    </row>
    <row r="417" spans="3:15" x14ac:dyDescent="0.2">
      <c r="C417">
        <v>398</v>
      </c>
      <c r="D417" s="7">
        <v>3244.188313172499</v>
      </c>
      <c r="E417" s="7"/>
      <c r="F417" s="7">
        <f t="shared" si="14"/>
        <v>261.97631076432799</v>
      </c>
      <c r="G417" s="7"/>
      <c r="H417" s="7"/>
      <c r="I417" s="7"/>
      <c r="J417" s="7">
        <v>1962.6659433428549</v>
      </c>
      <c r="K417" s="7"/>
      <c r="L417" s="7">
        <f t="shared" si="15"/>
        <v>127.12631969658108</v>
      </c>
      <c r="M417" s="7"/>
      <c r="N417" s="7"/>
      <c r="O417" s="7"/>
    </row>
    <row r="418" spans="3:15" x14ac:dyDescent="0.2">
      <c r="C418">
        <v>399</v>
      </c>
      <c r="D418" s="7">
        <v>3242.2881971796251</v>
      </c>
      <c r="E418" s="7"/>
      <c r="F418" s="7">
        <f t="shared" si="14"/>
        <v>261.82287165112479</v>
      </c>
      <c r="G418" s="7"/>
      <c r="H418" s="7"/>
      <c r="I418" s="7"/>
      <c r="J418" s="7">
        <v>2185.6117589047772</v>
      </c>
      <c r="K418" s="7"/>
      <c r="L418" s="7">
        <f t="shared" si="15"/>
        <v>141.56702526864942</v>
      </c>
      <c r="M418" s="7"/>
      <c r="N418" s="7"/>
      <c r="O418" s="7"/>
    </row>
    <row r="419" spans="3:15" x14ac:dyDescent="0.2">
      <c r="C419">
        <v>400</v>
      </c>
      <c r="D419" s="7">
        <v>3242.8173783602897</v>
      </c>
      <c r="E419" s="7"/>
      <c r="F419" s="7">
        <f t="shared" si="14"/>
        <v>261.86560435343853</v>
      </c>
      <c r="G419" s="7"/>
      <c r="H419" s="7"/>
      <c r="I419" s="7"/>
      <c r="J419" s="7">
        <v>2025.4384613686871</v>
      </c>
      <c r="K419" s="7"/>
      <c r="L419" s="7">
        <f t="shared" si="15"/>
        <v>131.19223790430192</v>
      </c>
      <c r="M419" s="7"/>
      <c r="N419" s="7"/>
      <c r="O419" s="7"/>
    </row>
    <row r="420" spans="3:15" x14ac:dyDescent="0.2">
      <c r="C420">
        <v>401</v>
      </c>
      <c r="D420" s="7">
        <v>3247.4871125140808</v>
      </c>
      <c r="E420" s="7"/>
      <c r="F420" s="7">
        <f t="shared" si="14"/>
        <v>262.24269705206302</v>
      </c>
      <c r="G420" s="7"/>
      <c r="H420" s="7"/>
      <c r="I420" s="7"/>
      <c r="J420" s="7">
        <v>2308.12813665466</v>
      </c>
      <c r="K420" s="7"/>
      <c r="L420" s="7">
        <f t="shared" si="15"/>
        <v>149.50268862426404</v>
      </c>
      <c r="M420" s="7"/>
      <c r="N420" s="7"/>
      <c r="O420" s="7"/>
    </row>
    <row r="421" spans="3:15" x14ac:dyDescent="0.2">
      <c r="C421">
        <v>402</v>
      </c>
      <c r="D421" s="7">
        <v>3252.1410326721784</v>
      </c>
      <c r="E421" s="7"/>
      <c r="F421" s="7">
        <f t="shared" si="14"/>
        <v>262.61851273102957</v>
      </c>
      <c r="G421" s="7"/>
      <c r="H421" s="7"/>
      <c r="I421" s="7"/>
      <c r="J421" s="7">
        <v>2590.8336259363246</v>
      </c>
      <c r="K421" s="7"/>
      <c r="L421" s="7">
        <f t="shared" si="15"/>
        <v>167.81416365255473</v>
      </c>
      <c r="M421" s="7"/>
      <c r="N421" s="7"/>
      <c r="O421" s="7"/>
    </row>
    <row r="422" spans="3:15" x14ac:dyDescent="0.2">
      <c r="C422">
        <v>403</v>
      </c>
      <c r="D422" s="7">
        <v>3256.7781376910598</v>
      </c>
      <c r="E422" s="7"/>
      <c r="F422" s="7">
        <f t="shared" si="14"/>
        <v>262.9929705454976</v>
      </c>
      <c r="G422" s="7"/>
      <c r="H422" s="7"/>
      <c r="I422" s="7"/>
      <c r="J422" s="7">
        <v>3128.9865165258834</v>
      </c>
      <c r="K422" s="7"/>
      <c r="L422" s="7">
        <f t="shared" si="15"/>
        <v>202.67154559611885</v>
      </c>
      <c r="M422" s="7"/>
      <c r="N422" s="7"/>
      <c r="O422" s="7"/>
    </row>
    <row r="423" spans="3:15" x14ac:dyDescent="0.2">
      <c r="C423">
        <v>404</v>
      </c>
      <c r="D423" s="7">
        <v>3261.3971916645787</v>
      </c>
      <c r="E423" s="7"/>
      <c r="F423" s="7">
        <f t="shared" si="14"/>
        <v>263.36597069295834</v>
      </c>
      <c r="G423" s="7"/>
      <c r="H423" s="7"/>
      <c r="I423" s="7"/>
      <c r="J423" s="7">
        <v>3124.3674625523645</v>
      </c>
      <c r="K423" s="7"/>
      <c r="L423" s="7">
        <f t="shared" si="15"/>
        <v>202.37235900548939</v>
      </c>
      <c r="M423" s="7"/>
      <c r="N423" s="7"/>
      <c r="O423" s="7"/>
    </row>
    <row r="424" spans="3:15" x14ac:dyDescent="0.2">
      <c r="C424">
        <v>405</v>
      </c>
      <c r="D424" s="7">
        <v>3265.9977724594014</v>
      </c>
      <c r="E424" s="7"/>
      <c r="F424" s="7">
        <f t="shared" si="14"/>
        <v>263.73747908509057</v>
      </c>
      <c r="G424" s="7"/>
      <c r="H424" s="7"/>
      <c r="I424" s="7"/>
      <c r="J424" s="7">
        <v>3439.0551144683891</v>
      </c>
      <c r="K424" s="7"/>
      <c r="L424" s="7">
        <f t="shared" si="15"/>
        <v>222.75539116525948</v>
      </c>
      <c r="M424" s="7"/>
      <c r="N424" s="7"/>
      <c r="O424" s="7"/>
    </row>
    <row r="425" spans="3:15" x14ac:dyDescent="0.2">
      <c r="C425">
        <v>406</v>
      </c>
      <c r="D425" s="7">
        <v>3270.579671094627</v>
      </c>
      <c r="E425" s="7"/>
      <c r="F425" s="7">
        <f t="shared" si="14"/>
        <v>264.10747884616444</v>
      </c>
      <c r="G425" s="7"/>
      <c r="H425" s="7"/>
      <c r="I425" s="7"/>
      <c r="J425" s="7">
        <v>2604.3238107849611</v>
      </c>
      <c r="K425" s="7"/>
      <c r="L425" s="7">
        <f t="shared" si="15"/>
        <v>168.68795348808464</v>
      </c>
      <c r="M425" s="7"/>
      <c r="N425" s="7"/>
      <c r="O425" s="7"/>
    </row>
    <row r="426" spans="3:15" x14ac:dyDescent="0.2">
      <c r="C426">
        <v>407</v>
      </c>
      <c r="D426" s="7">
        <v>3271.0084334227945</v>
      </c>
      <c r="E426" s="7"/>
      <c r="F426" s="7">
        <f t="shared" si="14"/>
        <v>264.14210247527745</v>
      </c>
      <c r="G426" s="7"/>
      <c r="H426" s="7"/>
      <c r="I426" s="7"/>
      <c r="J426" s="7">
        <v>1773.7456434085911</v>
      </c>
      <c r="K426" s="7"/>
      <c r="L426" s="7">
        <f t="shared" si="15"/>
        <v>114.88952385871609</v>
      </c>
      <c r="M426" s="7"/>
      <c r="N426" s="7"/>
      <c r="O426" s="7"/>
    </row>
    <row r="427" spans="3:15" x14ac:dyDescent="0.2">
      <c r="C427">
        <v>408</v>
      </c>
      <c r="D427" s="7">
        <v>3269.0568931158241</v>
      </c>
      <c r="E427" s="7"/>
      <c r="F427" s="7">
        <f t="shared" si="14"/>
        <v>263.98451072024523</v>
      </c>
      <c r="G427" s="7"/>
      <c r="H427" s="7"/>
      <c r="I427" s="7"/>
      <c r="J427" s="7">
        <v>945.54777866735822</v>
      </c>
      <c r="K427" s="7"/>
      <c r="L427" s="7">
        <f t="shared" si="15"/>
        <v>61.245271823754486</v>
      </c>
      <c r="M427" s="7"/>
      <c r="N427" s="7"/>
      <c r="O427" s="7"/>
    </row>
    <row r="428" spans="3:15" x14ac:dyDescent="0.2">
      <c r="C428">
        <v>409</v>
      </c>
      <c r="D428" s="7">
        <v>2713.9499780422011</v>
      </c>
      <c r="E428" s="7"/>
      <c r="F428" s="7">
        <f t="shared" si="14"/>
        <v>219.15824058657853</v>
      </c>
      <c r="G428" s="7"/>
      <c r="H428" s="7"/>
      <c r="I428" s="7"/>
      <c r="J428" s="7">
        <v>0</v>
      </c>
      <c r="K428" s="7"/>
      <c r="L428" s="7">
        <f t="shared" si="15"/>
        <v>0</v>
      </c>
      <c r="M428" s="7"/>
      <c r="N428" s="7"/>
      <c r="O428" s="7"/>
    </row>
    <row r="429" spans="3:15" x14ac:dyDescent="0.2">
      <c r="C429">
        <v>410</v>
      </c>
      <c r="D429" s="7">
        <v>2554.3058616867775</v>
      </c>
      <c r="E429" s="7"/>
      <c r="F429" s="7">
        <f t="shared" si="14"/>
        <v>206.2665793756033</v>
      </c>
      <c r="G429" s="7"/>
      <c r="H429" s="7"/>
      <c r="I429" s="7"/>
      <c r="J429" s="7">
        <v>0</v>
      </c>
      <c r="K429" s="7"/>
      <c r="L429" s="7">
        <f t="shared" si="15"/>
        <v>0</v>
      </c>
      <c r="M429" s="7"/>
      <c r="N429" s="7"/>
      <c r="O429" s="7"/>
    </row>
    <row r="430" spans="3:15" x14ac:dyDescent="0.2">
      <c r="C430">
        <v>411</v>
      </c>
      <c r="D430" s="7">
        <v>2713.9499780422011</v>
      </c>
      <c r="E430" s="7"/>
      <c r="F430" s="7">
        <f t="shared" si="14"/>
        <v>219.15824058657853</v>
      </c>
      <c r="G430" s="7"/>
      <c r="H430" s="7"/>
      <c r="I430" s="7"/>
      <c r="J430" s="7">
        <v>0</v>
      </c>
      <c r="K430" s="7"/>
      <c r="L430" s="7">
        <f t="shared" si="15"/>
        <v>0</v>
      </c>
      <c r="M430" s="7"/>
      <c r="N430" s="7"/>
      <c r="O430" s="7"/>
    </row>
    <row r="431" spans="3:15" x14ac:dyDescent="0.2">
      <c r="C431">
        <v>412</v>
      </c>
      <c r="D431" s="7">
        <v>2873.5940943976243</v>
      </c>
      <c r="E431" s="7"/>
      <c r="F431" s="7">
        <f t="shared" si="14"/>
        <v>232.0499017975537</v>
      </c>
      <c r="G431" s="7"/>
      <c r="H431" s="7"/>
      <c r="I431" s="7"/>
      <c r="J431" s="7">
        <v>0</v>
      </c>
      <c r="K431" s="7"/>
      <c r="L431" s="7">
        <f t="shared" si="15"/>
        <v>0</v>
      </c>
      <c r="M431" s="7"/>
      <c r="N431" s="7"/>
      <c r="O431" s="7"/>
    </row>
    <row r="432" spans="3:15" x14ac:dyDescent="0.2">
      <c r="C432">
        <v>413</v>
      </c>
      <c r="D432" s="7">
        <v>3192.8823271084716</v>
      </c>
      <c r="E432" s="7"/>
      <c r="F432" s="7">
        <f t="shared" si="14"/>
        <v>257.83322421950413</v>
      </c>
      <c r="G432" s="7"/>
      <c r="H432" s="7"/>
      <c r="I432" s="7"/>
      <c r="J432" s="7">
        <v>0</v>
      </c>
      <c r="K432" s="7"/>
      <c r="L432" s="7">
        <f t="shared" si="15"/>
        <v>0</v>
      </c>
      <c r="M432" s="7"/>
      <c r="N432" s="7"/>
      <c r="O432" s="7"/>
    </row>
    <row r="433" spans="3:15" x14ac:dyDescent="0.2">
      <c r="C433">
        <v>414</v>
      </c>
      <c r="D433" s="7">
        <v>3262.3117345132205</v>
      </c>
      <c r="E433" s="7"/>
      <c r="F433" s="7">
        <f t="shared" si="14"/>
        <v>263.43982231265323</v>
      </c>
      <c r="G433" s="7"/>
      <c r="H433" s="7"/>
      <c r="I433" s="7"/>
      <c r="J433" s="7">
        <v>143.42941440248251</v>
      </c>
      <c r="K433" s="7"/>
      <c r="L433" s="7">
        <f t="shared" si="15"/>
        <v>9.2902481194366935</v>
      </c>
      <c r="M433" s="7"/>
      <c r="N433" s="7"/>
      <c r="O433" s="7"/>
    </row>
    <row r="434" spans="3:15" x14ac:dyDescent="0.2">
      <c r="C434">
        <v>415</v>
      </c>
      <c r="D434" s="7">
        <v>3262.8487299744638</v>
      </c>
      <c r="E434" s="7"/>
      <c r="F434" s="7">
        <f t="shared" si="14"/>
        <v>263.48318603764494</v>
      </c>
      <c r="G434" s="7"/>
      <c r="H434" s="7"/>
      <c r="I434" s="7"/>
      <c r="J434" s="7">
        <v>355.75124074847008</v>
      </c>
      <c r="K434" s="7"/>
      <c r="L434" s="7">
        <f t="shared" si="15"/>
        <v>23.042813840656247</v>
      </c>
      <c r="M434" s="7"/>
      <c r="N434" s="7"/>
      <c r="O434" s="7"/>
    </row>
    <row r="435" spans="3:15" x14ac:dyDescent="0.2">
      <c r="C435">
        <v>416</v>
      </c>
      <c r="D435" s="7">
        <v>3267.523410897918</v>
      </c>
      <c r="E435" s="7"/>
      <c r="F435" s="7">
        <f t="shared" si="14"/>
        <v>263.86067820027756</v>
      </c>
      <c r="G435" s="7"/>
      <c r="H435" s="7"/>
      <c r="I435" s="7"/>
      <c r="J435" s="7">
        <v>563.93538163224775</v>
      </c>
      <c r="K435" s="7"/>
      <c r="L435" s="7">
        <f t="shared" si="15"/>
        <v>36.52737230029522</v>
      </c>
      <c r="M435" s="7"/>
      <c r="N435" s="7"/>
      <c r="O435" s="7"/>
    </row>
    <row r="436" spans="3:15" x14ac:dyDescent="0.2">
      <c r="C436">
        <v>417</v>
      </c>
      <c r="D436" s="7">
        <v>3272.1865295573079</v>
      </c>
      <c r="E436" s="7"/>
      <c r="F436" s="7">
        <f t="shared" si="14"/>
        <v>264.23723668120266</v>
      </c>
      <c r="G436" s="7"/>
      <c r="H436" s="7"/>
      <c r="I436" s="7"/>
      <c r="J436" s="7">
        <v>772.13108478008871</v>
      </c>
      <c r="K436" s="7"/>
      <c r="L436" s="7">
        <f t="shared" si="15"/>
        <v>50.012679673972627</v>
      </c>
      <c r="M436" s="7"/>
      <c r="N436" s="7"/>
      <c r="O436" s="7"/>
    </row>
    <row r="437" spans="3:15" x14ac:dyDescent="0.2">
      <c r="C437">
        <v>418</v>
      </c>
      <c r="D437" s="7">
        <v>3276.8374149641327</v>
      </c>
      <c r="E437" s="7"/>
      <c r="F437" s="7">
        <f t="shared" si="14"/>
        <v>264.61280729642266</v>
      </c>
      <c r="G437" s="7"/>
      <c r="H437" s="7"/>
      <c r="I437" s="7"/>
      <c r="J437" s="7">
        <v>980.33902118049582</v>
      </c>
      <c r="K437" s="7"/>
      <c r="L437" s="7">
        <f t="shared" si="15"/>
        <v>63.498779423133961</v>
      </c>
      <c r="M437" s="7"/>
      <c r="N437" s="7"/>
      <c r="O437" s="7"/>
    </row>
    <row r="438" spans="3:15" x14ac:dyDescent="0.2">
      <c r="C438">
        <v>419</v>
      </c>
      <c r="D438" s="7">
        <v>3281.4754001750184</v>
      </c>
      <c r="E438" s="7"/>
      <c r="F438" s="7">
        <f t="shared" si="14"/>
        <v>264.98733618859387</v>
      </c>
      <c r="G438" s="7"/>
      <c r="H438" s="7"/>
      <c r="I438" s="7"/>
      <c r="J438" s="7">
        <v>1188.5598577768419</v>
      </c>
      <c r="K438" s="7"/>
      <c r="L438" s="7">
        <f t="shared" si="15"/>
        <v>76.985714747212498</v>
      </c>
      <c r="M438" s="7"/>
      <c r="N438" s="7"/>
      <c r="O438" s="7"/>
    </row>
    <row r="439" spans="3:15" x14ac:dyDescent="0.2">
      <c r="C439">
        <v>420</v>
      </c>
      <c r="D439" s="7">
        <v>3286.0998223375632</v>
      </c>
      <c r="E439" s="7"/>
      <c r="F439" s="7">
        <f t="shared" si="14"/>
        <v>265.360769830729</v>
      </c>
      <c r="G439" s="7"/>
      <c r="H439" s="7"/>
      <c r="I439" s="7"/>
      <c r="J439" s="7">
        <v>1396.7942574215281</v>
      </c>
      <c r="K439" s="7"/>
      <c r="L439" s="7">
        <f t="shared" si="15"/>
        <v>90.473528580659973</v>
      </c>
      <c r="M439" s="7"/>
      <c r="N439" s="7"/>
      <c r="O439" s="7"/>
    </row>
    <row r="440" spans="3:15" x14ac:dyDescent="0.2">
      <c r="C440">
        <v>421</v>
      </c>
      <c r="D440" s="7">
        <v>3290.7100227357691</v>
      </c>
      <c r="E440" s="7"/>
      <c r="F440" s="7">
        <f t="shared" si="14"/>
        <v>265.73305502986568</v>
      </c>
      <c r="G440" s="7"/>
      <c r="H440" s="7"/>
      <c r="I440" s="7"/>
      <c r="J440" s="7">
        <v>1605.042878830553</v>
      </c>
      <c r="K440" s="7"/>
      <c r="L440" s="7">
        <f t="shared" si="15"/>
        <v>103.962263590004</v>
      </c>
      <c r="M440" s="7"/>
      <c r="N440" s="7"/>
      <c r="O440" s="7"/>
    </row>
    <row r="441" spans="3:15" x14ac:dyDescent="0.2">
      <c r="C441">
        <v>422</v>
      </c>
      <c r="D441" s="7">
        <v>3295.3053468350663</v>
      </c>
      <c r="E441" s="7"/>
      <c r="F441" s="7">
        <f t="shared" si="14"/>
        <v>266.10413893070216</v>
      </c>
      <c r="G441" s="7"/>
      <c r="H441" s="7"/>
      <c r="I441" s="7"/>
      <c r="J441" s="7">
        <v>1813.3063765384886</v>
      </c>
      <c r="K441" s="7"/>
      <c r="L441" s="7">
        <f t="shared" si="15"/>
        <v>117.45196217093168</v>
      </c>
      <c r="M441" s="7"/>
      <c r="N441" s="7"/>
      <c r="O441" s="7"/>
    </row>
    <row r="442" spans="3:15" x14ac:dyDescent="0.2">
      <c r="C442">
        <v>423</v>
      </c>
      <c r="D442" s="7">
        <v>3299.8853326181579</v>
      </c>
      <c r="E442" s="7"/>
      <c r="F442" s="7">
        <f t="shared" si="14"/>
        <v>266.47398422418763</v>
      </c>
      <c r="G442" s="7"/>
      <c r="H442" s="7"/>
      <c r="I442" s="7"/>
      <c r="J442" s="7">
        <v>1649.0822743999724</v>
      </c>
      <c r="K442" s="7"/>
      <c r="L442" s="7">
        <f t="shared" si="15"/>
        <v>106.81479501512599</v>
      </c>
      <c r="M442" s="7"/>
      <c r="N442" s="7"/>
      <c r="O442" s="7"/>
    </row>
    <row r="443" spans="3:15" x14ac:dyDescent="0.2">
      <c r="C443">
        <v>424</v>
      </c>
      <c r="D443" s="7">
        <v>3304.4500041986253</v>
      </c>
      <c r="E443" s="7"/>
      <c r="F443" s="7">
        <f t="shared" si="14"/>
        <v>266.842592857554</v>
      </c>
      <c r="G443" s="7"/>
      <c r="H443" s="7"/>
      <c r="I443" s="7"/>
      <c r="J443" s="7">
        <v>2017.0205409821615</v>
      </c>
      <c r="K443" s="7"/>
      <c r="L443" s="7">
        <f t="shared" si="15"/>
        <v>130.64699012952516</v>
      </c>
      <c r="M443" s="7"/>
      <c r="N443" s="7"/>
      <c r="O443" s="7"/>
    </row>
    <row r="444" spans="3:15" x14ac:dyDescent="0.2">
      <c r="C444">
        <v>425</v>
      </c>
      <c r="D444" s="7">
        <v>3308.9984992513582</v>
      </c>
      <c r="E444" s="7"/>
      <c r="F444" s="7">
        <f t="shared" si="14"/>
        <v>267.20989519589438</v>
      </c>
      <c r="G444" s="7"/>
      <c r="H444" s="7"/>
      <c r="I444" s="7"/>
      <c r="J444" s="7">
        <v>2384.9749840920831</v>
      </c>
      <c r="K444" s="7"/>
      <c r="L444" s="7">
        <f t="shared" si="15"/>
        <v>154.48023303427456</v>
      </c>
      <c r="M444" s="7"/>
      <c r="N444" s="7"/>
      <c r="O444" s="7"/>
    </row>
    <row r="445" spans="3:15" x14ac:dyDescent="0.2">
      <c r="C445">
        <v>426</v>
      </c>
      <c r="D445" s="7">
        <v>3313.5296929180367</v>
      </c>
      <c r="E445" s="7"/>
      <c r="F445" s="7">
        <f t="shared" si="14"/>
        <v>267.57580040408936</v>
      </c>
      <c r="G445" s="7"/>
      <c r="H445" s="7"/>
      <c r="I445" s="7"/>
      <c r="J445" s="7">
        <v>2752.9467285880592</v>
      </c>
      <c r="K445" s="7"/>
      <c r="L445" s="7">
        <f t="shared" si="15"/>
        <v>178.3145965889961</v>
      </c>
      <c r="M445" s="7"/>
      <c r="N445" s="7"/>
      <c r="O445" s="7"/>
    </row>
    <row r="446" spans="3:15" x14ac:dyDescent="0.2">
      <c r="C446">
        <v>427</v>
      </c>
      <c r="D446" s="7">
        <v>3318.0428778972414</v>
      </c>
      <c r="E446" s="7"/>
      <c r="F446" s="7">
        <f t="shared" si="14"/>
        <v>267.94025136578239</v>
      </c>
      <c r="G446" s="7"/>
      <c r="H446" s="7"/>
      <c r="I446" s="7"/>
      <c r="J446" s="7">
        <v>2309.4122236314402</v>
      </c>
      <c r="K446" s="7"/>
      <c r="L446" s="7">
        <f t="shared" si="15"/>
        <v>149.58586184693195</v>
      </c>
      <c r="M446" s="7"/>
      <c r="N446" s="7"/>
      <c r="O446" s="7"/>
    </row>
    <row r="447" spans="3:15" x14ac:dyDescent="0.2">
      <c r="C447">
        <v>428</v>
      </c>
      <c r="D447" s="7">
        <v>3322.5389900885643</v>
      </c>
      <c r="E447" s="7"/>
      <c r="F447" s="7">
        <f t="shared" si="14"/>
        <v>268.30332365720358</v>
      </c>
      <c r="G447" s="7"/>
      <c r="H447" s="7"/>
      <c r="I447" s="7"/>
      <c r="J447" s="7">
        <v>1865.894791462702</v>
      </c>
      <c r="K447" s="7"/>
      <c r="L447" s="7">
        <f t="shared" si="15"/>
        <v>120.85823294801834</v>
      </c>
      <c r="M447" s="7"/>
      <c r="N447" s="7"/>
      <c r="O447" s="7"/>
    </row>
    <row r="448" spans="3:15" x14ac:dyDescent="0.2">
      <c r="C448">
        <v>429</v>
      </c>
      <c r="D448" s="7">
        <v>3327.0193691441691</v>
      </c>
      <c r="E448" s="7"/>
      <c r="F448" s="7">
        <f t="shared" si="14"/>
        <v>268.66512545861173</v>
      </c>
      <c r="G448" s="7"/>
      <c r="H448" s="7"/>
      <c r="I448" s="7"/>
      <c r="J448" s="7">
        <v>1422.3930924296819</v>
      </c>
      <c r="K448" s="7"/>
      <c r="L448" s="7">
        <f t="shared" si="15"/>
        <v>92.131623119949637</v>
      </c>
      <c r="M448" s="7"/>
      <c r="N448" s="7"/>
      <c r="O448" s="7"/>
    </row>
    <row r="449" spans="3:15" x14ac:dyDescent="0.2">
      <c r="C449">
        <v>430</v>
      </c>
      <c r="D449" s="7">
        <v>3331.4853469242903</v>
      </c>
      <c r="E449" s="7"/>
      <c r="F449" s="7">
        <f t="shared" si="14"/>
        <v>269.02576432104803</v>
      </c>
      <c r="G449" s="7"/>
      <c r="H449" s="7"/>
      <c r="I449" s="7"/>
      <c r="J449" s="7">
        <v>978.90579467214729</v>
      </c>
      <c r="K449" s="7"/>
      <c r="L449" s="7">
        <f t="shared" si="15"/>
        <v>63.405946095121145</v>
      </c>
      <c r="M449" s="7"/>
      <c r="N449" s="7"/>
      <c r="O449" s="7"/>
    </row>
    <row r="450" spans="3:15" x14ac:dyDescent="0.2">
      <c r="C450">
        <v>431</v>
      </c>
      <c r="D450" s="7">
        <v>3331.8063072979458</v>
      </c>
      <c r="E450" s="7"/>
      <c r="F450" s="7">
        <f t="shared" si="14"/>
        <v>269.05168267302849</v>
      </c>
      <c r="G450" s="7"/>
      <c r="H450" s="7"/>
      <c r="I450" s="7"/>
      <c r="J450" s="7">
        <v>539.56351432107704</v>
      </c>
      <c r="K450" s="7"/>
      <c r="L450" s="7">
        <f t="shared" si="15"/>
        <v>34.948751238513587</v>
      </c>
      <c r="M450" s="7"/>
      <c r="N450" s="7"/>
      <c r="O450" s="7"/>
    </row>
    <row r="451" spans="3:15" x14ac:dyDescent="0.2">
      <c r="C451">
        <v>432</v>
      </c>
      <c r="D451" s="7">
        <v>3192.8823271084716</v>
      </c>
      <c r="E451" s="7"/>
      <c r="F451" s="7">
        <f t="shared" si="14"/>
        <v>257.83322421950413</v>
      </c>
      <c r="G451" s="7"/>
      <c r="H451" s="7"/>
      <c r="I451" s="7"/>
      <c r="J451" s="7">
        <v>0</v>
      </c>
      <c r="K451" s="7"/>
      <c r="L451" s="7">
        <f t="shared" si="15"/>
        <v>0</v>
      </c>
      <c r="M451" s="7"/>
      <c r="N451" s="7"/>
      <c r="O451" s="7"/>
    </row>
    <row r="452" spans="3:15" x14ac:dyDescent="0.2">
      <c r="C452">
        <v>433</v>
      </c>
      <c r="D452" s="7">
        <v>2713.9499780422011</v>
      </c>
      <c r="E452" s="7"/>
      <c r="F452" s="7">
        <f t="shared" si="14"/>
        <v>219.15824058657853</v>
      </c>
      <c r="G452" s="7"/>
      <c r="H452" s="7"/>
      <c r="I452" s="7"/>
      <c r="J452" s="7">
        <v>0</v>
      </c>
      <c r="K452" s="7"/>
      <c r="L452" s="7">
        <f t="shared" si="15"/>
        <v>0</v>
      </c>
      <c r="M452" s="7"/>
      <c r="N452" s="7"/>
      <c r="O452" s="7"/>
    </row>
    <row r="453" spans="3:15" x14ac:dyDescent="0.2">
      <c r="C453">
        <v>434</v>
      </c>
      <c r="D453" s="7">
        <v>2554.3058616867775</v>
      </c>
      <c r="E453" s="7"/>
      <c r="F453" s="7">
        <f t="shared" si="14"/>
        <v>206.2665793756033</v>
      </c>
      <c r="G453" s="7"/>
      <c r="H453" s="7"/>
      <c r="I453" s="7"/>
      <c r="J453" s="7">
        <v>0</v>
      </c>
      <c r="K453" s="7"/>
      <c r="L453" s="7">
        <f t="shared" si="15"/>
        <v>0</v>
      </c>
      <c r="M453" s="7"/>
      <c r="N453" s="7"/>
      <c r="O453" s="7"/>
    </row>
    <row r="454" spans="3:15" x14ac:dyDescent="0.2">
      <c r="C454">
        <v>435</v>
      </c>
      <c r="D454" s="7">
        <v>2713.9499780422011</v>
      </c>
      <c r="E454" s="7"/>
      <c r="F454" s="7">
        <f t="shared" si="14"/>
        <v>219.15824058657853</v>
      </c>
      <c r="G454" s="7"/>
      <c r="H454" s="7"/>
      <c r="I454" s="7"/>
      <c r="J454" s="7">
        <v>0</v>
      </c>
      <c r="K454" s="7"/>
      <c r="L454" s="7">
        <f t="shared" si="15"/>
        <v>0</v>
      </c>
      <c r="M454" s="7"/>
      <c r="N454" s="7"/>
      <c r="O454" s="7"/>
    </row>
    <row r="455" spans="3:15" x14ac:dyDescent="0.2">
      <c r="C455">
        <v>436</v>
      </c>
      <c r="D455" s="7">
        <v>2873.5940943976243</v>
      </c>
      <c r="E455" s="7"/>
      <c r="F455" s="7">
        <f t="shared" si="14"/>
        <v>232.0499017975537</v>
      </c>
      <c r="G455" s="7"/>
      <c r="H455" s="7"/>
      <c r="I455" s="7"/>
      <c r="J455" s="7">
        <v>0</v>
      </c>
      <c r="K455" s="7"/>
      <c r="L455" s="7">
        <f t="shared" si="15"/>
        <v>0</v>
      </c>
      <c r="M455" s="7"/>
      <c r="N455" s="7"/>
      <c r="O455" s="7"/>
    </row>
    <row r="456" spans="3:15" x14ac:dyDescent="0.2">
      <c r="C456">
        <v>437</v>
      </c>
      <c r="D456" s="7">
        <v>3163.8561241347584</v>
      </c>
      <c r="E456" s="7"/>
      <c r="F456" s="7">
        <f t="shared" si="14"/>
        <v>255.48928581750863</v>
      </c>
      <c r="G456" s="7"/>
      <c r="H456" s="7"/>
      <c r="I456" s="7"/>
      <c r="J456" s="7">
        <v>0</v>
      </c>
      <c r="K456" s="7"/>
      <c r="L456" s="7">
        <f t="shared" si="15"/>
        <v>0</v>
      </c>
      <c r="M456" s="7"/>
      <c r="N456" s="7"/>
      <c r="O456" s="7"/>
    </row>
    <row r="457" spans="3:15" x14ac:dyDescent="0.2">
      <c r="C457">
        <v>438</v>
      </c>
      <c r="D457" s="7">
        <v>3323.7844444315169</v>
      </c>
      <c r="E457" s="7"/>
      <c r="F457" s="7">
        <f t="shared" si="14"/>
        <v>268.4038972067313</v>
      </c>
      <c r="G457" s="7"/>
      <c r="H457" s="7"/>
      <c r="I457" s="7"/>
      <c r="J457" s="7">
        <v>43.255100519234929</v>
      </c>
      <c r="K457" s="7"/>
      <c r="L457" s="7">
        <f t="shared" si="15"/>
        <v>2.8017308578505369</v>
      </c>
      <c r="M457" s="7"/>
      <c r="N457" s="7"/>
      <c r="O457" s="7"/>
    </row>
    <row r="458" spans="3:15" x14ac:dyDescent="0.2">
      <c r="C458">
        <v>439</v>
      </c>
      <c r="D458" s="7">
        <v>3324.2046686550252</v>
      </c>
      <c r="E458" s="7"/>
      <c r="F458" s="7">
        <f t="shared" si="14"/>
        <v>268.4378313625636</v>
      </c>
      <c r="G458" s="7"/>
      <c r="H458" s="7"/>
      <c r="I458" s="7"/>
      <c r="J458" s="7">
        <v>246.01829711172013</v>
      </c>
      <c r="K458" s="7"/>
      <c r="L458" s="7">
        <f t="shared" si="15"/>
        <v>15.935162474243613</v>
      </c>
      <c r="M458" s="7"/>
      <c r="N458" s="7"/>
      <c r="O458" s="7"/>
    </row>
    <row r="459" spans="3:15" x14ac:dyDescent="0.2">
      <c r="C459">
        <v>440</v>
      </c>
      <c r="D459" s="7">
        <v>3328.7556838873907</v>
      </c>
      <c r="E459" s="7"/>
      <c r="F459" s="7">
        <f t="shared" si="14"/>
        <v>268.80533721170508</v>
      </c>
      <c r="G459" s="7"/>
      <c r="H459" s="7"/>
      <c r="I459" s="7"/>
      <c r="J459" s="7">
        <v>444.65070269534863</v>
      </c>
      <c r="K459" s="7"/>
      <c r="L459" s="7">
        <f t="shared" si="15"/>
        <v>28.801033398419619</v>
      </c>
      <c r="M459" s="7"/>
      <c r="N459" s="7"/>
      <c r="O459" s="7"/>
    </row>
    <row r="460" spans="3:15" x14ac:dyDescent="0.2">
      <c r="C460">
        <v>441</v>
      </c>
      <c r="D460" s="7">
        <v>3333.294284245665</v>
      </c>
      <c r="E460" s="7"/>
      <c r="F460" s="7">
        <f t="shared" si="14"/>
        <v>269.1718405287495</v>
      </c>
      <c r="G460" s="7"/>
      <c r="H460" s="7"/>
      <c r="I460" s="7"/>
      <c r="J460" s="7">
        <v>643.29552315306819</v>
      </c>
      <c r="K460" s="7"/>
      <c r="L460" s="7">
        <f t="shared" si="15"/>
        <v>41.667708462117204</v>
      </c>
      <c r="M460" s="7"/>
      <c r="N460" s="7"/>
      <c r="O460" s="7"/>
    </row>
    <row r="461" spans="3:15" x14ac:dyDescent="0.2">
      <c r="C461">
        <v>442</v>
      </c>
      <c r="D461" s="7">
        <v>3337.8198363041902</v>
      </c>
      <c r="E461" s="7"/>
      <c r="F461" s="7">
        <f t="shared" si="14"/>
        <v>269.53729016299246</v>
      </c>
      <c r="G461" s="7"/>
      <c r="H461" s="7"/>
      <c r="I461" s="7"/>
      <c r="J461" s="7">
        <v>841.95339191053608</v>
      </c>
      <c r="K461" s="7"/>
      <c r="L461" s="7">
        <f t="shared" si="15"/>
        <v>54.53522869375125</v>
      </c>
      <c r="M461" s="7"/>
      <c r="N461" s="7"/>
      <c r="O461" s="7"/>
    </row>
    <row r="462" spans="3:15" x14ac:dyDescent="0.2">
      <c r="C462">
        <v>443</v>
      </c>
      <c r="D462" s="7">
        <v>3342.3317105549145</v>
      </c>
      <c r="E462" s="7"/>
      <c r="F462" s="7">
        <f t="shared" si="14"/>
        <v>269.90163528008634</v>
      </c>
      <c r="G462" s="7"/>
      <c r="H462" s="7"/>
      <c r="I462" s="7"/>
      <c r="J462" s="7">
        <v>1040.6249384758053</v>
      </c>
      <c r="K462" s="7"/>
      <c r="L462" s="7">
        <f t="shared" si="15"/>
        <v>67.40363486798455</v>
      </c>
      <c r="M462" s="7"/>
      <c r="N462" s="7"/>
      <c r="O462" s="7"/>
    </row>
    <row r="463" spans="3:15" x14ac:dyDescent="0.2">
      <c r="C463">
        <v>444</v>
      </c>
      <c r="D463" s="7">
        <v>3346.8292814506212</v>
      </c>
      <c r="E463" s="7"/>
      <c r="F463" s="7">
        <f t="shared" si="14"/>
        <v>270.26482536553056</v>
      </c>
      <c r="G463" s="7"/>
      <c r="H463" s="7"/>
      <c r="I463" s="7"/>
      <c r="J463" s="7">
        <v>1239.3107883960929</v>
      </c>
      <c r="K463" s="7"/>
      <c r="L463" s="7">
        <f t="shared" si="15"/>
        <v>80.272967502927557</v>
      </c>
      <c r="M463" s="7"/>
      <c r="N463" s="7"/>
      <c r="O463" s="7"/>
    </row>
    <row r="464" spans="3:15" x14ac:dyDescent="0.2">
      <c r="C464">
        <v>445</v>
      </c>
      <c r="D464" s="7">
        <v>3351.3119274477622</v>
      </c>
      <c r="E464" s="7"/>
      <c r="F464" s="7">
        <f t="shared" si="14"/>
        <v>270.62681022813092</v>
      </c>
      <c r="G464" s="7"/>
      <c r="H464" s="7"/>
      <c r="I464" s="7"/>
      <c r="J464" s="7">
        <v>1438.0115632149464</v>
      </c>
      <c r="K464" s="7"/>
      <c r="L464" s="7">
        <f t="shared" si="15"/>
        <v>93.143266857363997</v>
      </c>
      <c r="M464" s="7"/>
      <c r="N464" s="7"/>
      <c r="O464" s="7"/>
    </row>
    <row r="465" spans="3:15" x14ac:dyDescent="0.2">
      <c r="C465">
        <v>446</v>
      </c>
      <c r="D465" s="7">
        <v>3355.7791798653366</v>
      </c>
      <c r="E465" s="7"/>
      <c r="F465" s="7">
        <f t="shared" si="14"/>
        <v>270.98755202072579</v>
      </c>
      <c r="G465" s="7"/>
      <c r="H465" s="7"/>
      <c r="I465" s="7"/>
      <c r="J465" s="7">
        <v>1342.3191014514146</v>
      </c>
      <c r="K465" s="7"/>
      <c r="L465" s="7">
        <f t="shared" si="15"/>
        <v>86.945049311496831</v>
      </c>
      <c r="M465" s="7"/>
      <c r="N465" s="7"/>
      <c r="O465" s="7"/>
    </row>
    <row r="466" spans="3:15" x14ac:dyDescent="0.2">
      <c r="C466">
        <v>447</v>
      </c>
      <c r="D466" s="7">
        <v>3360.2311675451692</v>
      </c>
      <c r="E466" s="7"/>
      <c r="F466" s="7">
        <f t="shared" si="14"/>
        <v>271.3470611476144</v>
      </c>
      <c r="G466" s="7"/>
      <c r="H466" s="7"/>
      <c r="I466" s="7"/>
      <c r="J466" s="7">
        <v>1246.6419044256263</v>
      </c>
      <c r="K466" s="7"/>
      <c r="L466" s="7">
        <f t="shared" si="15"/>
        <v>80.747820497276578</v>
      </c>
      <c r="M466" s="7"/>
      <c r="N466" s="7"/>
      <c r="O466" s="7"/>
    </row>
    <row r="467" spans="3:15" x14ac:dyDescent="0.2">
      <c r="C467">
        <v>448</v>
      </c>
      <c r="D467" s="7">
        <v>3364.6681672140294</v>
      </c>
      <c r="E467" s="7"/>
      <c r="F467" s="7">
        <f t="shared" si="14"/>
        <v>271.70535995517463</v>
      </c>
      <c r="G467" s="7"/>
      <c r="H467" s="7"/>
      <c r="I467" s="7"/>
      <c r="J467" s="7">
        <v>1150.9796954108097</v>
      </c>
      <c r="K467" s="7"/>
      <c r="L467" s="7">
        <f t="shared" si="15"/>
        <v>74.551562490483249</v>
      </c>
      <c r="M467" s="7"/>
      <c r="N467" s="7"/>
      <c r="O467" s="7"/>
    </row>
    <row r="468" spans="3:15" x14ac:dyDescent="0.2">
      <c r="C468">
        <v>449</v>
      </c>
      <c r="D468" s="7">
        <v>3369.0904541965479</v>
      </c>
      <c r="E468" s="7"/>
      <c r="F468" s="7">
        <f t="shared" si="14"/>
        <v>272.06247067655823</v>
      </c>
      <c r="G468" s="7"/>
      <c r="H468" s="7"/>
      <c r="I468" s="7"/>
      <c r="J468" s="7">
        <v>1055.3321990823347</v>
      </c>
      <c r="K468" s="7"/>
      <c r="L468" s="7">
        <f t="shared" si="15"/>
        <v>68.356257457716808</v>
      </c>
      <c r="M468" s="7"/>
      <c r="N468" s="7"/>
      <c r="O468" s="7"/>
    </row>
    <row r="469" spans="3:15" x14ac:dyDescent="0.2">
      <c r="C469">
        <v>450</v>
      </c>
      <c r="D469" s="7">
        <v>3373.4983023995906</v>
      </c>
      <c r="E469" s="7"/>
      <c r="F469" s="7">
        <f t="shared" ref="F469:F532" si="16">D469*(1-($C$2/($D$8-$D$6)*LN($D$8/$D$6)))</f>
        <v>272.41841543042887</v>
      </c>
      <c r="G469" s="7"/>
      <c r="H469" s="7"/>
      <c r="I469" s="7"/>
      <c r="J469" s="7">
        <v>959.69914153333548</v>
      </c>
      <c r="K469" s="7"/>
      <c r="L469" s="7">
        <f t="shared" ref="L469:L532" si="17">J469*(1-$C$2/($D$10-$D$9)*LN($D$10/$D$9))</f>
        <v>62.161887657409004</v>
      </c>
      <c r="M469" s="7"/>
      <c r="N469" s="7"/>
      <c r="O469" s="7"/>
    </row>
    <row r="470" spans="3:15" x14ac:dyDescent="0.2">
      <c r="C470">
        <v>451</v>
      </c>
      <c r="D470" s="7">
        <v>3377.8919842967639</v>
      </c>
      <c r="E470" s="7"/>
      <c r="F470" s="7">
        <f t="shared" si="16"/>
        <v>272.773216219711</v>
      </c>
      <c r="G470" s="7"/>
      <c r="H470" s="7"/>
      <c r="I470" s="7"/>
      <c r="J470" s="7">
        <v>864.08025029020564</v>
      </c>
      <c r="K470" s="7"/>
      <c r="L470" s="7">
        <f t="shared" si="17"/>
        <v>55.968435440827044</v>
      </c>
      <c r="M470" s="7"/>
      <c r="N470" s="7"/>
      <c r="O470" s="7"/>
    </row>
    <row r="471" spans="3:15" x14ac:dyDescent="0.2">
      <c r="C471">
        <v>452</v>
      </c>
      <c r="D471" s="7">
        <v>3382.2717709130447</v>
      </c>
      <c r="E471" s="7"/>
      <c r="F471" s="7">
        <f t="shared" si="16"/>
        <v>273.12689493034856</v>
      </c>
      <c r="G471" s="7"/>
      <c r="H471" s="7"/>
      <c r="I471" s="7"/>
      <c r="J471" s="7">
        <v>768.47525432796829</v>
      </c>
      <c r="K471" s="7"/>
      <c r="L471" s="7">
        <f t="shared" si="17"/>
        <v>49.775883253069139</v>
      </c>
      <c r="M471" s="7"/>
      <c r="N471" s="7"/>
      <c r="O471" s="7"/>
    </row>
    <row r="472" spans="3:15" x14ac:dyDescent="0.2">
      <c r="C472">
        <v>453</v>
      </c>
      <c r="D472" s="7">
        <v>3386.6377243049405</v>
      </c>
      <c r="E472" s="7"/>
      <c r="F472" s="7">
        <f t="shared" si="16"/>
        <v>273.4794565735595</v>
      </c>
      <c r="G472" s="7"/>
      <c r="H472" s="7"/>
      <c r="I472" s="7"/>
      <c r="J472" s="7">
        <v>1083.3975336469198</v>
      </c>
      <c r="K472" s="7"/>
      <c r="L472" s="7">
        <f t="shared" si="17"/>
        <v>70.174112761290345</v>
      </c>
      <c r="M472" s="7"/>
      <c r="N472" s="7"/>
      <c r="O472" s="7"/>
    </row>
    <row r="473" spans="3:15" x14ac:dyDescent="0.2">
      <c r="C473">
        <v>454</v>
      </c>
      <c r="D473" s="7">
        <v>3390.989481065963</v>
      </c>
      <c r="E473" s="7"/>
      <c r="F473" s="7">
        <f t="shared" si="16"/>
        <v>273.83087180336213</v>
      </c>
      <c r="G473" s="7"/>
      <c r="H473" s="7"/>
      <c r="I473" s="7"/>
      <c r="J473" s="7">
        <v>600.11342781962594</v>
      </c>
      <c r="K473" s="7"/>
      <c r="L473" s="7">
        <f t="shared" si="17"/>
        <v>38.870706315548418</v>
      </c>
      <c r="M473" s="7"/>
      <c r="N473" s="7"/>
      <c r="O473" s="7"/>
    </row>
    <row r="474" spans="3:15" x14ac:dyDescent="0.2">
      <c r="C474">
        <v>455</v>
      </c>
      <c r="D474" s="7">
        <v>3391.2012774347627</v>
      </c>
      <c r="E474" s="7"/>
      <c r="F474" s="7">
        <f t="shared" si="16"/>
        <v>273.84797488924221</v>
      </c>
      <c r="G474" s="7"/>
      <c r="H474" s="7"/>
      <c r="I474" s="7"/>
      <c r="J474" s="7">
        <v>120.96928238455621</v>
      </c>
      <c r="K474" s="7"/>
      <c r="L474" s="7">
        <f t="shared" si="17"/>
        <v>7.8354544837580962</v>
      </c>
      <c r="M474" s="7"/>
      <c r="N474" s="7"/>
      <c r="O474" s="7"/>
    </row>
    <row r="475" spans="3:15" x14ac:dyDescent="0.2">
      <c r="C475">
        <v>456</v>
      </c>
      <c r="D475" s="7">
        <v>3033.238210753048</v>
      </c>
      <c r="E475" s="7"/>
      <c r="F475" s="7">
        <f t="shared" si="16"/>
        <v>244.9415630085289</v>
      </c>
      <c r="G475" s="7"/>
      <c r="H475" s="7"/>
      <c r="I475" s="7"/>
      <c r="J475" s="7">
        <v>0</v>
      </c>
      <c r="K475" s="7"/>
      <c r="L475" s="7">
        <f t="shared" si="17"/>
        <v>0</v>
      </c>
      <c r="M475" s="7"/>
      <c r="N475" s="7"/>
      <c r="O475" s="7"/>
    </row>
    <row r="476" spans="3:15" x14ac:dyDescent="0.2">
      <c r="C476">
        <v>457</v>
      </c>
      <c r="D476" s="7">
        <v>2554.3058616867775</v>
      </c>
      <c r="E476" s="7"/>
      <c r="F476" s="7">
        <f t="shared" si="16"/>
        <v>206.2665793756033</v>
      </c>
      <c r="G476" s="7"/>
      <c r="H476" s="7"/>
      <c r="I476" s="7"/>
      <c r="J476" s="7">
        <v>0</v>
      </c>
      <c r="K476" s="7"/>
      <c r="L476" s="7">
        <f t="shared" si="17"/>
        <v>0</v>
      </c>
      <c r="M476" s="7"/>
      <c r="N476" s="7"/>
      <c r="O476" s="7"/>
    </row>
    <row r="477" spans="3:15" x14ac:dyDescent="0.2">
      <c r="C477">
        <v>458</v>
      </c>
      <c r="D477" s="7">
        <v>2554.3058616867775</v>
      </c>
      <c r="E477" s="7"/>
      <c r="F477" s="7">
        <f t="shared" si="16"/>
        <v>206.2665793756033</v>
      </c>
      <c r="G477" s="7"/>
      <c r="H477" s="7"/>
      <c r="I477" s="7"/>
      <c r="J477" s="7">
        <v>0</v>
      </c>
      <c r="K477" s="7"/>
      <c r="L477" s="7">
        <f t="shared" si="17"/>
        <v>0</v>
      </c>
      <c r="M477" s="7"/>
      <c r="N477" s="7"/>
      <c r="O477" s="7"/>
    </row>
    <row r="478" spans="3:15" x14ac:dyDescent="0.2">
      <c r="C478">
        <v>459</v>
      </c>
      <c r="D478" s="7">
        <v>2736.7562803786905</v>
      </c>
      <c r="E478" s="7"/>
      <c r="F478" s="7">
        <f t="shared" si="16"/>
        <v>220.9999064738607</v>
      </c>
      <c r="G478" s="7"/>
      <c r="H478" s="7"/>
      <c r="I478" s="7"/>
      <c r="J478" s="7">
        <v>0</v>
      </c>
      <c r="K478" s="7"/>
      <c r="L478" s="7">
        <f t="shared" si="17"/>
        <v>0</v>
      </c>
      <c r="M478" s="7"/>
      <c r="N478" s="7"/>
      <c r="O478" s="7"/>
    </row>
    <row r="479" spans="3:15" x14ac:dyDescent="0.2">
      <c r="C479">
        <v>460</v>
      </c>
      <c r="D479" s="7">
        <v>2919.2066990706026</v>
      </c>
      <c r="E479" s="7"/>
      <c r="F479" s="7">
        <f t="shared" si="16"/>
        <v>235.73323357211805</v>
      </c>
      <c r="G479" s="7"/>
      <c r="H479" s="7"/>
      <c r="I479" s="7"/>
      <c r="J479" s="7">
        <v>0</v>
      </c>
      <c r="K479" s="7"/>
      <c r="L479" s="7">
        <f t="shared" si="17"/>
        <v>0</v>
      </c>
      <c r="M479" s="7"/>
      <c r="N479" s="7"/>
      <c r="O479" s="7"/>
    </row>
    <row r="480" spans="3:15" x14ac:dyDescent="0.2">
      <c r="C480">
        <v>461</v>
      </c>
      <c r="D480" s="7">
        <v>3101.6571177625156</v>
      </c>
      <c r="E480" s="7"/>
      <c r="F480" s="7">
        <f t="shared" si="16"/>
        <v>250.46656067037546</v>
      </c>
      <c r="G480" s="7"/>
      <c r="H480" s="7"/>
      <c r="I480" s="7"/>
      <c r="J480" s="7">
        <v>0</v>
      </c>
      <c r="K480" s="7"/>
      <c r="L480" s="7">
        <f t="shared" si="17"/>
        <v>0</v>
      </c>
      <c r="M480" s="7"/>
      <c r="N480" s="7"/>
      <c r="O480" s="7"/>
    </row>
    <row r="481" spans="3:15" x14ac:dyDescent="0.2">
      <c r="C481">
        <v>462</v>
      </c>
      <c r="D481" s="7">
        <v>3284.1075364544286</v>
      </c>
      <c r="E481" s="7"/>
      <c r="F481" s="7">
        <f t="shared" si="16"/>
        <v>265.19988776863283</v>
      </c>
      <c r="G481" s="7"/>
      <c r="H481" s="7"/>
      <c r="I481" s="7"/>
      <c r="J481" s="7">
        <v>0</v>
      </c>
      <c r="K481" s="7"/>
      <c r="L481" s="7">
        <f t="shared" si="17"/>
        <v>0</v>
      </c>
      <c r="M481" s="7"/>
      <c r="N481" s="7"/>
      <c r="O481" s="7"/>
    </row>
    <row r="482" spans="3:15" x14ac:dyDescent="0.2">
      <c r="C482">
        <v>463</v>
      </c>
      <c r="D482" s="7">
        <v>3384.5242120860357</v>
      </c>
      <c r="E482" s="7"/>
      <c r="F482" s="7">
        <f t="shared" si="16"/>
        <v>273.30878518200808</v>
      </c>
      <c r="G482" s="7"/>
      <c r="H482" s="7"/>
      <c r="I482" s="7"/>
      <c r="J482" s="7">
        <v>82.033743060305369</v>
      </c>
      <c r="K482" s="7"/>
      <c r="L482" s="7">
        <f t="shared" si="17"/>
        <v>5.3135113907511293</v>
      </c>
      <c r="M482" s="7"/>
      <c r="N482" s="7"/>
      <c r="O482" s="7"/>
    </row>
    <row r="483" spans="3:15" x14ac:dyDescent="0.2">
      <c r="C483">
        <v>464</v>
      </c>
      <c r="D483" s="7">
        <v>3388.9432362776679</v>
      </c>
      <c r="E483" s="7"/>
      <c r="F483" s="7">
        <f t="shared" si="16"/>
        <v>273.66563242487666</v>
      </c>
      <c r="G483" s="7"/>
      <c r="H483" s="7"/>
      <c r="I483" s="7"/>
      <c r="J483" s="7">
        <v>260.06513756058575</v>
      </c>
      <c r="K483" s="7"/>
      <c r="L483" s="7">
        <f t="shared" si="17"/>
        <v>16.845008154139538</v>
      </c>
      <c r="M483" s="7"/>
      <c r="N483" s="7"/>
      <c r="O483" s="7"/>
    </row>
    <row r="484" spans="3:15" x14ac:dyDescent="0.2">
      <c r="C484">
        <v>465</v>
      </c>
      <c r="D484" s="7">
        <v>3389.2263870905567</v>
      </c>
      <c r="E484" s="7"/>
      <c r="F484" s="7">
        <f t="shared" si="16"/>
        <v>273.68849756037122</v>
      </c>
      <c r="G484" s="7"/>
      <c r="H484" s="7"/>
      <c r="I484" s="7"/>
      <c r="J484" s="7">
        <v>442.23240543960992</v>
      </c>
      <c r="K484" s="7"/>
      <c r="L484" s="7">
        <f t="shared" si="17"/>
        <v>28.644394806357038</v>
      </c>
      <c r="M484" s="7"/>
      <c r="N484" s="7"/>
      <c r="O484" s="7"/>
    </row>
    <row r="485" spans="3:15" x14ac:dyDescent="0.2">
      <c r="C485">
        <v>466</v>
      </c>
      <c r="D485" s="7">
        <v>3387.1664292539913</v>
      </c>
      <c r="E485" s="7"/>
      <c r="F485" s="7">
        <f t="shared" si="16"/>
        <v>273.52215081898072</v>
      </c>
      <c r="G485" s="7"/>
      <c r="H485" s="7"/>
      <c r="I485" s="7"/>
      <c r="J485" s="7">
        <v>626.74278196808791</v>
      </c>
      <c r="K485" s="7"/>
      <c r="L485" s="7">
        <f t="shared" si="17"/>
        <v>40.595549914263415</v>
      </c>
      <c r="M485" s="7"/>
      <c r="N485" s="7"/>
      <c r="O485" s="7"/>
    </row>
    <row r="486" spans="3:15" x14ac:dyDescent="0.2">
      <c r="C486">
        <v>467</v>
      </c>
      <c r="D486" s="7">
        <v>3385.1230407302874</v>
      </c>
      <c r="E486" s="7"/>
      <c r="F486" s="7">
        <f t="shared" si="16"/>
        <v>273.35714209099643</v>
      </c>
      <c r="G486" s="7"/>
      <c r="H486" s="7"/>
      <c r="I486" s="7"/>
      <c r="J486" s="7">
        <v>811.23658918370438</v>
      </c>
      <c r="K486" s="7"/>
      <c r="L486" s="7">
        <f t="shared" si="17"/>
        <v>52.545631790236897</v>
      </c>
      <c r="M486" s="7"/>
      <c r="N486" s="7"/>
      <c r="O486" s="7"/>
    </row>
    <row r="487" spans="3:15" x14ac:dyDescent="0.2">
      <c r="C487">
        <v>468</v>
      </c>
      <c r="D487" s="7">
        <v>3383.0961584665702</v>
      </c>
      <c r="E487" s="7"/>
      <c r="F487" s="7">
        <f t="shared" si="16"/>
        <v>273.19346628474119</v>
      </c>
      <c r="G487" s="7"/>
      <c r="H487" s="7"/>
      <c r="I487" s="7"/>
      <c r="J487" s="7">
        <v>995.71389013933458</v>
      </c>
      <c r="K487" s="7"/>
      <c r="L487" s="7">
        <f t="shared" si="17"/>
        <v>64.494644518355074</v>
      </c>
      <c r="M487" s="7"/>
      <c r="N487" s="7"/>
      <c r="O487" s="7"/>
    </row>
    <row r="488" spans="3:15" x14ac:dyDescent="0.2">
      <c r="C488">
        <v>469</v>
      </c>
      <c r="D488" s="7">
        <v>3381.0857195947256</v>
      </c>
      <c r="E488" s="7"/>
      <c r="F488" s="7">
        <f t="shared" si="16"/>
        <v>273.03111832345775</v>
      </c>
      <c r="G488" s="7"/>
      <c r="H488" s="7"/>
      <c r="I488" s="7"/>
      <c r="J488" s="7">
        <v>1088.9495383571348</v>
      </c>
      <c r="K488" s="7"/>
      <c r="L488" s="7">
        <f t="shared" si="17"/>
        <v>70.533728684795676</v>
      </c>
      <c r="M488" s="7"/>
      <c r="N488" s="7"/>
      <c r="O488" s="7"/>
    </row>
    <row r="489" spans="3:15" x14ac:dyDescent="0.2">
      <c r="C489">
        <v>470</v>
      </c>
      <c r="D489" s="7">
        <v>3379.0916614309522</v>
      </c>
      <c r="E489" s="7"/>
      <c r="F489" s="7">
        <f t="shared" si="16"/>
        <v>272.87009314527262</v>
      </c>
      <c r="G489" s="7"/>
      <c r="H489" s="7"/>
      <c r="I489" s="7"/>
      <c r="J489" s="7">
        <v>1090.9435965209082</v>
      </c>
      <c r="K489" s="7"/>
      <c r="L489" s="7">
        <f t="shared" si="17"/>
        <v>70.66288834973065</v>
      </c>
      <c r="M489" s="7"/>
      <c r="N489" s="7"/>
      <c r="O489" s="7"/>
    </row>
    <row r="490" spans="3:15" x14ac:dyDescent="0.2">
      <c r="C490">
        <v>471</v>
      </c>
      <c r="D490" s="7">
        <v>3377.1139214753111</v>
      </c>
      <c r="E490" s="7"/>
      <c r="F490" s="7">
        <f t="shared" si="16"/>
        <v>272.71038570315949</v>
      </c>
      <c r="G490" s="7"/>
      <c r="H490" s="7"/>
      <c r="I490" s="7"/>
      <c r="J490" s="7">
        <v>1549.0473832063308</v>
      </c>
      <c r="K490" s="7"/>
      <c r="L490" s="7">
        <f t="shared" si="17"/>
        <v>100.33530847701671</v>
      </c>
      <c r="M490" s="7"/>
      <c r="N490" s="7"/>
      <c r="O490" s="7"/>
    </row>
    <row r="491" spans="3:15" x14ac:dyDescent="0.2">
      <c r="C491">
        <v>472</v>
      </c>
      <c r="D491" s="7">
        <v>3377.4806348294178</v>
      </c>
      <c r="E491" s="7"/>
      <c r="F491" s="7">
        <f t="shared" si="16"/>
        <v>272.7399987226093</v>
      </c>
      <c r="G491" s="7"/>
      <c r="H491" s="7"/>
      <c r="I491" s="7"/>
      <c r="J491" s="7">
        <v>1731.1310885441371</v>
      </c>
      <c r="K491" s="7"/>
      <c r="L491" s="7">
        <f t="shared" si="17"/>
        <v>112.12928259412321</v>
      </c>
      <c r="M491" s="7"/>
      <c r="N491" s="7"/>
      <c r="O491" s="7"/>
    </row>
    <row r="492" spans="3:15" x14ac:dyDescent="0.2">
      <c r="C492">
        <v>473</v>
      </c>
      <c r="D492" s="7">
        <v>3381.9567491900862</v>
      </c>
      <c r="E492" s="7"/>
      <c r="F492" s="7">
        <f t="shared" si="16"/>
        <v>273.10145613924749</v>
      </c>
      <c r="G492" s="7"/>
      <c r="H492" s="7"/>
      <c r="I492" s="7"/>
      <c r="J492" s="7">
        <v>1471.2243880147907</v>
      </c>
      <c r="K492" s="7"/>
      <c r="L492" s="7">
        <f t="shared" si="17"/>
        <v>95.294536765446352</v>
      </c>
      <c r="M492" s="7"/>
      <c r="N492" s="7"/>
      <c r="O492" s="7"/>
    </row>
    <row r="493" spans="3:15" x14ac:dyDescent="0.2">
      <c r="C493">
        <v>474</v>
      </c>
      <c r="D493" s="7">
        <v>3386.4155864110485</v>
      </c>
      <c r="E493" s="7"/>
      <c r="F493" s="7">
        <f t="shared" si="16"/>
        <v>273.46151838369349</v>
      </c>
      <c r="G493" s="7"/>
      <c r="H493" s="7"/>
      <c r="I493" s="7"/>
      <c r="J493" s="7">
        <v>1211.3349646251504</v>
      </c>
      <c r="K493" s="7"/>
      <c r="L493" s="7">
        <f t="shared" si="17"/>
        <v>78.460910016250736</v>
      </c>
      <c r="M493" s="7"/>
      <c r="N493" s="7"/>
      <c r="O493" s="7"/>
    </row>
    <row r="494" spans="3:15" x14ac:dyDescent="0.2">
      <c r="C494">
        <v>475</v>
      </c>
      <c r="D494" s="7">
        <v>3390.8578739144259</v>
      </c>
      <c r="E494" s="7"/>
      <c r="F494" s="7">
        <f t="shared" si="16"/>
        <v>273.82024419710081</v>
      </c>
      <c r="G494" s="7"/>
      <c r="H494" s="7"/>
      <c r="I494" s="7"/>
      <c r="J494" s="7">
        <v>1079.1773840374344</v>
      </c>
      <c r="K494" s="7"/>
      <c r="L494" s="7">
        <f t="shared" si="17"/>
        <v>69.90076411006288</v>
      </c>
      <c r="M494" s="7"/>
      <c r="N494" s="7"/>
      <c r="O494" s="7"/>
    </row>
    <row r="495" spans="3:15" x14ac:dyDescent="0.2">
      <c r="C495">
        <v>476</v>
      </c>
      <c r="D495" s="7">
        <v>3395.2842063992507</v>
      </c>
      <c r="E495" s="7"/>
      <c r="F495" s="7">
        <f t="shared" si="16"/>
        <v>274.17768160290194</v>
      </c>
      <c r="G495" s="7"/>
      <c r="H495" s="7"/>
      <c r="I495" s="7"/>
      <c r="J495" s="7">
        <v>691.60517229959214</v>
      </c>
      <c r="K495" s="7"/>
      <c r="L495" s="7">
        <f t="shared" si="17"/>
        <v>44.796833885963125</v>
      </c>
      <c r="M495" s="7"/>
      <c r="N495" s="7"/>
      <c r="O495" s="7"/>
    </row>
    <row r="496" spans="3:15" x14ac:dyDescent="0.2">
      <c r="C496">
        <v>477</v>
      </c>
      <c r="D496" s="7">
        <v>3399.6955620611207</v>
      </c>
      <c r="E496" s="7"/>
      <c r="F496" s="7">
        <f t="shared" si="16"/>
        <v>274.53390959283507</v>
      </c>
      <c r="G496" s="7"/>
      <c r="H496" s="7"/>
      <c r="I496" s="7"/>
      <c r="J496" s="7">
        <v>431.76323046904463</v>
      </c>
      <c r="K496" s="7"/>
      <c r="L496" s="7">
        <f t="shared" si="17"/>
        <v>27.966282624922485</v>
      </c>
      <c r="M496" s="7"/>
      <c r="N496" s="7"/>
      <c r="O496" s="7"/>
    </row>
    <row r="497" spans="3:15" x14ac:dyDescent="0.2">
      <c r="C497">
        <v>478</v>
      </c>
      <c r="D497" s="7">
        <v>3404.0927843016898</v>
      </c>
      <c r="E497" s="7"/>
      <c r="F497" s="7">
        <f t="shared" si="16"/>
        <v>274.88899627369074</v>
      </c>
      <c r="G497" s="7"/>
      <c r="H497" s="7"/>
      <c r="I497" s="7"/>
      <c r="J497" s="7">
        <v>171.93542205979793</v>
      </c>
      <c r="K497" s="7"/>
      <c r="L497" s="7">
        <f t="shared" si="17"/>
        <v>11.136646817599676</v>
      </c>
      <c r="M497" s="7"/>
      <c r="N497" s="7"/>
      <c r="O497" s="7"/>
    </row>
    <row r="498" spans="3:15" x14ac:dyDescent="0.2">
      <c r="C498">
        <v>479</v>
      </c>
      <c r="D498" s="7">
        <v>2873.5940943976243</v>
      </c>
      <c r="E498" s="7"/>
      <c r="F498" s="7">
        <f t="shared" si="16"/>
        <v>232.0499017975537</v>
      </c>
      <c r="G498" s="7"/>
      <c r="H498" s="7"/>
      <c r="I498" s="7"/>
      <c r="J498" s="7">
        <v>0</v>
      </c>
      <c r="K498" s="7"/>
      <c r="L498" s="7">
        <f t="shared" si="17"/>
        <v>0</v>
      </c>
      <c r="M498" s="7"/>
      <c r="N498" s="7"/>
      <c r="O498" s="7"/>
    </row>
    <row r="499" spans="3:15" x14ac:dyDescent="0.2">
      <c r="C499">
        <v>480</v>
      </c>
      <c r="D499" s="7">
        <v>2713.9499780422011</v>
      </c>
      <c r="E499" s="7"/>
      <c r="F499" s="7">
        <f t="shared" si="16"/>
        <v>219.15824058657853</v>
      </c>
      <c r="G499" s="7"/>
      <c r="H499" s="7"/>
      <c r="I499" s="7"/>
      <c r="J499" s="7">
        <v>0</v>
      </c>
      <c r="K499" s="7"/>
      <c r="L499" s="7">
        <f t="shared" si="17"/>
        <v>0</v>
      </c>
      <c r="M499" s="7"/>
      <c r="N499" s="7"/>
      <c r="O499" s="7"/>
    </row>
    <row r="500" spans="3:15" x14ac:dyDescent="0.2">
      <c r="C500">
        <v>481</v>
      </c>
      <c r="D500" s="7">
        <v>2554.3058616867775</v>
      </c>
      <c r="E500" s="7"/>
      <c r="F500" s="7">
        <f t="shared" si="16"/>
        <v>206.2665793756033</v>
      </c>
      <c r="G500" s="7"/>
      <c r="H500" s="7"/>
      <c r="I500" s="7"/>
      <c r="J500" s="7">
        <v>0</v>
      </c>
      <c r="K500" s="7"/>
      <c r="L500" s="7">
        <f t="shared" si="17"/>
        <v>0</v>
      </c>
      <c r="M500" s="7"/>
      <c r="N500" s="7"/>
      <c r="O500" s="7"/>
    </row>
    <row r="501" spans="3:15" x14ac:dyDescent="0.2">
      <c r="C501">
        <v>482</v>
      </c>
      <c r="D501" s="7">
        <v>2554.3058616867775</v>
      </c>
      <c r="E501" s="7"/>
      <c r="F501" s="7">
        <f t="shared" si="16"/>
        <v>206.2665793756033</v>
      </c>
      <c r="G501" s="7"/>
      <c r="H501" s="7"/>
      <c r="I501" s="7"/>
      <c r="J501" s="7">
        <v>0</v>
      </c>
      <c r="K501" s="7"/>
      <c r="L501" s="7">
        <f t="shared" si="17"/>
        <v>0</v>
      </c>
      <c r="M501" s="7"/>
      <c r="N501" s="7"/>
      <c r="O501" s="7"/>
    </row>
    <row r="502" spans="3:15" x14ac:dyDescent="0.2">
      <c r="C502">
        <v>483</v>
      </c>
      <c r="D502" s="7">
        <v>2713.9499780422016</v>
      </c>
      <c r="E502" s="7"/>
      <c r="F502" s="7">
        <f t="shared" si="16"/>
        <v>219.15824058657856</v>
      </c>
      <c r="G502" s="7"/>
      <c r="H502" s="7"/>
      <c r="I502" s="7"/>
      <c r="J502" s="7">
        <v>0</v>
      </c>
      <c r="K502" s="7"/>
      <c r="L502" s="7">
        <f t="shared" si="17"/>
        <v>0</v>
      </c>
      <c r="M502" s="7"/>
      <c r="N502" s="7"/>
      <c r="O502" s="7"/>
    </row>
    <row r="503" spans="3:15" x14ac:dyDescent="0.2">
      <c r="C503">
        <v>484</v>
      </c>
      <c r="D503" s="7">
        <v>2873.5940943976243</v>
      </c>
      <c r="E503" s="7"/>
      <c r="F503" s="7">
        <f t="shared" si="16"/>
        <v>232.0499017975537</v>
      </c>
      <c r="G503" s="7"/>
      <c r="H503" s="7"/>
      <c r="I503" s="7"/>
      <c r="J503" s="7">
        <v>0</v>
      </c>
      <c r="K503" s="7"/>
      <c r="L503" s="7">
        <f t="shared" si="17"/>
        <v>0</v>
      </c>
      <c r="M503" s="7"/>
      <c r="N503" s="7"/>
      <c r="O503" s="7"/>
    </row>
    <row r="504" spans="3:15" x14ac:dyDescent="0.2">
      <c r="C504">
        <v>485</v>
      </c>
      <c r="D504" s="7">
        <v>3033.238210753048</v>
      </c>
      <c r="E504" s="7"/>
      <c r="F504" s="7">
        <f t="shared" si="16"/>
        <v>244.9415630085289</v>
      </c>
      <c r="G504" s="7"/>
      <c r="H504" s="7"/>
      <c r="I504" s="7"/>
      <c r="J504" s="7">
        <v>0</v>
      </c>
      <c r="K504" s="7"/>
      <c r="L504" s="7">
        <f t="shared" si="17"/>
        <v>0</v>
      </c>
      <c r="M504" s="7"/>
      <c r="N504" s="7"/>
      <c r="O504" s="7"/>
    </row>
    <row r="505" spans="3:15" x14ac:dyDescent="0.2">
      <c r="C505">
        <v>486</v>
      </c>
      <c r="D505" s="7">
        <v>3192.8823271084716</v>
      </c>
      <c r="E505" s="7"/>
      <c r="F505" s="7">
        <f t="shared" si="16"/>
        <v>257.83322421950413</v>
      </c>
      <c r="G505" s="7"/>
      <c r="H505" s="7"/>
      <c r="I505" s="7"/>
      <c r="J505" s="7">
        <v>0</v>
      </c>
      <c r="K505" s="7"/>
      <c r="L505" s="7">
        <f t="shared" si="17"/>
        <v>0</v>
      </c>
      <c r="M505" s="7"/>
      <c r="N505" s="7"/>
      <c r="O505" s="7"/>
    </row>
    <row r="506" spans="3:15" x14ac:dyDescent="0.2">
      <c r="C506">
        <v>487</v>
      </c>
      <c r="D506" s="7">
        <v>3352.5264434638952</v>
      </c>
      <c r="E506" s="7"/>
      <c r="F506" s="7">
        <f t="shared" si="16"/>
        <v>270.72488543047933</v>
      </c>
      <c r="G506" s="7"/>
      <c r="H506" s="7"/>
      <c r="I506" s="7"/>
      <c r="J506" s="7">
        <v>0</v>
      </c>
      <c r="K506" s="7"/>
      <c r="L506" s="7">
        <f t="shared" si="17"/>
        <v>0</v>
      </c>
      <c r="M506" s="7"/>
      <c r="N506" s="7"/>
      <c r="O506" s="7"/>
    </row>
    <row r="507" spans="3:15" x14ac:dyDescent="0.2">
      <c r="C507">
        <v>488</v>
      </c>
      <c r="D507" s="7">
        <v>3405.6189401504457</v>
      </c>
      <c r="E507" s="7"/>
      <c r="F507" s="7">
        <f t="shared" si="16"/>
        <v>275.0122371710471</v>
      </c>
      <c r="G507" s="7"/>
      <c r="H507" s="7"/>
      <c r="I507" s="7"/>
      <c r="J507" s="7">
        <v>106.55161966887317</v>
      </c>
      <c r="K507" s="7"/>
      <c r="L507" s="7">
        <f t="shared" si="17"/>
        <v>6.9015898055186478</v>
      </c>
      <c r="M507" s="7"/>
      <c r="N507" s="7"/>
      <c r="O507" s="7"/>
    </row>
    <row r="508" spans="3:15" x14ac:dyDescent="0.2">
      <c r="C508">
        <v>489</v>
      </c>
      <c r="D508" s="7">
        <v>3405.9412668986752</v>
      </c>
      <c r="E508" s="7"/>
      <c r="F508" s="7">
        <f t="shared" si="16"/>
        <v>275.03826586118788</v>
      </c>
      <c r="G508" s="7"/>
      <c r="H508" s="7"/>
      <c r="I508" s="7"/>
      <c r="J508" s="7">
        <v>265.87340927606783</v>
      </c>
      <c r="K508" s="7"/>
      <c r="L508" s="7">
        <f t="shared" si="17"/>
        <v>17.221223072165451</v>
      </c>
      <c r="M508" s="7"/>
      <c r="N508" s="7"/>
      <c r="O508" s="7"/>
    </row>
    <row r="509" spans="3:15" x14ac:dyDescent="0.2">
      <c r="C509">
        <v>490</v>
      </c>
      <c r="D509" s="7">
        <v>3403.9745626930944</v>
      </c>
      <c r="E509" s="7"/>
      <c r="F509" s="7">
        <f t="shared" si="16"/>
        <v>274.87944958346111</v>
      </c>
      <c r="G509" s="7"/>
      <c r="H509" s="7"/>
      <c r="I509" s="7"/>
      <c r="J509" s="7">
        <v>427.48422983707223</v>
      </c>
      <c r="K509" s="7"/>
      <c r="L509" s="7">
        <f t="shared" si="17"/>
        <v>27.689122059637757</v>
      </c>
      <c r="M509" s="7"/>
      <c r="N509" s="7"/>
      <c r="O509" s="7"/>
    </row>
    <row r="510" spans="3:15" x14ac:dyDescent="0.2">
      <c r="C510">
        <v>491</v>
      </c>
      <c r="D510" s="7">
        <v>3402.0238940090135</v>
      </c>
      <c r="E510" s="7"/>
      <c r="F510" s="7">
        <f t="shared" si="16"/>
        <v>274.72192821415462</v>
      </c>
      <c r="G510" s="7"/>
      <c r="H510" s="7"/>
      <c r="I510" s="7"/>
      <c r="J510" s="7">
        <v>589.07901487657637</v>
      </c>
      <c r="K510" s="7"/>
      <c r="L510" s="7">
        <f t="shared" si="17"/>
        <v>38.155982390052976</v>
      </c>
      <c r="M510" s="7"/>
      <c r="N510" s="7"/>
      <c r="O510" s="7"/>
    </row>
    <row r="511" spans="3:15" x14ac:dyDescent="0.2">
      <c r="C511">
        <v>492</v>
      </c>
      <c r="D511" s="7">
        <v>3400.0891996548894</v>
      </c>
      <c r="E511" s="7"/>
      <c r="F511" s="7">
        <f t="shared" si="16"/>
        <v>274.56569681189848</v>
      </c>
      <c r="G511" s="7"/>
      <c r="H511" s="7"/>
      <c r="I511" s="7"/>
      <c r="J511" s="7">
        <v>750.65782558612455</v>
      </c>
      <c r="K511" s="7"/>
      <c r="L511" s="7">
        <f t="shared" si="17"/>
        <v>48.621808026926082</v>
      </c>
      <c r="M511" s="7"/>
      <c r="N511" s="7"/>
      <c r="O511" s="7"/>
    </row>
    <row r="512" spans="3:15" x14ac:dyDescent="0.2">
      <c r="C512">
        <v>493</v>
      </c>
      <c r="D512" s="7">
        <v>3398.170418618764</v>
      </c>
      <c r="E512" s="7"/>
      <c r="F512" s="7">
        <f t="shared" si="16"/>
        <v>274.41075044982455</v>
      </c>
      <c r="G512" s="7"/>
      <c r="H512" s="7"/>
      <c r="I512" s="7"/>
      <c r="J512" s="7">
        <v>912.22072297767363</v>
      </c>
      <c r="K512" s="7"/>
      <c r="L512" s="7">
        <f t="shared" si="17"/>
        <v>59.086602922139733</v>
      </c>
      <c r="M512" s="7"/>
      <c r="N512" s="7"/>
      <c r="O512" s="7"/>
    </row>
    <row r="513" spans="3:15" x14ac:dyDescent="0.2">
      <c r="C513">
        <v>494</v>
      </c>
      <c r="D513" s="7">
        <v>3396.2674900678289</v>
      </c>
      <c r="E513" s="7"/>
      <c r="F513" s="7">
        <f t="shared" si="16"/>
        <v>274.25708421553173</v>
      </c>
      <c r="G513" s="7"/>
      <c r="H513" s="7"/>
      <c r="I513" s="7"/>
      <c r="J513" s="7">
        <v>1073.7677678840332</v>
      </c>
      <c r="K513" s="7"/>
      <c r="L513" s="7">
        <f t="shared" si="17"/>
        <v>69.550371015972829</v>
      </c>
      <c r="M513" s="7"/>
      <c r="N513" s="7"/>
      <c r="O513" s="7"/>
    </row>
    <row r="514" spans="3:15" x14ac:dyDescent="0.2">
      <c r="C514">
        <v>495</v>
      </c>
      <c r="D514" s="7">
        <v>3394.3803533479945</v>
      </c>
      <c r="E514" s="7"/>
      <c r="F514" s="7">
        <f t="shared" si="16"/>
        <v>274.10469321105063</v>
      </c>
      <c r="G514" s="7"/>
      <c r="H514" s="7"/>
      <c r="I514" s="7"/>
      <c r="J514" s="7">
        <v>916.01078824844308</v>
      </c>
      <c r="K514" s="7"/>
      <c r="L514" s="7">
        <f t="shared" si="17"/>
        <v>59.332094036364758</v>
      </c>
      <c r="M514" s="7"/>
      <c r="N514" s="7"/>
      <c r="O514" s="7"/>
    </row>
    <row r="515" spans="3:15" x14ac:dyDescent="0.2">
      <c r="C515">
        <v>496</v>
      </c>
      <c r="D515" s="7">
        <v>3394.7812467775102</v>
      </c>
      <c r="E515" s="7"/>
      <c r="F515" s="7">
        <f t="shared" si="16"/>
        <v>274.13706635697679</v>
      </c>
      <c r="G515" s="7"/>
      <c r="H515" s="7"/>
      <c r="I515" s="7"/>
      <c r="J515" s="7">
        <v>1075.2540111743501</v>
      </c>
      <c r="K515" s="7"/>
      <c r="L515" s="7">
        <f t="shared" si="17"/>
        <v>69.646638361066678</v>
      </c>
      <c r="M515" s="7"/>
      <c r="N515" s="7"/>
      <c r="O515" s="7"/>
    </row>
    <row r="516" spans="3:15" x14ac:dyDescent="0.2">
      <c r="C516">
        <v>497</v>
      </c>
      <c r="D516" s="7">
        <v>3399.2686557124634</v>
      </c>
      <c r="E516" s="7"/>
      <c r="F516" s="7">
        <f t="shared" si="16"/>
        <v>274.49943583870402</v>
      </c>
      <c r="G516" s="7"/>
      <c r="H516" s="7"/>
      <c r="I516" s="7"/>
      <c r="J516" s="7">
        <v>1709.3430676610915</v>
      </c>
      <c r="K516" s="7"/>
      <c r="L516" s="7">
        <f t="shared" si="17"/>
        <v>110.71802311936194</v>
      </c>
      <c r="M516" s="7"/>
      <c r="N516" s="7"/>
      <c r="O516" s="7"/>
    </row>
    <row r="517" spans="3:15" x14ac:dyDescent="0.2">
      <c r="C517">
        <v>498</v>
      </c>
      <c r="D517" s="7">
        <v>3403.7379318243411</v>
      </c>
      <c r="E517" s="7"/>
      <c r="F517" s="7">
        <f t="shared" si="16"/>
        <v>274.86034104966939</v>
      </c>
      <c r="G517" s="7"/>
      <c r="H517" s="7"/>
      <c r="I517" s="7"/>
      <c r="J517" s="7">
        <v>1545.2296751937893</v>
      </c>
      <c r="K517" s="7"/>
      <c r="L517" s="7">
        <f t="shared" si="17"/>
        <v>100.0880268797807</v>
      </c>
      <c r="M517" s="7"/>
      <c r="N517" s="7"/>
      <c r="O517" s="7"/>
    </row>
    <row r="518" spans="3:15" x14ac:dyDescent="0.2">
      <c r="C518">
        <v>499</v>
      </c>
      <c r="D518" s="7">
        <v>3408.1890841075779</v>
      </c>
      <c r="E518" s="7"/>
      <c r="F518" s="7">
        <f t="shared" si="16"/>
        <v>275.21978271619594</v>
      </c>
      <c r="G518" s="7"/>
      <c r="H518" s="7"/>
      <c r="I518" s="7"/>
      <c r="J518" s="7">
        <v>1860.0667556213989</v>
      </c>
      <c r="K518" s="7"/>
      <c r="L518" s="7">
        <f t="shared" si="17"/>
        <v>120.4807378627861</v>
      </c>
      <c r="M518" s="7"/>
      <c r="N518" s="7"/>
      <c r="O518" s="7"/>
    </row>
    <row r="519" spans="3:15" x14ac:dyDescent="0.2">
      <c r="C519">
        <v>500</v>
      </c>
      <c r="D519" s="7">
        <v>3412.6218963721976</v>
      </c>
      <c r="E519" s="7"/>
      <c r="F519" s="7">
        <f t="shared" si="16"/>
        <v>275.57774338040298</v>
      </c>
      <c r="G519" s="7"/>
      <c r="H519" s="7"/>
      <c r="I519" s="7"/>
      <c r="J519" s="7">
        <v>1504.4168873748486</v>
      </c>
      <c r="K519" s="7"/>
      <c r="L519" s="7">
        <f t="shared" si="17"/>
        <v>97.444490148745132</v>
      </c>
      <c r="M519" s="7"/>
      <c r="N519" s="7"/>
      <c r="O519" s="7"/>
    </row>
    <row r="520" spans="3:15" x14ac:dyDescent="0.2">
      <c r="C520">
        <v>501</v>
      </c>
      <c r="D520" s="7">
        <v>3417.0372666122021</v>
      </c>
      <c r="E520" s="7"/>
      <c r="F520" s="7">
        <f t="shared" si="16"/>
        <v>275.93429555754949</v>
      </c>
      <c r="G520" s="7"/>
      <c r="H520" s="7"/>
      <c r="I520" s="7"/>
      <c r="J520" s="7">
        <v>1148.7844611529126</v>
      </c>
      <c r="K520" s="7"/>
      <c r="L520" s="7">
        <f t="shared" si="17"/>
        <v>74.409372194154486</v>
      </c>
      <c r="M520" s="7"/>
      <c r="N520" s="7"/>
      <c r="O520" s="7"/>
    </row>
    <row r="521" spans="3:15" x14ac:dyDescent="0.2">
      <c r="C521">
        <v>502</v>
      </c>
      <c r="D521" s="7">
        <v>3421.4364257577445</v>
      </c>
      <c r="E521" s="7"/>
      <c r="F521" s="7">
        <f t="shared" si="16"/>
        <v>276.28953864832044</v>
      </c>
      <c r="G521" s="7"/>
      <c r="H521" s="7"/>
      <c r="I521" s="7"/>
      <c r="J521" s="7">
        <v>793.16824602543784</v>
      </c>
      <c r="K521" s="7"/>
      <c r="L521" s="7">
        <f t="shared" si="17"/>
        <v>51.375304268879347</v>
      </c>
      <c r="M521" s="7"/>
      <c r="N521" s="7"/>
      <c r="O521" s="7"/>
    </row>
    <row r="522" spans="3:15" x14ac:dyDescent="0.2">
      <c r="C522">
        <v>503</v>
      </c>
      <c r="D522" s="7">
        <v>3421.7389064788208</v>
      </c>
      <c r="E522" s="7"/>
      <c r="F522" s="7">
        <f t="shared" si="16"/>
        <v>276.31396472219018</v>
      </c>
      <c r="G522" s="7"/>
      <c r="H522" s="7"/>
      <c r="I522" s="7"/>
      <c r="J522" s="7">
        <v>441.64870932243002</v>
      </c>
      <c r="K522" s="7"/>
      <c r="L522" s="7">
        <f t="shared" si="17"/>
        <v>28.606587486446102</v>
      </c>
      <c r="M522" s="7"/>
      <c r="N522" s="7"/>
      <c r="O522" s="7"/>
    </row>
    <row r="523" spans="3:15" x14ac:dyDescent="0.2">
      <c r="C523">
        <v>504</v>
      </c>
      <c r="D523" s="7">
        <v>3419.797916153776</v>
      </c>
      <c r="E523" s="7"/>
      <c r="F523" s="7">
        <f t="shared" si="16"/>
        <v>276.15722490455386</v>
      </c>
      <c r="G523" s="7"/>
      <c r="H523" s="7"/>
      <c r="I523" s="7"/>
      <c r="J523" s="7">
        <v>92.37264366554291</v>
      </c>
      <c r="K523" s="7"/>
      <c r="L523" s="7">
        <f t="shared" si="17"/>
        <v>5.9831854063984276</v>
      </c>
      <c r="M523" s="7"/>
      <c r="N523" s="7"/>
      <c r="O523" s="7"/>
    </row>
    <row r="524" spans="3:15" x14ac:dyDescent="0.2">
      <c r="C524">
        <v>505</v>
      </c>
      <c r="D524" s="7">
        <v>2713.9499780422011</v>
      </c>
      <c r="E524" s="7"/>
      <c r="F524" s="7">
        <f t="shared" si="16"/>
        <v>219.15824058657853</v>
      </c>
      <c r="G524" s="7"/>
      <c r="H524" s="7"/>
      <c r="I524" s="7"/>
      <c r="J524" s="7">
        <v>0</v>
      </c>
      <c r="K524" s="7"/>
      <c r="L524" s="7">
        <f t="shared" si="17"/>
        <v>0</v>
      </c>
      <c r="M524" s="7"/>
      <c r="N524" s="7"/>
      <c r="O524" s="7"/>
    </row>
    <row r="525" spans="3:15" x14ac:dyDescent="0.2">
      <c r="C525">
        <v>506</v>
      </c>
      <c r="D525" s="7">
        <v>2554.3058616867775</v>
      </c>
      <c r="E525" s="7"/>
      <c r="F525" s="7">
        <f t="shared" si="16"/>
        <v>206.2665793756033</v>
      </c>
      <c r="G525" s="7"/>
      <c r="H525" s="7"/>
      <c r="I525" s="7"/>
      <c r="J525" s="7">
        <v>0</v>
      </c>
      <c r="K525" s="7"/>
      <c r="L525" s="7">
        <f t="shared" si="17"/>
        <v>0</v>
      </c>
      <c r="M525" s="7"/>
      <c r="N525" s="7"/>
      <c r="O525" s="7"/>
    </row>
    <row r="526" spans="3:15" x14ac:dyDescent="0.2">
      <c r="C526">
        <v>507</v>
      </c>
      <c r="D526" s="7">
        <v>2713.9499780422011</v>
      </c>
      <c r="E526" s="7"/>
      <c r="F526" s="7">
        <f t="shared" si="16"/>
        <v>219.15824058657853</v>
      </c>
      <c r="G526" s="7"/>
      <c r="H526" s="7"/>
      <c r="I526" s="7"/>
      <c r="J526" s="7">
        <v>0</v>
      </c>
      <c r="K526" s="7"/>
      <c r="L526" s="7">
        <f t="shared" si="17"/>
        <v>0</v>
      </c>
      <c r="M526" s="7"/>
      <c r="N526" s="7"/>
      <c r="O526" s="7"/>
    </row>
    <row r="527" spans="3:15" x14ac:dyDescent="0.2">
      <c r="C527">
        <v>508</v>
      </c>
      <c r="D527" s="7">
        <v>2873.5940943976243</v>
      </c>
      <c r="E527" s="7"/>
      <c r="F527" s="7">
        <f t="shared" si="16"/>
        <v>232.0499017975537</v>
      </c>
      <c r="G527" s="7"/>
      <c r="H527" s="7"/>
      <c r="I527" s="7"/>
      <c r="J527" s="7">
        <v>0</v>
      </c>
      <c r="K527" s="7"/>
      <c r="L527" s="7">
        <f t="shared" si="17"/>
        <v>0</v>
      </c>
      <c r="M527" s="7"/>
      <c r="N527" s="7"/>
      <c r="O527" s="7"/>
    </row>
    <row r="528" spans="3:15" x14ac:dyDescent="0.2">
      <c r="C528">
        <v>509</v>
      </c>
      <c r="D528" s="7">
        <v>3272.704385286183</v>
      </c>
      <c r="E528" s="7"/>
      <c r="F528" s="7">
        <f t="shared" si="16"/>
        <v>264.2790548249917</v>
      </c>
      <c r="G528" s="7"/>
      <c r="H528" s="7"/>
      <c r="I528" s="7"/>
      <c r="J528" s="7">
        <v>0</v>
      </c>
      <c r="K528" s="7"/>
      <c r="L528" s="7">
        <f t="shared" si="17"/>
        <v>0</v>
      </c>
      <c r="M528" s="7"/>
      <c r="N528" s="7"/>
      <c r="O528" s="7"/>
    </row>
    <row r="529" spans="3:15" x14ac:dyDescent="0.2">
      <c r="C529">
        <v>510</v>
      </c>
      <c r="D529" s="7">
        <v>3414.8839992059793</v>
      </c>
      <c r="E529" s="7"/>
      <c r="F529" s="7">
        <f t="shared" si="16"/>
        <v>275.76041383530765</v>
      </c>
      <c r="G529" s="7"/>
      <c r="H529" s="7"/>
      <c r="I529" s="7"/>
      <c r="J529" s="7">
        <v>97.286560613339134</v>
      </c>
      <c r="K529" s="7"/>
      <c r="L529" s="7">
        <f t="shared" si="17"/>
        <v>6.3014709399029263</v>
      </c>
      <c r="M529" s="7"/>
      <c r="N529" s="7"/>
      <c r="O529" s="7"/>
    </row>
    <row r="530" spans="3:15" x14ac:dyDescent="0.2">
      <c r="C530">
        <v>511</v>
      </c>
      <c r="D530" s="7">
        <v>3415.2646670784611</v>
      </c>
      <c r="E530" s="7"/>
      <c r="F530" s="7">
        <f t="shared" si="16"/>
        <v>275.79115371697674</v>
      </c>
      <c r="G530" s="7"/>
      <c r="H530" s="7"/>
      <c r="I530" s="7"/>
      <c r="J530" s="7">
        <v>336.37206727399234</v>
      </c>
      <c r="K530" s="7"/>
      <c r="L530" s="7">
        <f t="shared" si="17"/>
        <v>21.787580869947082</v>
      </c>
      <c r="M530" s="7"/>
      <c r="N530" s="7"/>
      <c r="O530" s="7"/>
    </row>
    <row r="531" spans="3:15" x14ac:dyDescent="0.2">
      <c r="C531">
        <v>512</v>
      </c>
      <c r="D531" s="7">
        <v>3419.7217090025724</v>
      </c>
      <c r="E531" s="7"/>
      <c r="F531" s="7">
        <f t="shared" si="16"/>
        <v>276.15107098671712</v>
      </c>
      <c r="G531" s="7"/>
      <c r="H531" s="7"/>
      <c r="I531" s="7"/>
      <c r="J531" s="7">
        <v>571.3811998830156</v>
      </c>
      <c r="K531" s="7"/>
      <c r="L531" s="7">
        <f t="shared" si="17"/>
        <v>37.009654817378873</v>
      </c>
      <c r="M531" s="7"/>
      <c r="N531" s="7"/>
      <c r="O531" s="7"/>
    </row>
    <row r="532" spans="3:15" x14ac:dyDescent="0.2">
      <c r="C532">
        <v>513</v>
      </c>
      <c r="D532" s="7">
        <v>3420.0886241764583</v>
      </c>
      <c r="E532" s="7"/>
      <c r="F532" s="7">
        <f t="shared" si="16"/>
        <v>276.18070030361827</v>
      </c>
      <c r="G532" s="7"/>
      <c r="H532" s="7"/>
      <c r="I532" s="7"/>
      <c r="J532" s="7">
        <v>810.48045924226517</v>
      </c>
      <c r="K532" s="7"/>
      <c r="L532" s="7">
        <f t="shared" si="17"/>
        <v>52.496655540868737</v>
      </c>
      <c r="M532" s="7"/>
      <c r="N532" s="7"/>
      <c r="O532" s="7"/>
    </row>
    <row r="533" spans="3:15" x14ac:dyDescent="0.2">
      <c r="C533">
        <v>514</v>
      </c>
      <c r="D533" s="7">
        <v>3418.2245015426515</v>
      </c>
      <c r="E533" s="7"/>
      <c r="F533" s="7">
        <f t="shared" ref="F533:F596" si="18">D533*(1-($C$2/($D$8-$D$6)*LN($D$8/$D$6)))</f>
        <v>276.03016774407661</v>
      </c>
      <c r="G533" s="7"/>
      <c r="H533" s="7"/>
      <c r="I533" s="7"/>
      <c r="J533" s="7">
        <v>1051.8107564092079</v>
      </c>
      <c r="K533" s="7"/>
      <c r="L533" s="7">
        <f t="shared" ref="L533:L596" si="19">J533*(1-$C$2/($D$10-$D$9)*LN($D$10/$D$9))</f>
        <v>68.128165637722915</v>
      </c>
      <c r="M533" s="7"/>
      <c r="N533" s="7"/>
      <c r="O533" s="7"/>
    </row>
    <row r="534" spans="3:15" x14ac:dyDescent="0.2">
      <c r="C534">
        <v>515</v>
      </c>
      <c r="D534" s="7">
        <v>3416.3758540406802</v>
      </c>
      <c r="E534" s="7"/>
      <c r="F534" s="7">
        <f t="shared" si="18"/>
        <v>275.88088484008995</v>
      </c>
      <c r="G534" s="7"/>
      <c r="H534" s="7"/>
      <c r="I534" s="7"/>
      <c r="J534" s="7">
        <v>1293.1255784443142</v>
      </c>
      <c r="K534" s="7"/>
      <c r="L534" s="7">
        <f t="shared" si="19"/>
        <v>83.758673375228156</v>
      </c>
      <c r="M534" s="7"/>
      <c r="N534" s="7"/>
      <c r="O534" s="7"/>
    </row>
    <row r="535" spans="3:15" x14ac:dyDescent="0.2">
      <c r="C535">
        <v>516</v>
      </c>
      <c r="D535" s="7">
        <v>3414.5426224034845</v>
      </c>
      <c r="E535" s="7"/>
      <c r="F535" s="7">
        <f t="shared" si="18"/>
        <v>275.73284680569503</v>
      </c>
      <c r="G535" s="7"/>
      <c r="H535" s="7"/>
      <c r="I535" s="7"/>
      <c r="J535" s="7">
        <v>1534.4249846146449</v>
      </c>
      <c r="K535" s="7"/>
      <c r="L535" s="7">
        <f t="shared" si="19"/>
        <v>99.388182592246224</v>
      </c>
      <c r="M535" s="7"/>
      <c r="N535" s="7"/>
      <c r="O535" s="7"/>
    </row>
    <row r="536" spans="3:15" x14ac:dyDescent="0.2">
      <c r="C536">
        <v>517</v>
      </c>
      <c r="D536" s="7">
        <v>3412.7247475383006</v>
      </c>
      <c r="E536" s="7"/>
      <c r="F536" s="7">
        <f t="shared" si="18"/>
        <v>275.5860488690036</v>
      </c>
      <c r="G536" s="7"/>
      <c r="H536" s="7"/>
      <c r="I536" s="7"/>
      <c r="J536" s="7">
        <v>1775.7090340129657</v>
      </c>
      <c r="K536" s="7"/>
      <c r="L536" s="7">
        <f t="shared" si="19"/>
        <v>115.01669711634946</v>
      </c>
      <c r="M536" s="7"/>
      <c r="N536" s="7"/>
      <c r="O536" s="7"/>
    </row>
    <row r="537" spans="3:15" x14ac:dyDescent="0.2">
      <c r="C537">
        <v>518</v>
      </c>
      <c r="D537" s="7">
        <v>3410.9221705262339</v>
      </c>
      <c r="E537" s="7"/>
      <c r="F537" s="7">
        <f t="shared" si="18"/>
        <v>275.44048627216779</v>
      </c>
      <c r="G537" s="7"/>
      <c r="H537" s="7"/>
      <c r="I537" s="7"/>
      <c r="J537" s="7">
        <v>2016.9777855581683</v>
      </c>
      <c r="K537" s="7"/>
      <c r="L537" s="7">
        <f t="shared" si="19"/>
        <v>130.64422076384795</v>
      </c>
      <c r="M537" s="7"/>
      <c r="N537" s="7"/>
      <c r="O537" s="7"/>
    </row>
    <row r="538" spans="3:15" x14ac:dyDescent="0.2">
      <c r="C538">
        <v>519</v>
      </c>
      <c r="D538" s="7">
        <v>3409.1348326218376</v>
      </c>
      <c r="E538" s="7"/>
      <c r="F538" s="7">
        <f t="shared" si="18"/>
        <v>275.29615427134598</v>
      </c>
      <c r="G538" s="7"/>
      <c r="H538" s="7"/>
      <c r="I538" s="7"/>
      <c r="J538" s="7">
        <v>1859.1210071071391</v>
      </c>
      <c r="K538" s="7"/>
      <c r="L538" s="7">
        <f t="shared" si="19"/>
        <v>120.41947958886325</v>
      </c>
      <c r="M538" s="7"/>
      <c r="N538" s="7"/>
      <c r="O538" s="7"/>
    </row>
    <row r="539" spans="3:15" x14ac:dyDescent="0.2">
      <c r="C539">
        <v>520</v>
      </c>
      <c r="D539" s="7">
        <v>3409.5766389956502</v>
      </c>
      <c r="E539" s="7"/>
      <c r="F539" s="7">
        <f t="shared" si="18"/>
        <v>275.33183123973083</v>
      </c>
      <c r="G539" s="7"/>
      <c r="H539" s="7"/>
      <c r="I539" s="7"/>
      <c r="J539" s="7">
        <v>2071.5380225405593</v>
      </c>
      <c r="K539" s="7"/>
      <c r="L539" s="7">
        <f t="shared" si="19"/>
        <v>134.17821092293283</v>
      </c>
      <c r="M539" s="7"/>
      <c r="N539" s="7"/>
      <c r="O539" s="7"/>
    </row>
    <row r="540" spans="3:15" x14ac:dyDescent="0.2">
      <c r="C540">
        <v>521</v>
      </c>
      <c r="D540" s="7">
        <v>3414.0794893242282</v>
      </c>
      <c r="E540" s="7"/>
      <c r="F540" s="7">
        <f t="shared" si="18"/>
        <v>275.69544765256825</v>
      </c>
      <c r="G540" s="7"/>
      <c r="H540" s="7"/>
      <c r="I540" s="7"/>
      <c r="J540" s="7">
        <v>2812.0410485372913</v>
      </c>
      <c r="K540" s="7"/>
      <c r="L540" s="7">
        <f t="shared" si="19"/>
        <v>182.14226957410062</v>
      </c>
      <c r="M540" s="7"/>
      <c r="N540" s="7"/>
      <c r="O540" s="7"/>
    </row>
    <row r="541" spans="3:15" x14ac:dyDescent="0.2">
      <c r="C541">
        <v>522</v>
      </c>
      <c r="D541" s="7">
        <v>3418.5632288740958</v>
      </c>
      <c r="E541" s="7"/>
      <c r="F541" s="7">
        <f t="shared" si="18"/>
        <v>276.05752082228315</v>
      </c>
      <c r="G541" s="7"/>
      <c r="H541" s="7"/>
      <c r="I541" s="7"/>
      <c r="J541" s="7">
        <v>2647.9131926320001</v>
      </c>
      <c r="K541" s="7"/>
      <c r="L541" s="7">
        <f t="shared" si="19"/>
        <v>171.51133650487296</v>
      </c>
      <c r="M541" s="7"/>
      <c r="N541" s="7"/>
      <c r="O541" s="7"/>
    </row>
    <row r="542" spans="3:15" x14ac:dyDescent="0.2">
      <c r="C542">
        <v>523</v>
      </c>
      <c r="D542" s="7">
        <v>3423.0278263934624</v>
      </c>
      <c r="E542" s="7"/>
      <c r="F542" s="7">
        <f t="shared" si="18"/>
        <v>276.41804822521539</v>
      </c>
      <c r="G542" s="7"/>
      <c r="H542" s="7"/>
      <c r="I542" s="7"/>
      <c r="J542" s="7">
        <v>2962.7368278234808</v>
      </c>
      <c r="K542" s="7"/>
      <c r="L542" s="7">
        <f t="shared" si="19"/>
        <v>191.90317660947326</v>
      </c>
      <c r="M542" s="7"/>
      <c r="N542" s="7"/>
      <c r="O542" s="7"/>
    </row>
    <row r="543" spans="3:15" x14ac:dyDescent="0.2">
      <c r="C543">
        <v>524</v>
      </c>
      <c r="D543" s="7">
        <v>3427.4730632742112</v>
      </c>
      <c r="E543" s="7"/>
      <c r="F543" s="7">
        <f t="shared" si="18"/>
        <v>276.77701220821342</v>
      </c>
      <c r="G543" s="7"/>
      <c r="H543" s="7"/>
      <c r="I543" s="7"/>
      <c r="J543" s="7">
        <v>2639.0033582318847</v>
      </c>
      <c r="K543" s="7"/>
      <c r="L543" s="7">
        <f t="shared" si="19"/>
        <v>170.93422634497307</v>
      </c>
      <c r="M543" s="7"/>
      <c r="N543" s="7"/>
      <c r="O543" s="7"/>
    </row>
    <row r="544" spans="3:15" x14ac:dyDescent="0.2">
      <c r="C544">
        <v>525</v>
      </c>
      <c r="D544" s="7">
        <v>3431.8993672569791</v>
      </c>
      <c r="E544" s="7"/>
      <c r="F544" s="7">
        <f t="shared" si="18"/>
        <v>277.13444731240224</v>
      </c>
      <c r="G544" s="7"/>
      <c r="H544" s="7"/>
      <c r="I544" s="7"/>
      <c r="J544" s="7">
        <v>3113.5094033153869</v>
      </c>
      <c r="K544" s="7"/>
      <c r="L544" s="7">
        <f t="shared" si="19"/>
        <v>201.66905790907691</v>
      </c>
      <c r="M544" s="7"/>
      <c r="N544" s="7"/>
      <c r="O544" s="7"/>
    </row>
    <row r="545" spans="3:15" x14ac:dyDescent="0.2">
      <c r="C545">
        <v>526</v>
      </c>
      <c r="D545" s="7">
        <v>3436.3065200413512</v>
      </c>
      <c r="E545" s="7"/>
      <c r="F545" s="7">
        <f t="shared" si="18"/>
        <v>277.49033590947801</v>
      </c>
      <c r="G545" s="7"/>
      <c r="H545" s="7"/>
      <c r="I545" s="7"/>
      <c r="J545" s="7">
        <v>2310.8816687538974</v>
      </c>
      <c r="K545" s="7"/>
      <c r="L545" s="7">
        <f t="shared" si="19"/>
        <v>149.6810411366362</v>
      </c>
      <c r="M545" s="7"/>
      <c r="N545" s="7"/>
      <c r="O545" s="7"/>
    </row>
    <row r="546" spans="3:15" x14ac:dyDescent="0.2">
      <c r="C546">
        <v>527</v>
      </c>
      <c r="D546" s="7">
        <v>3436.6418083804492</v>
      </c>
      <c r="E546" s="7"/>
      <c r="F546" s="7">
        <f t="shared" si="18"/>
        <v>277.51741128046143</v>
      </c>
      <c r="G546" s="7"/>
      <c r="H546" s="7"/>
      <c r="I546" s="7"/>
      <c r="J546" s="7">
        <v>1512.3257986376802</v>
      </c>
      <c r="K546" s="7"/>
      <c r="L546" s="7">
        <f t="shared" si="19"/>
        <v>97.956768249387252</v>
      </c>
      <c r="M546" s="7"/>
      <c r="N546" s="7"/>
      <c r="O546" s="7"/>
    </row>
    <row r="547" spans="3:15" x14ac:dyDescent="0.2">
      <c r="C547">
        <v>528</v>
      </c>
      <c r="D547" s="7">
        <v>3434.7986349525877</v>
      </c>
      <c r="E547" s="7"/>
      <c r="F547" s="7">
        <f t="shared" si="18"/>
        <v>277.36857042163416</v>
      </c>
      <c r="G547" s="7"/>
      <c r="H547" s="7"/>
      <c r="I547" s="7"/>
      <c r="J547" s="7">
        <v>715.94839028842443</v>
      </c>
      <c r="K547" s="7"/>
      <c r="L547" s="7">
        <f t="shared" si="19"/>
        <v>46.373599266230009</v>
      </c>
      <c r="M547" s="7"/>
      <c r="N547" s="7"/>
      <c r="O547" s="7"/>
    </row>
    <row r="548" spans="3:15" x14ac:dyDescent="0.2">
      <c r="C548">
        <v>529</v>
      </c>
      <c r="D548" s="7">
        <v>2713.9499780422011</v>
      </c>
      <c r="E548" s="7"/>
      <c r="F548" s="7">
        <f t="shared" si="18"/>
        <v>219.15824058657853</v>
      </c>
      <c r="G548" s="7"/>
      <c r="H548" s="7"/>
      <c r="I548" s="7"/>
      <c r="J548" s="7">
        <v>0</v>
      </c>
      <c r="K548" s="7"/>
      <c r="L548" s="7">
        <f t="shared" si="19"/>
        <v>0</v>
      </c>
      <c r="M548" s="7"/>
      <c r="N548" s="7"/>
      <c r="O548" s="7"/>
    </row>
    <row r="549" spans="3:15" x14ac:dyDescent="0.2">
      <c r="C549">
        <v>530</v>
      </c>
      <c r="D549" s="7">
        <v>2554.3058616867775</v>
      </c>
      <c r="E549" s="7"/>
      <c r="F549" s="7">
        <f t="shared" si="18"/>
        <v>206.2665793756033</v>
      </c>
      <c r="G549" s="7"/>
      <c r="H549" s="7"/>
      <c r="I549" s="7"/>
      <c r="J549" s="7">
        <v>0</v>
      </c>
      <c r="K549" s="7"/>
      <c r="L549" s="7">
        <f t="shared" si="19"/>
        <v>0</v>
      </c>
      <c r="M549" s="7"/>
      <c r="N549" s="7"/>
      <c r="O549" s="7"/>
    </row>
    <row r="550" spans="3:15" x14ac:dyDescent="0.2">
      <c r="C550">
        <v>531</v>
      </c>
      <c r="D550" s="7">
        <v>2745.8788013132853</v>
      </c>
      <c r="E550" s="7"/>
      <c r="F550" s="7">
        <f t="shared" si="18"/>
        <v>221.73657282877352</v>
      </c>
      <c r="G550" s="7"/>
      <c r="H550" s="7"/>
      <c r="I550" s="7"/>
      <c r="J550" s="7">
        <v>0</v>
      </c>
      <c r="K550" s="7"/>
      <c r="L550" s="7">
        <f t="shared" si="19"/>
        <v>0</v>
      </c>
      <c r="M550" s="7"/>
      <c r="N550" s="7"/>
      <c r="O550" s="7"/>
    </row>
    <row r="551" spans="3:15" x14ac:dyDescent="0.2">
      <c r="C551">
        <v>532</v>
      </c>
      <c r="D551" s="7">
        <v>2873.5940943976243</v>
      </c>
      <c r="E551" s="7"/>
      <c r="F551" s="7">
        <f t="shared" si="18"/>
        <v>232.0499017975537</v>
      </c>
      <c r="G551" s="7"/>
      <c r="H551" s="7"/>
      <c r="I551" s="7"/>
      <c r="J551" s="7">
        <v>0</v>
      </c>
      <c r="K551" s="7"/>
      <c r="L551" s="7">
        <f t="shared" si="19"/>
        <v>0</v>
      </c>
      <c r="M551" s="7"/>
      <c r="N551" s="7"/>
      <c r="O551" s="7"/>
    </row>
    <row r="552" spans="3:15" x14ac:dyDescent="0.2">
      <c r="C552">
        <v>533</v>
      </c>
      <c r="D552" s="7">
        <v>3170.0760247719822</v>
      </c>
      <c r="E552" s="7"/>
      <c r="F552" s="7">
        <f t="shared" si="18"/>
        <v>255.99155833222193</v>
      </c>
      <c r="G552" s="7"/>
      <c r="H552" s="7"/>
      <c r="I552" s="7"/>
      <c r="J552" s="7">
        <v>0</v>
      </c>
      <c r="K552" s="7"/>
      <c r="L552" s="7">
        <f t="shared" si="19"/>
        <v>0</v>
      </c>
      <c r="M552" s="7"/>
      <c r="N552" s="7"/>
      <c r="O552" s="7"/>
    </row>
    <row r="553" spans="3:15" x14ac:dyDescent="0.2">
      <c r="C553">
        <v>534</v>
      </c>
      <c r="D553" s="7">
        <v>3375.3327458003841</v>
      </c>
      <c r="E553" s="7"/>
      <c r="F553" s="7">
        <f t="shared" si="18"/>
        <v>272.56655131776148</v>
      </c>
      <c r="G553" s="7"/>
      <c r="H553" s="7"/>
      <c r="I553" s="7"/>
      <c r="J553" s="7">
        <v>0</v>
      </c>
      <c r="K553" s="7"/>
      <c r="L553" s="7">
        <f t="shared" si="19"/>
        <v>0</v>
      </c>
      <c r="M553" s="7"/>
      <c r="N553" s="7"/>
      <c r="O553" s="7"/>
    </row>
    <row r="554" spans="3:15" x14ac:dyDescent="0.2">
      <c r="C554">
        <v>535</v>
      </c>
      <c r="D554" s="7">
        <v>3431.0453266417794</v>
      </c>
      <c r="E554" s="7"/>
      <c r="F554" s="7">
        <f t="shared" si="18"/>
        <v>277.06548139920159</v>
      </c>
      <c r="G554" s="7"/>
      <c r="H554" s="7"/>
      <c r="I554" s="7"/>
      <c r="J554" s="7">
        <v>149.54414018700663</v>
      </c>
      <c r="K554" s="7"/>
      <c r="L554" s="7">
        <f t="shared" si="19"/>
        <v>9.686312761805917</v>
      </c>
      <c r="M554" s="7"/>
      <c r="N554" s="7"/>
      <c r="O554" s="7"/>
    </row>
    <row r="555" spans="3:15" x14ac:dyDescent="0.2">
      <c r="C555">
        <v>536</v>
      </c>
      <c r="D555" s="7">
        <v>3435.5211625165007</v>
      </c>
      <c r="E555" s="7"/>
      <c r="F555" s="7">
        <f t="shared" si="18"/>
        <v>277.42691632740383</v>
      </c>
      <c r="G555" s="7"/>
      <c r="H555" s="7"/>
      <c r="I555" s="7"/>
      <c r="J555" s="7">
        <v>350.32502534068726</v>
      </c>
      <c r="K555" s="7"/>
      <c r="L555" s="7">
        <f t="shared" si="19"/>
        <v>22.691345575253219</v>
      </c>
      <c r="M555" s="7"/>
      <c r="N555" s="7"/>
      <c r="O555" s="7"/>
    </row>
    <row r="556" spans="3:15" x14ac:dyDescent="0.2">
      <c r="C556">
        <v>537</v>
      </c>
      <c r="D556" s="7">
        <v>3435.930271479132</v>
      </c>
      <c r="E556" s="7"/>
      <c r="F556" s="7">
        <f t="shared" si="18"/>
        <v>277.45995289815272</v>
      </c>
      <c r="G556" s="7"/>
      <c r="H556" s="7"/>
      <c r="I556" s="7"/>
      <c r="J556" s="7">
        <v>555.17263740645694</v>
      </c>
      <c r="K556" s="7"/>
      <c r="L556" s="7">
        <f t="shared" si="19"/>
        <v>35.95978950422861</v>
      </c>
      <c r="M556" s="7"/>
      <c r="N556" s="7"/>
      <c r="O556" s="7"/>
    </row>
    <row r="557" spans="3:15" x14ac:dyDescent="0.2">
      <c r="C557">
        <v>538</v>
      </c>
      <c r="D557" s="7">
        <v>3434.1586920344862</v>
      </c>
      <c r="E557" s="7"/>
      <c r="F557" s="7">
        <f t="shared" si="18"/>
        <v>277.31689343232273</v>
      </c>
      <c r="G557" s="7"/>
      <c r="H557" s="7"/>
      <c r="I557" s="7"/>
      <c r="J557" s="7">
        <v>762.20093787950464</v>
      </c>
      <c r="K557" s="7"/>
      <c r="L557" s="7">
        <f t="shared" si="19"/>
        <v>49.369481561833609</v>
      </c>
      <c r="M557" s="7"/>
      <c r="N557" s="7"/>
      <c r="O557" s="7"/>
    </row>
    <row r="558" spans="3:15" x14ac:dyDescent="0.2">
      <c r="C558">
        <v>539</v>
      </c>
      <c r="D558" s="7">
        <v>3432.4020627113568</v>
      </c>
      <c r="E558" s="7"/>
      <c r="F558" s="7">
        <f t="shared" si="18"/>
        <v>277.17504122615293</v>
      </c>
      <c r="G558" s="7"/>
      <c r="H558" s="7"/>
      <c r="I558" s="7"/>
      <c r="J558" s="7">
        <v>969.21428823103633</v>
      </c>
      <c r="K558" s="7"/>
      <c r="L558" s="7">
        <f t="shared" si="19"/>
        <v>62.778205266197553</v>
      </c>
      <c r="M558" s="7"/>
      <c r="N558" s="7"/>
      <c r="O558" s="7"/>
    </row>
    <row r="559" spans="3:15" x14ac:dyDescent="0.2">
      <c r="C559">
        <v>540</v>
      </c>
      <c r="D559" s="7">
        <v>3430.6603260681832</v>
      </c>
      <c r="E559" s="7"/>
      <c r="F559" s="7">
        <f t="shared" si="18"/>
        <v>277.03439164109369</v>
      </c>
      <c r="G559" s="7"/>
      <c r="H559" s="7"/>
      <c r="I559" s="7"/>
      <c r="J559" s="7">
        <v>1176.2127459026115</v>
      </c>
      <c r="K559" s="7"/>
      <c r="L559" s="7">
        <f t="shared" si="19"/>
        <v>76.185964337940391</v>
      </c>
      <c r="M559" s="7"/>
      <c r="N559" s="7"/>
      <c r="O559" s="7"/>
    </row>
    <row r="560" spans="3:15" x14ac:dyDescent="0.2">
      <c r="C560">
        <v>541</v>
      </c>
      <c r="D560" s="7">
        <v>3428.9334248326413</v>
      </c>
      <c r="E560" s="7"/>
      <c r="F560" s="7">
        <f t="shared" si="18"/>
        <v>276.89494005226186</v>
      </c>
      <c r="G560" s="7"/>
      <c r="H560" s="7"/>
      <c r="I560" s="7"/>
      <c r="J560" s="7">
        <v>1383.1963681665547</v>
      </c>
      <c r="K560" s="7"/>
      <c r="L560" s="7">
        <f t="shared" si="19"/>
        <v>89.592762486720332</v>
      </c>
      <c r="M560" s="7"/>
      <c r="N560" s="7"/>
      <c r="O560" s="7"/>
    </row>
    <row r="561" spans="3:15" x14ac:dyDescent="0.2">
      <c r="C561">
        <v>542</v>
      </c>
      <c r="D561" s="7">
        <v>3427.221301901227</v>
      </c>
      <c r="E561" s="7"/>
      <c r="F561" s="7">
        <f t="shared" si="18"/>
        <v>276.75668184840674</v>
      </c>
      <c r="G561" s="7"/>
      <c r="H561" s="7"/>
      <c r="I561" s="7"/>
      <c r="J561" s="7">
        <v>1590.1652121263705</v>
      </c>
      <c r="K561" s="7"/>
      <c r="L561" s="7">
        <f t="shared" si="19"/>
        <v>102.99860341126073</v>
      </c>
      <c r="M561" s="7"/>
      <c r="N561" s="7"/>
      <c r="O561" s="7"/>
    </row>
    <row r="562" spans="3:15" x14ac:dyDescent="0.2">
      <c r="C562">
        <v>543</v>
      </c>
      <c r="D562" s="7">
        <v>3425.5239003388392</v>
      </c>
      <c r="E562" s="7"/>
      <c r="F562" s="7">
        <f t="shared" si="18"/>
        <v>276.61961243187676</v>
      </c>
      <c r="G562" s="7"/>
      <c r="H562" s="7"/>
      <c r="I562" s="7"/>
      <c r="J562" s="7">
        <v>1797.1193347171607</v>
      </c>
      <c r="K562" s="7"/>
      <c r="L562" s="7">
        <f t="shared" si="19"/>
        <v>116.40349079937714</v>
      </c>
      <c r="M562" s="7"/>
      <c r="N562" s="7"/>
      <c r="O562" s="7"/>
    </row>
    <row r="563" spans="3:15" x14ac:dyDescent="0.2">
      <c r="C563">
        <v>544</v>
      </c>
      <c r="D563" s="7">
        <v>3426.0218964917585</v>
      </c>
      <c r="E563" s="7"/>
      <c r="F563" s="7">
        <f t="shared" si="18"/>
        <v>276.65982686529509</v>
      </c>
      <c r="G563" s="7"/>
      <c r="H563" s="7"/>
      <c r="I563" s="7"/>
      <c r="J563" s="7">
        <v>2001.8780595926437</v>
      </c>
      <c r="K563" s="7"/>
      <c r="L563" s="7">
        <f t="shared" si="19"/>
        <v>129.666177303658</v>
      </c>
      <c r="M563" s="7"/>
      <c r="N563" s="7"/>
      <c r="O563" s="7"/>
    </row>
    <row r="564" spans="3:15" x14ac:dyDescent="0.2">
      <c r="C564">
        <v>545</v>
      </c>
      <c r="D564" s="7">
        <v>3430.5699657007567</v>
      </c>
      <c r="E564" s="7"/>
      <c r="F564" s="7">
        <f t="shared" si="18"/>
        <v>277.02709481569008</v>
      </c>
      <c r="G564" s="7"/>
      <c r="H564" s="7"/>
      <c r="I564" s="7"/>
      <c r="J564" s="7">
        <v>1837.68587402822</v>
      </c>
      <c r="K564" s="7"/>
      <c r="L564" s="7">
        <f t="shared" si="19"/>
        <v>119.03107745666534</v>
      </c>
      <c r="M564" s="7"/>
      <c r="N564" s="7"/>
      <c r="O564" s="7"/>
    </row>
    <row r="565" spans="3:15" x14ac:dyDescent="0.2">
      <c r="C565">
        <v>546</v>
      </c>
      <c r="D565" s="7">
        <v>3435.1034425364173</v>
      </c>
      <c r="E565" s="7"/>
      <c r="F565" s="7">
        <f t="shared" si="18"/>
        <v>277.39318439548407</v>
      </c>
      <c r="G565" s="7"/>
      <c r="H565" s="7"/>
      <c r="I565" s="7"/>
      <c r="J565" s="7">
        <v>2152.4406299034076</v>
      </c>
      <c r="K565" s="7"/>
      <c r="L565" s="7">
        <f t="shared" si="19"/>
        <v>139.4184560918988</v>
      </c>
      <c r="M565" s="7"/>
      <c r="N565" s="7"/>
      <c r="O565" s="7"/>
    </row>
    <row r="566" spans="3:15" x14ac:dyDescent="0.2">
      <c r="C566">
        <v>547</v>
      </c>
      <c r="D566" s="7">
        <v>3439.621760169267</v>
      </c>
      <c r="E566" s="7"/>
      <c r="F566" s="7">
        <f t="shared" si="18"/>
        <v>277.75804983178108</v>
      </c>
      <c r="G566" s="7"/>
      <c r="H566" s="7"/>
      <c r="I566" s="7"/>
      <c r="J566" s="7">
        <v>2467.2105449814053</v>
      </c>
      <c r="K566" s="7"/>
      <c r="L566" s="7">
        <f t="shared" si="19"/>
        <v>159.80681662304241</v>
      </c>
      <c r="M566" s="7"/>
      <c r="N566" s="7"/>
      <c r="O566" s="7"/>
    </row>
    <row r="567" spans="3:15" x14ac:dyDescent="0.2">
      <c r="C567">
        <v>548</v>
      </c>
      <c r="D567" s="7">
        <v>3444.1241947855756</v>
      </c>
      <c r="E567" s="7"/>
      <c r="F567" s="7">
        <f t="shared" si="18"/>
        <v>278.12163267481424</v>
      </c>
      <c r="G567" s="7"/>
      <c r="H567" s="7"/>
      <c r="I567" s="7"/>
      <c r="J567" s="7">
        <v>2622.3522267205203</v>
      </c>
      <c r="K567" s="7"/>
      <c r="L567" s="7">
        <f t="shared" si="19"/>
        <v>169.85569483276976</v>
      </c>
      <c r="M567" s="7"/>
      <c r="N567" s="7"/>
      <c r="O567" s="7"/>
    </row>
    <row r="568" spans="3:15" x14ac:dyDescent="0.2">
      <c r="C568">
        <v>549</v>
      </c>
      <c r="D568" s="7">
        <v>3448.6101881738632</v>
      </c>
      <c r="E568" s="7"/>
      <c r="F568" s="7">
        <f t="shared" si="18"/>
        <v>278.48388784761198</v>
      </c>
      <c r="G568" s="7"/>
      <c r="H568" s="7"/>
      <c r="I568" s="7"/>
      <c r="J568" s="7">
        <v>3096.7985823985027</v>
      </c>
      <c r="K568" s="7"/>
      <c r="L568" s="7">
        <f t="shared" si="19"/>
        <v>200.58666017884786</v>
      </c>
      <c r="M568" s="7"/>
      <c r="N568" s="7"/>
      <c r="O568" s="7"/>
    </row>
    <row r="569" spans="3:15" x14ac:dyDescent="0.2">
      <c r="C569">
        <v>550</v>
      </c>
      <c r="D569" s="7">
        <v>3453.0792673168553</v>
      </c>
      <c r="E569" s="7"/>
      <c r="F569" s="7">
        <f t="shared" si="18"/>
        <v>278.84477715284777</v>
      </c>
      <c r="G569" s="7"/>
      <c r="H569" s="7"/>
      <c r="I569" s="7"/>
      <c r="J569" s="7">
        <v>2294.1089214783933</v>
      </c>
      <c r="K569" s="7"/>
      <c r="L569" s="7">
        <f t="shared" si="19"/>
        <v>148.59463229586117</v>
      </c>
      <c r="M569" s="7"/>
      <c r="N569" s="7"/>
      <c r="O569" s="7"/>
    </row>
    <row r="570" spans="3:15" x14ac:dyDescent="0.2">
      <c r="C570">
        <v>551</v>
      </c>
      <c r="D570" s="7">
        <v>3453.4854113568763</v>
      </c>
      <c r="E570" s="7"/>
      <c r="F570" s="7">
        <f t="shared" si="18"/>
        <v>278.87757429868901</v>
      </c>
      <c r="G570" s="7"/>
      <c r="H570" s="7"/>
      <c r="I570" s="7"/>
      <c r="J570" s="7">
        <v>1495.4821956612532</v>
      </c>
      <c r="K570" s="7"/>
      <c r="L570" s="7">
        <f t="shared" si="19"/>
        <v>96.865769924335297</v>
      </c>
      <c r="M570" s="7"/>
      <c r="N570" s="7"/>
      <c r="O570" s="7"/>
    </row>
    <row r="571" spans="3:15" x14ac:dyDescent="0.2">
      <c r="C571">
        <v>552</v>
      </c>
      <c r="D571" s="7">
        <v>3451.7287334203561</v>
      </c>
      <c r="E571" s="7"/>
      <c r="F571" s="7">
        <f t="shared" si="18"/>
        <v>278.73571816686643</v>
      </c>
      <c r="G571" s="7"/>
      <c r="H571" s="7"/>
      <c r="I571" s="7"/>
      <c r="J571" s="7">
        <v>699.01829182065603</v>
      </c>
      <c r="K571" s="7"/>
      <c r="L571" s="7">
        <f t="shared" si="19"/>
        <v>45.27699843224277</v>
      </c>
      <c r="M571" s="7"/>
      <c r="N571" s="7"/>
      <c r="O571" s="7"/>
    </row>
    <row r="572" spans="3:15" x14ac:dyDescent="0.2">
      <c r="C572">
        <v>553</v>
      </c>
      <c r="D572" s="7">
        <v>2713.9499780422011</v>
      </c>
      <c r="E572" s="7"/>
      <c r="F572" s="7">
        <f t="shared" si="18"/>
        <v>219.15824058657853</v>
      </c>
      <c r="G572" s="7"/>
      <c r="H572" s="7"/>
      <c r="I572" s="7"/>
      <c r="J572" s="7">
        <v>0</v>
      </c>
      <c r="K572" s="7"/>
      <c r="L572" s="7">
        <f t="shared" si="19"/>
        <v>0</v>
      </c>
      <c r="M572" s="7"/>
      <c r="N572" s="7"/>
      <c r="O572" s="7"/>
    </row>
    <row r="573" spans="3:15" x14ac:dyDescent="0.2">
      <c r="C573">
        <v>554</v>
      </c>
      <c r="D573" s="7">
        <v>2554.3058616867775</v>
      </c>
      <c r="E573" s="7"/>
      <c r="F573" s="7">
        <f t="shared" si="18"/>
        <v>206.2665793756033</v>
      </c>
      <c r="G573" s="7"/>
      <c r="H573" s="7"/>
      <c r="I573" s="7"/>
      <c r="J573" s="7">
        <v>0</v>
      </c>
      <c r="K573" s="7"/>
      <c r="L573" s="7">
        <f t="shared" si="19"/>
        <v>0</v>
      </c>
      <c r="M573" s="7"/>
      <c r="N573" s="7"/>
      <c r="O573" s="7"/>
    </row>
    <row r="574" spans="3:15" x14ac:dyDescent="0.2">
      <c r="C574">
        <v>555</v>
      </c>
      <c r="D574" s="7">
        <v>2713.9499780422011</v>
      </c>
      <c r="E574" s="7"/>
      <c r="F574" s="7">
        <f t="shared" si="18"/>
        <v>219.15824058657853</v>
      </c>
      <c r="G574" s="7"/>
      <c r="H574" s="7"/>
      <c r="I574" s="7"/>
      <c r="J574" s="7">
        <v>0</v>
      </c>
      <c r="K574" s="7"/>
      <c r="L574" s="7">
        <f t="shared" si="19"/>
        <v>0</v>
      </c>
      <c r="M574" s="7"/>
      <c r="N574" s="7"/>
      <c r="O574" s="7"/>
    </row>
    <row r="575" spans="3:15" x14ac:dyDescent="0.2">
      <c r="C575">
        <v>556</v>
      </c>
      <c r="D575" s="7">
        <v>2873.5940943976243</v>
      </c>
      <c r="E575" s="7"/>
      <c r="F575" s="7">
        <f t="shared" si="18"/>
        <v>232.0499017975537</v>
      </c>
      <c r="G575" s="7"/>
      <c r="H575" s="7"/>
      <c r="I575" s="7"/>
      <c r="J575" s="7">
        <v>0</v>
      </c>
      <c r="K575" s="7"/>
      <c r="L575" s="7">
        <f t="shared" si="19"/>
        <v>0</v>
      </c>
      <c r="M575" s="7"/>
      <c r="N575" s="7"/>
      <c r="O575" s="7"/>
    </row>
    <row r="576" spans="3:15" x14ac:dyDescent="0.2">
      <c r="C576">
        <v>557</v>
      </c>
      <c r="D576" s="7">
        <v>3217.4429603939211</v>
      </c>
      <c r="E576" s="7"/>
      <c r="F576" s="7">
        <f t="shared" si="18"/>
        <v>259.81655671350029</v>
      </c>
      <c r="G576" s="7"/>
      <c r="H576" s="7"/>
      <c r="I576" s="7"/>
      <c r="J576" s="7">
        <v>0</v>
      </c>
      <c r="K576" s="7"/>
      <c r="L576" s="7">
        <f t="shared" si="19"/>
        <v>0</v>
      </c>
      <c r="M576" s="7"/>
      <c r="N576" s="7"/>
      <c r="O576" s="7"/>
    </row>
    <row r="577" spans="3:15" x14ac:dyDescent="0.2">
      <c r="C577">
        <v>558</v>
      </c>
      <c r="D577" s="7">
        <v>3438.4886599629695</v>
      </c>
      <c r="E577" s="7"/>
      <c r="F577" s="7">
        <f t="shared" si="18"/>
        <v>277.666549159466</v>
      </c>
      <c r="G577" s="7"/>
      <c r="H577" s="7"/>
      <c r="I577" s="7"/>
      <c r="J577" s="7">
        <v>0</v>
      </c>
      <c r="K577" s="7"/>
      <c r="L577" s="7">
        <f t="shared" si="19"/>
        <v>0</v>
      </c>
      <c r="M577" s="7"/>
      <c r="N577" s="7"/>
      <c r="O577" s="7"/>
    </row>
    <row r="578" spans="3:15" x14ac:dyDescent="0.2">
      <c r="C578">
        <v>559</v>
      </c>
      <c r="D578" s="7">
        <v>3448.6547494721913</v>
      </c>
      <c r="E578" s="7"/>
      <c r="F578" s="7">
        <f t="shared" si="18"/>
        <v>278.48748628377285</v>
      </c>
      <c r="G578" s="7"/>
      <c r="H578" s="7"/>
      <c r="I578" s="7"/>
      <c r="J578" s="7">
        <v>210.87961005982606</v>
      </c>
      <c r="K578" s="7"/>
      <c r="L578" s="7">
        <f t="shared" si="19"/>
        <v>13.659150104930871</v>
      </c>
      <c r="M578" s="7"/>
      <c r="N578" s="7"/>
      <c r="O578" s="7"/>
    </row>
    <row r="579" spans="3:15" x14ac:dyDescent="0.2">
      <c r="C579">
        <v>560</v>
      </c>
      <c r="D579" s="7">
        <v>3453.212617548807</v>
      </c>
      <c r="E579" s="7"/>
      <c r="F579" s="7">
        <f t="shared" si="18"/>
        <v>278.85554551720702</v>
      </c>
      <c r="G579" s="7"/>
      <c r="H579" s="7"/>
      <c r="I579" s="7"/>
      <c r="J579" s="7">
        <v>427.36744155225779</v>
      </c>
      <c r="K579" s="7"/>
      <c r="L579" s="7">
        <f t="shared" si="19"/>
        <v>27.681557417838931</v>
      </c>
      <c r="M579" s="7"/>
      <c r="N579" s="7"/>
      <c r="O579" s="7"/>
    </row>
    <row r="580" spans="3:15" x14ac:dyDescent="0.2">
      <c r="C580">
        <v>561</v>
      </c>
      <c r="D580" s="7">
        <v>3453.7046900829005</v>
      </c>
      <c r="E580" s="7"/>
      <c r="F580" s="7">
        <f t="shared" si="18"/>
        <v>278.89528160360709</v>
      </c>
      <c r="G580" s="7"/>
      <c r="H580" s="7"/>
      <c r="I580" s="7"/>
      <c r="J580" s="7">
        <v>647.92106858721263</v>
      </c>
      <c r="K580" s="7"/>
      <c r="L580" s="7">
        <f t="shared" si="19"/>
        <v>41.967315519358216</v>
      </c>
      <c r="M580" s="7"/>
      <c r="N580" s="7"/>
      <c r="O580" s="7"/>
    </row>
    <row r="581" spans="3:15" x14ac:dyDescent="0.2">
      <c r="C581">
        <v>562</v>
      </c>
      <c r="D581" s="7">
        <v>3452.0142381430869</v>
      </c>
      <c r="E581" s="7"/>
      <c r="F581" s="7">
        <f t="shared" si="18"/>
        <v>278.75877338646114</v>
      </c>
      <c r="G581" s="7"/>
      <c r="H581" s="7"/>
      <c r="I581" s="7"/>
      <c r="J581" s="7">
        <v>870.65722009607362</v>
      </c>
      <c r="K581" s="7"/>
      <c r="L581" s="7">
        <f t="shared" si="19"/>
        <v>56.394440675702342</v>
      </c>
      <c r="M581" s="7"/>
      <c r="N581" s="7"/>
      <c r="O581" s="7"/>
    </row>
    <row r="582" spans="3:15" x14ac:dyDescent="0.2">
      <c r="C582">
        <v>563</v>
      </c>
      <c r="D582" s="7">
        <v>3450.3382515099443</v>
      </c>
      <c r="E582" s="7"/>
      <c r="F582" s="7">
        <f t="shared" si="18"/>
        <v>278.62343327896548</v>
      </c>
      <c r="G582" s="7"/>
      <c r="H582" s="7"/>
      <c r="I582" s="7"/>
      <c r="J582" s="7">
        <v>1093.3789062982646</v>
      </c>
      <c r="K582" s="7"/>
      <c r="L582" s="7">
        <f t="shared" si="19"/>
        <v>70.820628881361372</v>
      </c>
      <c r="M582" s="7"/>
      <c r="N582" s="7"/>
      <c r="O582" s="7"/>
    </row>
    <row r="583" spans="3:15" x14ac:dyDescent="0.2">
      <c r="C583">
        <v>564</v>
      </c>
      <c r="D583" s="7">
        <v>3448.6766744550237</v>
      </c>
      <c r="E583" s="7"/>
      <c r="F583" s="7">
        <f t="shared" si="18"/>
        <v>278.48925678090853</v>
      </c>
      <c r="G583" s="7"/>
      <c r="H583" s="7"/>
      <c r="I583" s="7"/>
      <c r="J583" s="7">
        <v>1316.0861829222335</v>
      </c>
      <c r="K583" s="7"/>
      <c r="L583" s="7">
        <f t="shared" si="19"/>
        <v>85.245883745993126</v>
      </c>
      <c r="M583" s="7"/>
      <c r="N583" s="7"/>
      <c r="O583" s="7"/>
    </row>
    <row r="584" spans="3:15" x14ac:dyDescent="0.2">
      <c r="C584">
        <v>565</v>
      </c>
      <c r="D584" s="7">
        <v>3447.0294514143125</v>
      </c>
      <c r="E584" s="7"/>
      <c r="F584" s="7">
        <f t="shared" si="18"/>
        <v>278.35623940535748</v>
      </c>
      <c r="G584" s="7"/>
      <c r="H584" s="7"/>
      <c r="I584" s="7"/>
      <c r="J584" s="7">
        <v>1538.7791055319922</v>
      </c>
      <c r="K584" s="7"/>
      <c r="L584" s="7">
        <f t="shared" si="19"/>
        <v>99.670208868604533</v>
      </c>
      <c r="M584" s="7"/>
      <c r="N584" s="7"/>
      <c r="O584" s="7"/>
    </row>
    <row r="585" spans="3:15" x14ac:dyDescent="0.2">
      <c r="C585">
        <v>566</v>
      </c>
      <c r="D585" s="7">
        <v>3445.3965269878213</v>
      </c>
      <c r="E585" s="7"/>
      <c r="F585" s="7">
        <f t="shared" si="18"/>
        <v>278.22437667862488</v>
      </c>
      <c r="G585" s="7"/>
      <c r="H585" s="7"/>
      <c r="I585" s="7"/>
      <c r="J585" s="7">
        <v>1761.4577295275326</v>
      </c>
      <c r="K585" s="7"/>
      <c r="L585" s="7">
        <f t="shared" si="19"/>
        <v>114.0936078375786</v>
      </c>
      <c r="M585" s="7"/>
      <c r="N585" s="7"/>
      <c r="O585" s="7"/>
    </row>
    <row r="586" spans="3:15" x14ac:dyDescent="0.2">
      <c r="C586">
        <v>567</v>
      </c>
      <c r="D586" s="7">
        <v>3443.7778459391952</v>
      </c>
      <c r="E586" s="7"/>
      <c r="F586" s="7">
        <f t="shared" si="18"/>
        <v>278.09366414023697</v>
      </c>
      <c r="G586" s="7"/>
      <c r="H586" s="7"/>
      <c r="I586" s="7"/>
      <c r="J586" s="7">
        <v>1984.122110145207</v>
      </c>
      <c r="K586" s="7"/>
      <c r="L586" s="7">
        <f t="shared" si="19"/>
        <v>128.51608423069899</v>
      </c>
      <c r="M586" s="7"/>
      <c r="N586" s="7"/>
      <c r="O586" s="7"/>
    </row>
    <row r="587" spans="3:15" x14ac:dyDescent="0.2">
      <c r="C587">
        <v>568</v>
      </c>
      <c r="D587" s="7">
        <v>3444.3665138540846</v>
      </c>
      <c r="E587" s="7"/>
      <c r="F587" s="7">
        <f t="shared" si="18"/>
        <v>278.14120054494623</v>
      </c>
      <c r="G587" s="7"/>
      <c r="H587" s="7"/>
      <c r="I587" s="7"/>
      <c r="J587" s="7">
        <v>1823.8893258748922</v>
      </c>
      <c r="K587" s="7"/>
      <c r="L587" s="7">
        <f t="shared" si="19"/>
        <v>118.13744377580474</v>
      </c>
      <c r="M587" s="7"/>
      <c r="N587" s="7"/>
      <c r="O587" s="7"/>
    </row>
    <row r="588" spans="3:15" x14ac:dyDescent="0.2">
      <c r="C588">
        <v>569</v>
      </c>
      <c r="D588" s="7">
        <v>3449.012112520621</v>
      </c>
      <c r="E588" s="7"/>
      <c r="F588" s="7">
        <f t="shared" si="18"/>
        <v>278.51634424268082</v>
      </c>
      <c r="G588" s="7"/>
      <c r="H588" s="7"/>
      <c r="I588" s="7"/>
      <c r="J588" s="7">
        <v>2106.6031366481197</v>
      </c>
      <c r="K588" s="7"/>
      <c r="L588" s="7">
        <f t="shared" si="19"/>
        <v>136.44945780595683</v>
      </c>
      <c r="M588" s="7"/>
      <c r="N588" s="7"/>
      <c r="O588" s="7"/>
    </row>
    <row r="589" spans="3:15" x14ac:dyDescent="0.2">
      <c r="C589">
        <v>570</v>
      </c>
      <c r="D589" s="7">
        <v>3453.6444793644882</v>
      </c>
      <c r="E589" s="7"/>
      <c r="F589" s="7">
        <f t="shared" si="18"/>
        <v>278.89041943767978</v>
      </c>
      <c r="G589" s="7"/>
      <c r="H589" s="7"/>
      <c r="I589" s="7"/>
      <c r="J589" s="7">
        <v>2389.3301792440147</v>
      </c>
      <c r="K589" s="7"/>
      <c r="L589" s="7">
        <f t="shared" si="19"/>
        <v>154.76232889124066</v>
      </c>
      <c r="M589" s="7"/>
      <c r="N589" s="7"/>
      <c r="O589" s="7"/>
    </row>
    <row r="590" spans="3:15" x14ac:dyDescent="0.2">
      <c r="C590">
        <v>571</v>
      </c>
      <c r="D590" s="7">
        <v>3458.2627623229714</v>
      </c>
      <c r="E590" s="7"/>
      <c r="F590" s="7">
        <f t="shared" si="18"/>
        <v>279.26335732375026</v>
      </c>
      <c r="G590" s="7"/>
      <c r="H590" s="7"/>
      <c r="I590" s="7"/>
      <c r="J590" s="7">
        <v>2927.5018918939718</v>
      </c>
      <c r="K590" s="7"/>
      <c r="L590" s="7">
        <f t="shared" si="19"/>
        <v>189.62092998229934</v>
      </c>
      <c r="M590" s="7"/>
      <c r="N590" s="7"/>
      <c r="O590" s="7"/>
    </row>
    <row r="591" spans="3:15" x14ac:dyDescent="0.2">
      <c r="C591">
        <v>572</v>
      </c>
      <c r="D591" s="7">
        <v>3462.8658732780523</v>
      </c>
      <c r="E591" s="7"/>
      <c r="F591" s="7">
        <f t="shared" si="18"/>
        <v>279.63507003264408</v>
      </c>
      <c r="G591" s="7"/>
      <c r="H591" s="7"/>
      <c r="I591" s="7"/>
      <c r="J591" s="7">
        <v>2922.8987809388909</v>
      </c>
      <c r="K591" s="7"/>
      <c r="L591" s="7">
        <f t="shared" si="19"/>
        <v>189.32277605709405</v>
      </c>
      <c r="M591" s="7"/>
      <c r="N591" s="7"/>
      <c r="O591" s="7"/>
    </row>
    <row r="592" spans="3:15" x14ac:dyDescent="0.2">
      <c r="C592">
        <v>573</v>
      </c>
      <c r="D592" s="7">
        <v>3467.4535365835391</v>
      </c>
      <c r="E592" s="7"/>
      <c r="F592" s="7">
        <f t="shared" si="18"/>
        <v>280.00553530524257</v>
      </c>
      <c r="G592" s="7"/>
      <c r="H592" s="7"/>
      <c r="I592" s="7"/>
      <c r="J592" s="7">
        <v>3237.5993503442514</v>
      </c>
      <c r="K592" s="7"/>
      <c r="L592" s="7">
        <f t="shared" si="19"/>
        <v>209.70664491191386</v>
      </c>
      <c r="M592" s="7"/>
      <c r="N592" s="7"/>
      <c r="O592" s="7"/>
    </row>
    <row r="593" spans="3:15" x14ac:dyDescent="0.2">
      <c r="C593">
        <v>574</v>
      </c>
      <c r="D593" s="7">
        <v>3472.0256884364258</v>
      </c>
      <c r="E593" s="7"/>
      <c r="F593" s="7">
        <f t="shared" si="18"/>
        <v>280.37474798929361</v>
      </c>
      <c r="G593" s="7"/>
      <c r="H593" s="7"/>
      <c r="I593" s="7"/>
      <c r="J593" s="7">
        <v>2402.8777934431623</v>
      </c>
      <c r="K593" s="7"/>
      <c r="L593" s="7">
        <f t="shared" si="19"/>
        <v>155.63983855591306</v>
      </c>
      <c r="M593" s="7"/>
      <c r="N593" s="7"/>
      <c r="O593" s="7"/>
    </row>
    <row r="594" spans="3:15" x14ac:dyDescent="0.2">
      <c r="C594">
        <v>575</v>
      </c>
      <c r="D594" s="7">
        <v>3472.5270401074545</v>
      </c>
      <c r="E594" s="7"/>
      <c r="F594" s="7">
        <f t="shared" si="18"/>
        <v>280.41523338918188</v>
      </c>
      <c r="G594" s="7"/>
      <c r="H594" s="7"/>
      <c r="I594" s="7"/>
      <c r="J594" s="7">
        <v>1572.2270367239312</v>
      </c>
      <c r="K594" s="7"/>
      <c r="L594" s="7">
        <f t="shared" si="19"/>
        <v>101.83670715035156</v>
      </c>
      <c r="M594" s="7"/>
      <c r="N594" s="7"/>
      <c r="O594" s="7"/>
    </row>
    <row r="595" spans="3:15" x14ac:dyDescent="0.2">
      <c r="C595">
        <v>576</v>
      </c>
      <c r="D595" s="7">
        <v>3470.8440497830957</v>
      </c>
      <c r="E595" s="7"/>
      <c r="F595" s="7">
        <f t="shared" si="18"/>
        <v>280.27932771612421</v>
      </c>
      <c r="G595" s="7"/>
      <c r="H595" s="7"/>
      <c r="I595" s="7"/>
      <c r="J595" s="7">
        <v>743.76062200008664</v>
      </c>
      <c r="K595" s="7"/>
      <c r="L595" s="7">
        <f t="shared" si="19"/>
        <v>48.175060524598891</v>
      </c>
      <c r="M595" s="7"/>
      <c r="N595" s="7"/>
      <c r="O595" s="7"/>
    </row>
    <row r="596" spans="3:15" x14ac:dyDescent="0.2">
      <c r="C596">
        <v>577</v>
      </c>
      <c r="D596" s="7">
        <v>2713.9499780422011</v>
      </c>
      <c r="E596" s="7"/>
      <c r="F596" s="7">
        <f t="shared" si="18"/>
        <v>219.15824058657853</v>
      </c>
      <c r="G596" s="7"/>
      <c r="H596" s="7"/>
      <c r="I596" s="7"/>
      <c r="J596" s="7">
        <v>0</v>
      </c>
      <c r="K596" s="7"/>
      <c r="L596" s="7">
        <f t="shared" si="19"/>
        <v>0</v>
      </c>
      <c r="M596" s="7"/>
      <c r="N596" s="7"/>
      <c r="O596" s="7"/>
    </row>
    <row r="597" spans="3:15" x14ac:dyDescent="0.2">
      <c r="C597">
        <v>578</v>
      </c>
      <c r="D597" s="7">
        <v>2554.3058616867775</v>
      </c>
      <c r="E597" s="7"/>
      <c r="F597" s="7">
        <f t="shared" ref="F597:F660" si="20">D597*(1-($C$2/($D$8-$D$6)*LN($D$8/$D$6)))</f>
        <v>206.2665793756033</v>
      </c>
      <c r="G597" s="7"/>
      <c r="H597" s="7"/>
      <c r="I597" s="7"/>
      <c r="J597" s="7">
        <v>0</v>
      </c>
      <c r="K597" s="7"/>
      <c r="L597" s="7">
        <f t="shared" ref="L597:L660" si="21">J597*(1-$C$2/($D$10-$D$9)*LN($D$10/$D$9))</f>
        <v>0</v>
      </c>
      <c r="M597" s="7"/>
      <c r="N597" s="7"/>
      <c r="O597" s="7"/>
    </row>
    <row r="598" spans="3:15" x14ac:dyDescent="0.2">
      <c r="C598">
        <v>579</v>
      </c>
      <c r="D598" s="7">
        <v>2713.9499780422011</v>
      </c>
      <c r="E598" s="7"/>
      <c r="F598" s="7">
        <f t="shared" si="20"/>
        <v>219.15824058657853</v>
      </c>
      <c r="G598" s="7"/>
      <c r="H598" s="7"/>
      <c r="I598" s="7"/>
      <c r="J598" s="7">
        <v>0</v>
      </c>
      <c r="K598" s="7"/>
      <c r="L598" s="7">
        <f t="shared" si="21"/>
        <v>0</v>
      </c>
      <c r="M598" s="7"/>
      <c r="N598" s="7"/>
      <c r="O598" s="7"/>
    </row>
    <row r="599" spans="3:15" x14ac:dyDescent="0.2">
      <c r="C599">
        <v>580</v>
      </c>
      <c r="D599" s="7">
        <v>2873.5940943976243</v>
      </c>
      <c r="E599" s="7"/>
      <c r="F599" s="7">
        <f t="shared" si="20"/>
        <v>232.0499017975537</v>
      </c>
      <c r="G599" s="7"/>
      <c r="H599" s="7"/>
      <c r="I599" s="7"/>
      <c r="J599" s="7">
        <v>0</v>
      </c>
      <c r="K599" s="7"/>
      <c r="L599" s="7">
        <f t="shared" si="21"/>
        <v>0</v>
      </c>
      <c r="M599" s="7"/>
      <c r="N599" s="7"/>
      <c r="O599" s="7"/>
    </row>
    <row r="600" spans="3:15" x14ac:dyDescent="0.2">
      <c r="C600">
        <v>581</v>
      </c>
      <c r="D600" s="7">
        <v>3192.8823271084716</v>
      </c>
      <c r="E600" s="7"/>
      <c r="F600" s="7">
        <f t="shared" si="20"/>
        <v>257.83322421950413</v>
      </c>
      <c r="G600" s="7"/>
      <c r="H600" s="7"/>
      <c r="I600" s="7"/>
      <c r="J600" s="7">
        <v>0</v>
      </c>
      <c r="K600" s="7"/>
      <c r="L600" s="7">
        <f t="shared" si="21"/>
        <v>0</v>
      </c>
      <c r="M600" s="7"/>
      <c r="N600" s="7"/>
      <c r="O600" s="7"/>
    </row>
    <row r="601" spans="3:15" x14ac:dyDescent="0.2">
      <c r="C601">
        <v>582</v>
      </c>
      <c r="D601" s="7">
        <v>3405.741148915703</v>
      </c>
      <c r="E601" s="7"/>
      <c r="F601" s="7">
        <f t="shared" si="20"/>
        <v>275.02210583413773</v>
      </c>
      <c r="G601" s="7"/>
      <c r="H601" s="7"/>
      <c r="I601" s="7"/>
      <c r="J601" s="7">
        <v>0</v>
      </c>
      <c r="K601" s="7"/>
      <c r="L601" s="7">
        <f t="shared" si="21"/>
        <v>0</v>
      </c>
      <c r="M601" s="7"/>
      <c r="N601" s="7"/>
      <c r="O601" s="7"/>
    </row>
    <row r="602" spans="3:15" x14ac:dyDescent="0.2">
      <c r="C602">
        <v>583</v>
      </c>
      <c r="D602" s="7">
        <v>3468.6394093859135</v>
      </c>
      <c r="E602" s="7"/>
      <c r="F602" s="7">
        <f t="shared" si="20"/>
        <v>280.10129749652486</v>
      </c>
      <c r="G602" s="7"/>
      <c r="H602" s="7"/>
      <c r="I602" s="7"/>
      <c r="J602" s="7">
        <v>149.96056133702041</v>
      </c>
      <c r="K602" s="7"/>
      <c r="L602" s="7">
        <f t="shared" si="21"/>
        <v>9.7132853031212782</v>
      </c>
      <c r="M602" s="7"/>
      <c r="N602" s="7"/>
      <c r="O602" s="7"/>
    </row>
    <row r="603" spans="3:15" x14ac:dyDescent="0.2">
      <c r="C603">
        <v>584</v>
      </c>
      <c r="D603" s="7">
        <v>3473.3182724287135</v>
      </c>
      <c r="E603" s="7"/>
      <c r="F603" s="7">
        <f t="shared" si="20"/>
        <v>280.47912737574222</v>
      </c>
      <c r="G603" s="7"/>
      <c r="H603" s="7"/>
      <c r="I603" s="7"/>
      <c r="J603" s="7">
        <v>358.14052010145224</v>
      </c>
      <c r="K603" s="7"/>
      <c r="L603" s="7">
        <f t="shared" si="21"/>
        <v>23.197572877415357</v>
      </c>
      <c r="M603" s="7"/>
      <c r="N603" s="7"/>
      <c r="O603" s="7"/>
    </row>
    <row r="604" spans="3:15" x14ac:dyDescent="0.2">
      <c r="C604">
        <v>585</v>
      </c>
      <c r="D604" s="7">
        <v>3477.9903665064148</v>
      </c>
      <c r="E604" s="7"/>
      <c r="F604" s="7">
        <f t="shared" si="20"/>
        <v>280.85641064411794</v>
      </c>
      <c r="G604" s="7"/>
      <c r="H604" s="7"/>
      <c r="I604" s="7"/>
      <c r="J604" s="7">
        <v>566.32724783098183</v>
      </c>
      <c r="K604" s="7"/>
      <c r="L604" s="7">
        <f t="shared" si="21"/>
        <v>36.682298892914346</v>
      </c>
      <c r="M604" s="7"/>
      <c r="N604" s="7"/>
      <c r="O604" s="7"/>
    </row>
    <row r="605" spans="3:15" x14ac:dyDescent="0.2">
      <c r="C605">
        <v>586</v>
      </c>
      <c r="D605" s="7">
        <v>3482.6551495504355</v>
      </c>
      <c r="E605" s="7"/>
      <c r="F605" s="7">
        <f t="shared" si="20"/>
        <v>281.23310352825985</v>
      </c>
      <c r="G605" s="7"/>
      <c r="H605" s="7"/>
      <c r="I605" s="7"/>
      <c r="J605" s="7">
        <v>774.52128659419304</v>
      </c>
      <c r="K605" s="7"/>
      <c r="L605" s="7">
        <f t="shared" si="21"/>
        <v>50.167498460628515</v>
      </c>
      <c r="M605" s="7"/>
      <c r="N605" s="7"/>
      <c r="O605" s="7"/>
    </row>
    <row r="606" spans="3:15" x14ac:dyDescent="0.2">
      <c r="C606">
        <v>587</v>
      </c>
      <c r="D606" s="7">
        <v>3487.3120821287248</v>
      </c>
      <c r="E606" s="7"/>
      <c r="F606" s="7">
        <f t="shared" si="20"/>
        <v>281.60916246768232</v>
      </c>
      <c r="G606" s="7"/>
      <c r="H606" s="7"/>
      <c r="I606" s="7"/>
      <c r="J606" s="7">
        <v>982.72317582313553</v>
      </c>
      <c r="K606" s="7"/>
      <c r="L606" s="7">
        <f t="shared" si="21"/>
        <v>63.65320652079383</v>
      </c>
      <c r="M606" s="7"/>
      <c r="N606" s="7"/>
      <c r="O606" s="7"/>
    </row>
    <row r="607" spans="3:15" x14ac:dyDescent="0.2">
      <c r="C607">
        <v>588</v>
      </c>
      <c r="D607" s="7">
        <v>3491.9606274850721</v>
      </c>
      <c r="E607" s="7"/>
      <c r="F607" s="7">
        <f t="shared" si="20"/>
        <v>281.98454411798048</v>
      </c>
      <c r="G607" s="7"/>
      <c r="H607" s="7"/>
      <c r="I607" s="7"/>
      <c r="J607" s="7">
        <v>1190.9334522740191</v>
      </c>
      <c r="K607" s="7"/>
      <c r="L607" s="7">
        <f t="shared" si="21"/>
        <v>77.13945784032606</v>
      </c>
      <c r="M607" s="7"/>
      <c r="N607" s="7"/>
      <c r="O607" s="7"/>
    </row>
    <row r="608" spans="3:15" x14ac:dyDescent="0.2">
      <c r="C608">
        <v>589</v>
      </c>
      <c r="D608" s="7">
        <v>3496.6002515781265</v>
      </c>
      <c r="E608" s="7"/>
      <c r="F608" s="7">
        <f t="shared" si="20"/>
        <v>282.359205353981</v>
      </c>
      <c r="G608" s="7"/>
      <c r="H608" s="7"/>
      <c r="I608" s="7"/>
      <c r="J608" s="7">
        <v>1399.1526499881957</v>
      </c>
      <c r="K608" s="7"/>
      <c r="L608" s="7">
        <f t="shared" si="21"/>
        <v>90.626287010293481</v>
      </c>
      <c r="M608" s="7"/>
      <c r="N608" s="7"/>
      <c r="O608" s="7"/>
    </row>
    <row r="609" spans="3:15" x14ac:dyDescent="0.2">
      <c r="C609">
        <v>590</v>
      </c>
      <c r="D609" s="7">
        <v>3501.2304231201651</v>
      </c>
      <c r="E609" s="7"/>
      <c r="F609" s="7">
        <f t="shared" si="20"/>
        <v>282.73310327287305</v>
      </c>
      <c r="G609" s="7"/>
      <c r="H609" s="7"/>
      <c r="I609" s="7"/>
      <c r="J609" s="7">
        <v>1607.3813002533898</v>
      </c>
      <c r="K609" s="7"/>
      <c r="L609" s="7">
        <f t="shared" si="21"/>
        <v>104.11372844340566</v>
      </c>
      <c r="M609" s="7"/>
      <c r="N609" s="7"/>
      <c r="O609" s="7"/>
    </row>
    <row r="610" spans="3:15" x14ac:dyDescent="0.2">
      <c r="C610">
        <v>591</v>
      </c>
      <c r="D610" s="7">
        <v>3505.8508019067667</v>
      </c>
      <c r="E610" s="7"/>
      <c r="F610" s="7">
        <f t="shared" si="20"/>
        <v>283.10621040229984</v>
      </c>
      <c r="G610" s="7"/>
      <c r="H610" s="7"/>
      <c r="I610" s="7"/>
      <c r="J610" s="7">
        <v>1443.1168051113636</v>
      </c>
      <c r="K610" s="7"/>
      <c r="L610" s="7">
        <f t="shared" si="21"/>
        <v>93.473944941249698</v>
      </c>
      <c r="M610" s="7"/>
      <c r="N610" s="7"/>
      <c r="O610" s="7"/>
    </row>
    <row r="611" spans="3:15" x14ac:dyDescent="0.2">
      <c r="C611">
        <v>592</v>
      </c>
      <c r="D611" s="7">
        <v>3510.4615324244114</v>
      </c>
      <c r="E611" s="7"/>
      <c r="F611" s="7">
        <f t="shared" si="20"/>
        <v>283.47853840990547</v>
      </c>
      <c r="G611" s="7"/>
      <c r="H611" s="7"/>
      <c r="I611" s="7"/>
      <c r="J611" s="7">
        <v>1811.0090127563753</v>
      </c>
      <c r="K611" s="7"/>
      <c r="L611" s="7">
        <f t="shared" si="21"/>
        <v>117.30315671393839</v>
      </c>
      <c r="M611" s="7"/>
      <c r="N611" s="7"/>
      <c r="O611" s="7"/>
    </row>
    <row r="612" spans="3:15" x14ac:dyDescent="0.2">
      <c r="C612">
        <v>593</v>
      </c>
      <c r="D612" s="7">
        <v>3515.0618712750056</v>
      </c>
      <c r="E612" s="7"/>
      <c r="F612" s="7">
        <f t="shared" si="20"/>
        <v>283.85002726443685</v>
      </c>
      <c r="G612" s="7"/>
      <c r="H612" s="7"/>
      <c r="I612" s="7"/>
      <c r="J612" s="7">
        <v>2178.9116120684357</v>
      </c>
      <c r="K612" s="7"/>
      <c r="L612" s="7">
        <f t="shared" si="21"/>
        <v>141.13304157844485</v>
      </c>
      <c r="M612" s="7"/>
      <c r="N612" s="7"/>
      <c r="O612" s="7"/>
    </row>
    <row r="613" spans="3:15" x14ac:dyDescent="0.2">
      <c r="C613">
        <v>594</v>
      </c>
      <c r="D613" s="7">
        <v>3519.6508110755949</v>
      </c>
      <c r="E613" s="7"/>
      <c r="F613" s="7">
        <f t="shared" si="20"/>
        <v>284.22059561720374</v>
      </c>
      <c r="G613" s="7"/>
      <c r="H613" s="7"/>
      <c r="I613" s="7"/>
      <c r="J613" s="7">
        <v>2546.825610430501</v>
      </c>
      <c r="K613" s="7"/>
      <c r="L613" s="7">
        <f t="shared" si="21"/>
        <v>164.96366478524538</v>
      </c>
      <c r="M613" s="7"/>
      <c r="N613" s="7"/>
      <c r="O613" s="7"/>
    </row>
    <row r="614" spans="3:15" x14ac:dyDescent="0.2">
      <c r="C614">
        <v>595</v>
      </c>
      <c r="D614" s="7">
        <v>3524.2277605428426</v>
      </c>
      <c r="E614" s="7"/>
      <c r="F614" s="7">
        <f t="shared" si="20"/>
        <v>284.59019572059964</v>
      </c>
      <c r="G614" s="7"/>
      <c r="H614" s="7"/>
      <c r="I614" s="7"/>
      <c r="J614" s="7">
        <v>2103.227340985839</v>
      </c>
      <c r="K614" s="7"/>
      <c r="L614" s="7">
        <f t="shared" si="21"/>
        <v>136.23079987282813</v>
      </c>
      <c r="M614" s="7"/>
      <c r="N614" s="7"/>
      <c r="O614" s="7"/>
    </row>
    <row r="615" spans="3:15" x14ac:dyDescent="0.2">
      <c r="C615">
        <v>596</v>
      </c>
      <c r="D615" s="7">
        <v>3528.7937701316223</v>
      </c>
      <c r="E615" s="7"/>
      <c r="F615" s="7">
        <f t="shared" si="20"/>
        <v>284.95891240147978</v>
      </c>
      <c r="G615" s="7"/>
      <c r="H615" s="7"/>
      <c r="I615" s="7"/>
      <c r="J615" s="7">
        <v>1659.640011419644</v>
      </c>
      <c r="K615" s="7"/>
      <c r="L615" s="7">
        <f t="shared" si="21"/>
        <v>107.4986435611242</v>
      </c>
      <c r="M615" s="7"/>
      <c r="N615" s="7"/>
      <c r="O615" s="7"/>
    </row>
    <row r="616" spans="3:15" x14ac:dyDescent="0.2">
      <c r="C616">
        <v>597</v>
      </c>
      <c r="D616" s="7">
        <v>3533.3502925812154</v>
      </c>
      <c r="E616" s="7"/>
      <c r="F616" s="7">
        <f t="shared" si="20"/>
        <v>285.32686297217026</v>
      </c>
      <c r="G616" s="7"/>
      <c r="H616" s="7"/>
      <c r="I616" s="7"/>
      <c r="J616" s="7">
        <v>1216.0621689926356</v>
      </c>
      <c r="K616" s="7"/>
      <c r="L616" s="7">
        <f t="shared" si="21"/>
        <v>78.767101752919103</v>
      </c>
      <c r="M616" s="7"/>
      <c r="N616" s="7"/>
      <c r="O616" s="7"/>
    </row>
    <row r="617" spans="3:15" x14ac:dyDescent="0.2">
      <c r="C617">
        <v>598</v>
      </c>
      <c r="D617" s="7">
        <v>3537.8987713655351</v>
      </c>
      <c r="E617" s="7"/>
      <c r="F617" s="7">
        <f t="shared" si="20"/>
        <v>285.69416399679562</v>
      </c>
      <c r="G617" s="7"/>
      <c r="H617" s="7"/>
      <c r="I617" s="7"/>
      <c r="J617" s="7">
        <v>772.49237023090245</v>
      </c>
      <c r="K617" s="7"/>
      <c r="L617" s="7">
        <f t="shared" si="21"/>
        <v>50.036080951137315</v>
      </c>
      <c r="M617" s="7"/>
      <c r="N617" s="7"/>
      <c r="O617" s="7"/>
    </row>
    <row r="618" spans="3:15" x14ac:dyDescent="0.2">
      <c r="C618">
        <v>599</v>
      </c>
      <c r="D618" s="7">
        <v>3538.3446842797111</v>
      </c>
      <c r="E618" s="7"/>
      <c r="F618" s="7">
        <f t="shared" si="20"/>
        <v>285.73017257857362</v>
      </c>
      <c r="G618" s="7"/>
      <c r="H618" s="7"/>
      <c r="I618" s="7"/>
      <c r="J618" s="7">
        <v>333.02513733931164</v>
      </c>
      <c r="K618" s="7"/>
      <c r="L618" s="7">
        <f t="shared" si="21"/>
        <v>21.570792635392205</v>
      </c>
      <c r="M618" s="7"/>
      <c r="N618" s="7"/>
      <c r="O618" s="7"/>
    </row>
    <row r="619" spans="3:15" x14ac:dyDescent="0.2">
      <c r="C619">
        <v>600</v>
      </c>
      <c r="D619" s="7">
        <v>3192.8823271084716</v>
      </c>
      <c r="E619" s="7"/>
      <c r="F619" s="7">
        <f t="shared" si="20"/>
        <v>257.83322421950413</v>
      </c>
      <c r="G619" s="7"/>
      <c r="H619" s="7"/>
      <c r="I619" s="7"/>
      <c r="J619" s="7">
        <v>0</v>
      </c>
      <c r="K619" s="7"/>
      <c r="L619" s="7">
        <f t="shared" si="21"/>
        <v>0</v>
      </c>
      <c r="M619" s="7"/>
      <c r="N619" s="7"/>
      <c r="O619" s="7"/>
    </row>
    <row r="620" spans="3:15" x14ac:dyDescent="0.2">
      <c r="C620">
        <v>601</v>
      </c>
      <c r="D620" s="7">
        <v>2713.9499780422011</v>
      </c>
      <c r="E620" s="7"/>
      <c r="F620" s="7">
        <f t="shared" si="20"/>
        <v>219.15824058657853</v>
      </c>
      <c r="G620" s="7"/>
      <c r="H620" s="7"/>
      <c r="I620" s="7"/>
      <c r="J620" s="7">
        <v>0</v>
      </c>
      <c r="K620" s="7"/>
      <c r="L620" s="7">
        <f t="shared" si="21"/>
        <v>0</v>
      </c>
      <c r="M620" s="7"/>
      <c r="N620" s="7"/>
      <c r="O620" s="7"/>
    </row>
    <row r="621" spans="3:15" x14ac:dyDescent="0.2">
      <c r="C621">
        <v>602</v>
      </c>
      <c r="D621" s="7">
        <v>2554.3058616867775</v>
      </c>
      <c r="E621" s="7"/>
      <c r="F621" s="7">
        <f t="shared" si="20"/>
        <v>206.2665793756033</v>
      </c>
      <c r="G621" s="7"/>
      <c r="H621" s="7"/>
      <c r="I621" s="7"/>
      <c r="J621" s="7">
        <v>0</v>
      </c>
      <c r="K621" s="7"/>
      <c r="L621" s="7">
        <f t="shared" si="21"/>
        <v>0</v>
      </c>
      <c r="M621" s="7"/>
      <c r="N621" s="7"/>
      <c r="O621" s="7"/>
    </row>
    <row r="622" spans="3:15" x14ac:dyDescent="0.2">
      <c r="C622">
        <v>603</v>
      </c>
      <c r="D622" s="7">
        <v>2713.9499780422011</v>
      </c>
      <c r="E622" s="7"/>
      <c r="F622" s="7">
        <f t="shared" si="20"/>
        <v>219.15824058657853</v>
      </c>
      <c r="G622" s="7"/>
      <c r="H622" s="7"/>
      <c r="I622" s="7"/>
      <c r="J622" s="7">
        <v>0</v>
      </c>
      <c r="K622" s="7"/>
      <c r="L622" s="7">
        <f t="shared" si="21"/>
        <v>0</v>
      </c>
      <c r="M622" s="7"/>
      <c r="N622" s="7"/>
      <c r="O622" s="7"/>
    </row>
    <row r="623" spans="3:15" x14ac:dyDescent="0.2">
      <c r="C623">
        <v>604</v>
      </c>
      <c r="D623" s="7">
        <v>2873.5940943976243</v>
      </c>
      <c r="E623" s="7"/>
      <c r="F623" s="7">
        <f t="shared" si="20"/>
        <v>232.0499017975537</v>
      </c>
      <c r="G623" s="7"/>
      <c r="H623" s="7"/>
      <c r="I623" s="7"/>
      <c r="J623" s="7">
        <v>0</v>
      </c>
      <c r="K623" s="7"/>
      <c r="L623" s="7">
        <f t="shared" si="21"/>
        <v>0</v>
      </c>
      <c r="M623" s="7"/>
      <c r="N623" s="7"/>
      <c r="O623" s="7"/>
    </row>
    <row r="624" spans="3:15" x14ac:dyDescent="0.2">
      <c r="C624">
        <v>605</v>
      </c>
      <c r="D624" s="7">
        <v>3163.8561241347584</v>
      </c>
      <c r="E624" s="7"/>
      <c r="F624" s="7">
        <f t="shared" si="20"/>
        <v>255.48928581750863</v>
      </c>
      <c r="G624" s="7"/>
      <c r="H624" s="7"/>
      <c r="I624" s="7"/>
      <c r="J624" s="7">
        <v>0</v>
      </c>
      <c r="K624" s="7"/>
      <c r="L624" s="7">
        <f t="shared" si="21"/>
        <v>0</v>
      </c>
      <c r="M624" s="7"/>
      <c r="N624" s="7"/>
      <c r="O624" s="7"/>
    </row>
    <row r="625" spans="3:15" x14ac:dyDescent="0.2">
      <c r="C625">
        <v>606</v>
      </c>
      <c r="D625" s="7">
        <v>3367.0395449507519</v>
      </c>
      <c r="E625" s="7"/>
      <c r="F625" s="7">
        <f t="shared" si="20"/>
        <v>271.89685463147708</v>
      </c>
      <c r="G625" s="7"/>
      <c r="H625" s="7"/>
      <c r="I625" s="7"/>
      <c r="J625" s="7">
        <v>0</v>
      </c>
      <c r="K625" s="7"/>
      <c r="L625" s="7">
        <f t="shared" si="21"/>
        <v>0</v>
      </c>
      <c r="M625" s="7"/>
      <c r="N625" s="7"/>
      <c r="O625" s="7"/>
    </row>
    <row r="626" spans="3:15" x14ac:dyDescent="0.2">
      <c r="C626">
        <v>607</v>
      </c>
      <c r="D626" s="7">
        <v>3535.4216089178767</v>
      </c>
      <c r="E626" s="7"/>
      <c r="F626" s="7">
        <f t="shared" si="20"/>
        <v>285.49412694081877</v>
      </c>
      <c r="G626" s="7"/>
      <c r="H626" s="7"/>
      <c r="I626" s="7"/>
      <c r="J626" s="7">
        <v>34.801356848868636</v>
      </c>
      <c r="K626" s="7"/>
      <c r="L626" s="7">
        <f t="shared" si="21"/>
        <v>2.2541627278194558</v>
      </c>
      <c r="M626" s="7"/>
      <c r="N626" s="7"/>
      <c r="O626" s="7"/>
    </row>
    <row r="627" spans="3:15" x14ac:dyDescent="0.2">
      <c r="C627">
        <v>608</v>
      </c>
      <c r="D627" s="7">
        <v>3540.1005222986496</v>
      </c>
      <c r="E627" s="7"/>
      <c r="F627" s="7">
        <f t="shared" si="20"/>
        <v>285.87196088495318</v>
      </c>
      <c r="G627" s="7"/>
      <c r="H627" s="7"/>
      <c r="I627" s="7"/>
      <c r="J627" s="7">
        <v>233.30586428408969</v>
      </c>
      <c r="K627" s="7"/>
      <c r="L627" s="7">
        <f t="shared" si="21"/>
        <v>15.11174939916161</v>
      </c>
      <c r="M627" s="7"/>
      <c r="N627" s="7"/>
      <c r="O627" s="7"/>
    </row>
    <row r="628" spans="3:15" x14ac:dyDescent="0.2">
      <c r="C628">
        <v>609</v>
      </c>
      <c r="D628" s="7">
        <v>3544.7738477010466</v>
      </c>
      <c r="E628" s="7"/>
      <c r="F628" s="7">
        <f t="shared" si="20"/>
        <v>286.24934358587416</v>
      </c>
      <c r="G628" s="7"/>
      <c r="H628" s="7"/>
      <c r="I628" s="7"/>
      <c r="J628" s="7">
        <v>431.81595969768659</v>
      </c>
      <c r="K628" s="7"/>
      <c r="L628" s="7">
        <f t="shared" si="21"/>
        <v>27.969698016523093</v>
      </c>
      <c r="M628" s="7"/>
      <c r="N628" s="7"/>
      <c r="O628" s="7"/>
    </row>
    <row r="629" spans="3:15" x14ac:dyDescent="0.2">
      <c r="C629">
        <v>610</v>
      </c>
      <c r="D629" s="7">
        <v>3549.4409109515059</v>
      </c>
      <c r="E629" s="7"/>
      <c r="F629" s="7">
        <f t="shared" si="20"/>
        <v>286.62622060238232</v>
      </c>
      <c r="G629" s="7"/>
      <c r="H629" s="7"/>
      <c r="I629" s="7"/>
      <c r="J629" s="7">
        <v>630.33231726322038</v>
      </c>
      <c r="K629" s="7"/>
      <c r="L629" s="7">
        <f t="shared" si="21"/>
        <v>40.828052247652842</v>
      </c>
      <c r="M629" s="7"/>
      <c r="N629" s="7"/>
      <c r="O629" s="7"/>
    </row>
    <row r="630" spans="3:15" x14ac:dyDescent="0.2">
      <c r="C630">
        <v>611</v>
      </c>
      <c r="D630" s="7">
        <v>3554.1010411709717</v>
      </c>
      <c r="E630" s="7"/>
      <c r="F630" s="7">
        <f t="shared" si="20"/>
        <v>287.00253775931799</v>
      </c>
      <c r="G630" s="7"/>
      <c r="H630" s="7"/>
      <c r="I630" s="7"/>
      <c r="J630" s="7">
        <v>828.85560785974803</v>
      </c>
      <c r="K630" s="7"/>
      <c r="L630" s="7">
        <f t="shared" si="21"/>
        <v>53.686855546907282</v>
      </c>
      <c r="M630" s="7"/>
      <c r="N630" s="7"/>
      <c r="O630" s="7"/>
    </row>
    <row r="631" spans="3:15" x14ac:dyDescent="0.2">
      <c r="C631">
        <v>612</v>
      </c>
      <c r="D631" s="7">
        <v>3558.7535708231239</v>
      </c>
      <c r="E631" s="7"/>
      <c r="F631" s="7">
        <f t="shared" si="20"/>
        <v>287.37824115145571</v>
      </c>
      <c r="G631" s="7"/>
      <c r="H631" s="7"/>
      <c r="I631" s="7"/>
      <c r="J631" s="7">
        <v>1027.3864990235902</v>
      </c>
      <c r="K631" s="7"/>
      <c r="L631" s="7">
        <f t="shared" si="21"/>
        <v>66.546151152126271</v>
      </c>
      <c r="M631" s="7"/>
      <c r="N631" s="7"/>
      <c r="O631" s="7"/>
    </row>
    <row r="632" spans="3:15" x14ac:dyDescent="0.2">
      <c r="C632">
        <v>613</v>
      </c>
      <c r="D632" s="7">
        <v>3563.3978357622682</v>
      </c>
      <c r="E632" s="7"/>
      <c r="F632" s="7">
        <f t="shared" si="20"/>
        <v>287.75327714737153</v>
      </c>
      <c r="G632" s="7"/>
      <c r="H632" s="7"/>
      <c r="I632" s="7"/>
      <c r="J632" s="7">
        <v>1225.9256549004403</v>
      </c>
      <c r="K632" s="7"/>
      <c r="L632" s="7">
        <f t="shared" si="21"/>
        <v>79.405982081531022</v>
      </c>
      <c r="M632" s="7"/>
      <c r="N632" s="7"/>
      <c r="O632" s="7"/>
    </row>
    <row r="633" spans="3:15" x14ac:dyDescent="0.2">
      <c r="C633">
        <v>614</v>
      </c>
      <c r="D633" s="7">
        <v>3568.0333240973177</v>
      </c>
      <c r="E633" s="7"/>
      <c r="F633" s="7">
        <f t="shared" si="20"/>
        <v>288.1276044105814</v>
      </c>
      <c r="G633" s="7"/>
      <c r="H633" s="7"/>
      <c r="I633" s="7"/>
      <c r="J633" s="7">
        <v>1130.0649572194334</v>
      </c>
      <c r="K633" s="7"/>
      <c r="L633" s="7">
        <f t="shared" si="21"/>
        <v>73.196867514139669</v>
      </c>
      <c r="M633" s="7"/>
      <c r="N633" s="7"/>
      <c r="O633" s="7"/>
    </row>
    <row r="634" spans="3:15" x14ac:dyDescent="0.2">
      <c r="C634">
        <v>615</v>
      </c>
      <c r="D634" s="7">
        <v>3572.6601208572083</v>
      </c>
      <c r="E634" s="7"/>
      <c r="F634" s="7">
        <f t="shared" si="20"/>
        <v>288.50122980738433</v>
      </c>
      <c r="G634" s="7"/>
      <c r="H634" s="7"/>
      <c r="I634" s="7"/>
      <c r="J634" s="7">
        <v>1034.2129511135872</v>
      </c>
      <c r="K634" s="7"/>
      <c r="L634" s="7">
        <f t="shared" si="21"/>
        <v>66.988315919762812</v>
      </c>
      <c r="M634" s="7"/>
      <c r="N634" s="7"/>
      <c r="O634" s="7"/>
    </row>
    <row r="635" spans="3:15" x14ac:dyDescent="0.2">
      <c r="C635">
        <v>616</v>
      </c>
      <c r="D635" s="7">
        <v>3577.2784583582188</v>
      </c>
      <c r="E635" s="7"/>
      <c r="F635" s="7">
        <f t="shared" si="20"/>
        <v>288.87417209790021</v>
      </c>
      <c r="G635" s="7"/>
      <c r="H635" s="7"/>
      <c r="I635" s="7"/>
      <c r="J635" s="7">
        <v>938.36940426662022</v>
      </c>
      <c r="K635" s="7"/>
      <c r="L635" s="7">
        <f t="shared" si="21"/>
        <v>60.780312250748558</v>
      </c>
      <c r="M635" s="7"/>
      <c r="N635" s="7"/>
      <c r="O635" s="7"/>
    </row>
    <row r="636" spans="3:15" x14ac:dyDescent="0.2">
      <c r="C636">
        <v>617</v>
      </c>
      <c r="D636" s="7">
        <v>3581.8885669221036</v>
      </c>
      <c r="E636" s="7"/>
      <c r="F636" s="7">
        <f t="shared" si="20"/>
        <v>289.24644988118598</v>
      </c>
      <c r="G636" s="7"/>
      <c r="H636" s="7"/>
      <c r="I636" s="7"/>
      <c r="J636" s="7">
        <v>842.53408635677897</v>
      </c>
      <c r="K636" s="7"/>
      <c r="L636" s="7">
        <f t="shared" si="21"/>
        <v>54.572841588635121</v>
      </c>
      <c r="M636" s="7"/>
      <c r="N636" s="7"/>
      <c r="O636" s="7"/>
    </row>
    <row r="637" spans="3:15" x14ac:dyDescent="0.2">
      <c r="C637">
        <v>618</v>
      </c>
      <c r="D637" s="7">
        <v>3586.490674865754</v>
      </c>
      <c r="E637" s="7"/>
      <c r="F637" s="7">
        <f t="shared" si="20"/>
        <v>289.61808159440113</v>
      </c>
      <c r="G637" s="7"/>
      <c r="H637" s="7"/>
      <c r="I637" s="7"/>
      <c r="J637" s="7">
        <v>746.70676906717199</v>
      </c>
      <c r="K637" s="7"/>
      <c r="L637" s="7">
        <f t="shared" si="21"/>
        <v>48.36588914482018</v>
      </c>
      <c r="M637" s="7"/>
      <c r="N637" s="7"/>
      <c r="O637" s="7"/>
    </row>
    <row r="638" spans="3:15" x14ac:dyDescent="0.2">
      <c r="C638">
        <v>619</v>
      </c>
      <c r="D638" s="7">
        <v>3591.085008491033</v>
      </c>
      <c r="E638" s="7"/>
      <c r="F638" s="7">
        <f t="shared" si="20"/>
        <v>289.98908551198627</v>
      </c>
      <c r="G638" s="7"/>
      <c r="H638" s="7"/>
      <c r="I638" s="7"/>
      <c r="J638" s="7">
        <v>650.88722609593651</v>
      </c>
      <c r="K638" s="7"/>
      <c r="L638" s="7">
        <f t="shared" si="21"/>
        <v>42.15944026121938</v>
      </c>
      <c r="M638" s="7"/>
      <c r="N638" s="7"/>
      <c r="O638" s="7"/>
    </row>
    <row r="639" spans="3:15" x14ac:dyDescent="0.2">
      <c r="C639">
        <v>620</v>
      </c>
      <c r="D639" s="7">
        <v>3595.6717920747533</v>
      </c>
      <c r="E639" s="7"/>
      <c r="F639" s="7">
        <f t="shared" si="20"/>
        <v>290.35947974485447</v>
      </c>
      <c r="G639" s="7"/>
      <c r="H639" s="7"/>
      <c r="I639" s="7"/>
      <c r="J639" s="7">
        <v>555.07523316625975</v>
      </c>
      <c r="K639" s="7"/>
      <c r="L639" s="7">
        <f t="shared" si="21"/>
        <v>35.953480410915446</v>
      </c>
      <c r="M639" s="7"/>
      <c r="N639" s="7"/>
      <c r="O639" s="7"/>
    </row>
    <row r="640" spans="3:15" x14ac:dyDescent="0.2">
      <c r="C640">
        <v>621</v>
      </c>
      <c r="D640" s="7">
        <v>3600.2510403542469</v>
      </c>
      <c r="E640" s="7"/>
      <c r="F640" s="7">
        <f t="shared" si="20"/>
        <v>290.72926548308203</v>
      </c>
      <c r="G640" s="7"/>
      <c r="H640" s="7"/>
      <c r="I640" s="7"/>
      <c r="J640" s="7">
        <v>869.78421759761341</v>
      </c>
      <c r="K640" s="7"/>
      <c r="L640" s="7">
        <f t="shared" si="21"/>
        <v>56.33789432603362</v>
      </c>
      <c r="M640" s="7"/>
      <c r="N640" s="7"/>
      <c r="O640" s="7"/>
    </row>
    <row r="641" spans="3:15" x14ac:dyDescent="0.2">
      <c r="C641">
        <v>622</v>
      </c>
      <c r="D641" s="7">
        <v>3604.8223420382851</v>
      </c>
      <c r="E641" s="7"/>
      <c r="F641" s="7">
        <f t="shared" si="20"/>
        <v>291.09840951387469</v>
      </c>
      <c r="G641" s="7"/>
      <c r="H641" s="7"/>
      <c r="I641" s="7"/>
      <c r="J641" s="7">
        <v>386.28056684730382</v>
      </c>
      <c r="K641" s="7"/>
      <c r="L641" s="7">
        <f t="shared" si="21"/>
        <v>25.020267458234784</v>
      </c>
      <c r="M641" s="7"/>
      <c r="N641" s="7"/>
      <c r="O641" s="7"/>
    </row>
    <row r="642" spans="3:15" x14ac:dyDescent="0.2">
      <c r="C642">
        <v>623</v>
      </c>
      <c r="D642" s="7">
        <v>3512.1705598193189</v>
      </c>
      <c r="E642" s="7"/>
      <c r="F642" s="7">
        <f t="shared" si="20"/>
        <v>283.61654664145453</v>
      </c>
      <c r="G642" s="7"/>
      <c r="H642" s="7"/>
      <c r="I642" s="7"/>
      <c r="J642" s="7">
        <v>0</v>
      </c>
      <c r="K642" s="7"/>
      <c r="L642" s="7">
        <f t="shared" si="21"/>
        <v>0</v>
      </c>
      <c r="M642" s="7"/>
      <c r="N642" s="7"/>
      <c r="O642" s="7"/>
    </row>
    <row r="643" spans="3:15" x14ac:dyDescent="0.2">
      <c r="C643">
        <v>624</v>
      </c>
      <c r="D643" s="7">
        <v>3033.238210753048</v>
      </c>
      <c r="E643" s="7"/>
      <c r="F643" s="7">
        <f t="shared" si="20"/>
        <v>244.9415630085289</v>
      </c>
      <c r="G643" s="7"/>
      <c r="H643" s="7"/>
      <c r="I643" s="7"/>
      <c r="J643" s="7">
        <v>0</v>
      </c>
      <c r="K643" s="7"/>
      <c r="L643" s="7">
        <f t="shared" si="21"/>
        <v>0</v>
      </c>
      <c r="M643" s="7"/>
      <c r="N643" s="7"/>
      <c r="O643" s="7"/>
    </row>
    <row r="644" spans="3:15" x14ac:dyDescent="0.2">
      <c r="C644">
        <v>625</v>
      </c>
      <c r="D644" s="7">
        <v>2554.3058616867775</v>
      </c>
      <c r="E644" s="7"/>
      <c r="F644" s="7">
        <f t="shared" si="20"/>
        <v>206.2665793756033</v>
      </c>
      <c r="G644" s="7"/>
      <c r="H644" s="7"/>
      <c r="I644" s="7"/>
      <c r="J644" s="7">
        <v>0</v>
      </c>
      <c r="K644" s="7"/>
      <c r="L644" s="7">
        <f t="shared" si="21"/>
        <v>0</v>
      </c>
      <c r="M644" s="7"/>
      <c r="N644" s="7"/>
      <c r="O644" s="7"/>
    </row>
    <row r="645" spans="3:15" x14ac:dyDescent="0.2">
      <c r="C645">
        <v>626</v>
      </c>
      <c r="D645" s="7">
        <v>2554.3058616867775</v>
      </c>
      <c r="E645" s="7"/>
      <c r="F645" s="7">
        <f t="shared" si="20"/>
        <v>206.2665793756033</v>
      </c>
      <c r="G645" s="7"/>
      <c r="H645" s="7"/>
      <c r="I645" s="7"/>
      <c r="J645" s="7">
        <v>0</v>
      </c>
      <c r="K645" s="7"/>
      <c r="L645" s="7">
        <f t="shared" si="21"/>
        <v>0</v>
      </c>
      <c r="M645" s="7"/>
      <c r="N645" s="7"/>
      <c r="O645" s="7"/>
    </row>
    <row r="646" spans="3:15" x14ac:dyDescent="0.2">
      <c r="C646">
        <v>627</v>
      </c>
      <c r="D646" s="7">
        <v>2736.7562803786905</v>
      </c>
      <c r="E646" s="7"/>
      <c r="F646" s="7">
        <f t="shared" si="20"/>
        <v>220.9999064738607</v>
      </c>
      <c r="G646" s="7"/>
      <c r="H646" s="7"/>
      <c r="I646" s="7"/>
      <c r="J646" s="7">
        <v>0</v>
      </c>
      <c r="K646" s="7"/>
      <c r="L646" s="7">
        <f t="shared" si="21"/>
        <v>0</v>
      </c>
      <c r="M646" s="7"/>
      <c r="N646" s="7"/>
      <c r="O646" s="7"/>
    </row>
    <row r="647" spans="3:15" x14ac:dyDescent="0.2">
      <c r="C647">
        <v>628</v>
      </c>
      <c r="D647" s="7">
        <v>2919.2066990706026</v>
      </c>
      <c r="E647" s="7"/>
      <c r="F647" s="7">
        <f t="shared" si="20"/>
        <v>235.73323357211805</v>
      </c>
      <c r="G647" s="7"/>
      <c r="H647" s="7"/>
      <c r="I647" s="7"/>
      <c r="J647" s="7">
        <v>0</v>
      </c>
      <c r="K647" s="7"/>
      <c r="L647" s="7">
        <f t="shared" si="21"/>
        <v>0</v>
      </c>
      <c r="M647" s="7"/>
      <c r="N647" s="7"/>
      <c r="O647" s="7"/>
    </row>
    <row r="648" spans="3:15" x14ac:dyDescent="0.2">
      <c r="C648">
        <v>629</v>
      </c>
      <c r="D648" s="7">
        <v>3101.6571177625156</v>
      </c>
      <c r="E648" s="7"/>
      <c r="F648" s="7">
        <f t="shared" si="20"/>
        <v>250.46656067037546</v>
      </c>
      <c r="G648" s="7"/>
      <c r="H648" s="7"/>
      <c r="I648" s="7"/>
      <c r="J648" s="7">
        <v>0</v>
      </c>
      <c r="K648" s="7"/>
      <c r="L648" s="7">
        <f t="shared" si="21"/>
        <v>0</v>
      </c>
      <c r="M648" s="7"/>
      <c r="N648" s="7"/>
      <c r="O648" s="7"/>
    </row>
    <row r="649" spans="3:15" x14ac:dyDescent="0.2">
      <c r="C649">
        <v>630</v>
      </c>
      <c r="D649" s="7">
        <v>3284.1075364544286</v>
      </c>
      <c r="E649" s="7"/>
      <c r="F649" s="7">
        <f t="shared" si="20"/>
        <v>265.19988776863283</v>
      </c>
      <c r="G649" s="7"/>
      <c r="H649" s="7"/>
      <c r="I649" s="7"/>
      <c r="J649" s="7">
        <v>0</v>
      </c>
      <c r="K649" s="7"/>
      <c r="L649" s="7">
        <f t="shared" si="21"/>
        <v>0</v>
      </c>
      <c r="M649" s="7"/>
      <c r="N649" s="7"/>
      <c r="O649" s="7"/>
    </row>
    <row r="650" spans="3:15" x14ac:dyDescent="0.2">
      <c r="C650">
        <v>631</v>
      </c>
      <c r="D650" s="7">
        <v>3466.5579551463411</v>
      </c>
      <c r="E650" s="7"/>
      <c r="F650" s="7">
        <f t="shared" si="20"/>
        <v>279.93321486689024</v>
      </c>
      <c r="G650" s="7"/>
      <c r="H650" s="7"/>
      <c r="I650" s="7"/>
      <c r="J650" s="7">
        <v>0</v>
      </c>
      <c r="K650" s="7"/>
      <c r="L650" s="7">
        <f t="shared" si="21"/>
        <v>0</v>
      </c>
      <c r="M650" s="7"/>
      <c r="N650" s="7"/>
      <c r="O650" s="7"/>
    </row>
    <row r="651" spans="3:15" x14ac:dyDescent="0.2">
      <c r="C651">
        <v>632</v>
      </c>
      <c r="D651" s="7">
        <v>3608.3644152649172</v>
      </c>
      <c r="E651" s="7"/>
      <c r="F651" s="7">
        <f t="shared" si="20"/>
        <v>291.38444077556272</v>
      </c>
      <c r="G651" s="7"/>
      <c r="H651" s="7"/>
      <c r="I651" s="7"/>
      <c r="J651" s="7">
        <v>40.643958573336477</v>
      </c>
      <c r="K651" s="7"/>
      <c r="L651" s="7">
        <f t="shared" si="21"/>
        <v>2.6326012783042265</v>
      </c>
      <c r="M651" s="7"/>
      <c r="N651" s="7"/>
      <c r="O651" s="7"/>
    </row>
    <row r="652" spans="3:15" x14ac:dyDescent="0.2">
      <c r="C652">
        <v>633</v>
      </c>
      <c r="D652" s="7">
        <v>3608.8739256143131</v>
      </c>
      <c r="E652" s="7"/>
      <c r="F652" s="7">
        <f t="shared" si="20"/>
        <v>291.42558500911076</v>
      </c>
      <c r="G652" s="7"/>
      <c r="H652" s="7"/>
      <c r="I652" s="7"/>
      <c r="J652" s="7">
        <v>222.58486691585358</v>
      </c>
      <c r="K652" s="7"/>
      <c r="L652" s="7">
        <f t="shared" si="21"/>
        <v>14.417326110510038</v>
      </c>
      <c r="M652" s="7"/>
      <c r="N652" s="7"/>
      <c r="O652" s="7"/>
    </row>
    <row r="653" spans="3:15" x14ac:dyDescent="0.2">
      <c r="C653">
        <v>634</v>
      </c>
      <c r="D653" s="7">
        <v>3606.9224319180494</v>
      </c>
      <c r="E653" s="7"/>
      <c r="F653" s="7">
        <f t="shared" si="20"/>
        <v>291.26799701800951</v>
      </c>
      <c r="G653" s="7"/>
      <c r="H653" s="7"/>
      <c r="I653" s="7"/>
      <c r="J653" s="7">
        <v>406.98677930402982</v>
      </c>
      <c r="K653" s="7"/>
      <c r="L653" s="7">
        <f t="shared" si="21"/>
        <v>26.361455750316562</v>
      </c>
      <c r="M653" s="7"/>
      <c r="N653" s="7"/>
      <c r="O653" s="7"/>
    </row>
    <row r="654" spans="3:15" x14ac:dyDescent="0.2">
      <c r="C654">
        <v>635</v>
      </c>
      <c r="D654" s="7">
        <v>3604.985621273333</v>
      </c>
      <c r="E654" s="7"/>
      <c r="F654" s="7">
        <f t="shared" si="20"/>
        <v>291.11159472000116</v>
      </c>
      <c r="G654" s="7"/>
      <c r="H654" s="7"/>
      <c r="I654" s="7"/>
      <c r="J654" s="7">
        <v>591.37400864065876</v>
      </c>
      <c r="K654" s="7"/>
      <c r="L654" s="7">
        <f t="shared" si="21"/>
        <v>38.304634335608966</v>
      </c>
      <c r="M654" s="7"/>
      <c r="N654" s="7"/>
      <c r="O654" s="7"/>
    </row>
    <row r="655" spans="3:15" x14ac:dyDescent="0.2">
      <c r="C655">
        <v>636</v>
      </c>
      <c r="D655" s="7">
        <v>3603.0634386019287</v>
      </c>
      <c r="E655" s="7"/>
      <c r="F655" s="7">
        <f t="shared" si="20"/>
        <v>290.95637366738072</v>
      </c>
      <c r="G655" s="7"/>
      <c r="H655" s="7"/>
      <c r="I655" s="7"/>
      <c r="J655" s="7">
        <v>775.746610003976</v>
      </c>
      <c r="K655" s="7"/>
      <c r="L655" s="7">
        <f t="shared" si="21"/>
        <v>50.246865433929358</v>
      </c>
      <c r="M655" s="7"/>
      <c r="N655" s="7"/>
      <c r="O655" s="7"/>
    </row>
    <row r="656" spans="3:15" x14ac:dyDescent="0.2">
      <c r="C656">
        <v>637</v>
      </c>
      <c r="D656" s="7">
        <v>3601.1558289856621</v>
      </c>
      <c r="E656" s="7"/>
      <c r="F656" s="7">
        <f t="shared" si="20"/>
        <v>290.80232942536833</v>
      </c>
      <c r="G656" s="7"/>
      <c r="H656" s="7"/>
      <c r="I656" s="7"/>
      <c r="J656" s="7">
        <v>868.87942896619825</v>
      </c>
      <c r="K656" s="7"/>
      <c r="L656" s="7">
        <f t="shared" si="21"/>
        <v>56.279289116519863</v>
      </c>
      <c r="M656" s="7"/>
      <c r="N656" s="7"/>
      <c r="O656" s="7"/>
    </row>
    <row r="657" spans="3:15" x14ac:dyDescent="0.2">
      <c r="C657">
        <v>638</v>
      </c>
      <c r="D657" s="7">
        <v>3599.262737666048</v>
      </c>
      <c r="E657" s="7"/>
      <c r="F657" s="7">
        <f t="shared" si="20"/>
        <v>290.64945757207954</v>
      </c>
      <c r="G657" s="7"/>
      <c r="H657" s="7"/>
      <c r="I657" s="7"/>
      <c r="J657" s="7">
        <v>870.77252028581233</v>
      </c>
      <c r="K657" s="7"/>
      <c r="L657" s="7">
        <f t="shared" si="21"/>
        <v>56.401908930211739</v>
      </c>
      <c r="M657" s="7"/>
      <c r="N657" s="7"/>
      <c r="O657" s="7"/>
    </row>
    <row r="658" spans="3:15" x14ac:dyDescent="0.2">
      <c r="C658">
        <v>639</v>
      </c>
      <c r="D658" s="7">
        <v>3597.3841100438958</v>
      </c>
      <c r="E658" s="7"/>
      <c r="F658" s="7">
        <f t="shared" si="20"/>
        <v>290.49775369849334</v>
      </c>
      <c r="G658" s="7"/>
      <c r="H658" s="7"/>
      <c r="I658" s="7"/>
      <c r="J658" s="7">
        <v>1328.7771946377461</v>
      </c>
      <c r="K658" s="7"/>
      <c r="L658" s="7">
        <f t="shared" si="21"/>
        <v>86.067909327112346</v>
      </c>
      <c r="M658" s="7"/>
      <c r="N658" s="7"/>
      <c r="O658" s="7"/>
    </row>
    <row r="659" spans="3:15" x14ac:dyDescent="0.2">
      <c r="C659">
        <v>640</v>
      </c>
      <c r="D659" s="7">
        <v>3598.0094211014639</v>
      </c>
      <c r="E659" s="7"/>
      <c r="F659" s="7">
        <f t="shared" si="20"/>
        <v>290.54824912851404</v>
      </c>
      <c r="G659" s="7"/>
      <c r="H659" s="7"/>
      <c r="I659" s="7"/>
      <c r="J659" s="7">
        <v>1510.602302272091</v>
      </c>
      <c r="K659" s="7"/>
      <c r="L659" s="7">
        <f t="shared" si="21"/>
        <v>97.845133485095872</v>
      </c>
      <c r="M659" s="7"/>
      <c r="N659" s="7"/>
      <c r="O659" s="7"/>
    </row>
    <row r="660" spans="3:15" x14ac:dyDescent="0.2">
      <c r="C660">
        <v>641</v>
      </c>
      <c r="D660" s="7">
        <v>3602.803454220752</v>
      </c>
      <c r="E660" s="7"/>
      <c r="F660" s="7">
        <f t="shared" si="20"/>
        <v>290.93537927912018</v>
      </c>
      <c r="G660" s="7"/>
      <c r="H660" s="7"/>
      <c r="I660" s="7"/>
      <c r="J660" s="7">
        <v>1250.3776829841249</v>
      </c>
      <c r="K660" s="7"/>
      <c r="L660" s="7">
        <f t="shared" si="21"/>
        <v>80.989795338157776</v>
      </c>
      <c r="M660" s="7"/>
      <c r="N660" s="7"/>
      <c r="O660" s="7"/>
    </row>
    <row r="661" spans="3:15" x14ac:dyDescent="0.2">
      <c r="C661">
        <v>642</v>
      </c>
      <c r="D661" s="7">
        <v>3607.5854434002808</v>
      </c>
      <c r="E661" s="7"/>
      <c r="F661" s="7">
        <f t="shared" ref="F661:F691" si="22">D661*(1-($C$2/($D$8-$D$6)*LN($D$8/$D$6)))</f>
        <v>291.32153685150314</v>
      </c>
      <c r="G661" s="7"/>
      <c r="H661" s="7"/>
      <c r="I661" s="7"/>
      <c r="J661" s="7">
        <v>990.16510763591805</v>
      </c>
      <c r="K661" s="7"/>
      <c r="L661" s="7">
        <f t="shared" ref="L661:L691" si="23">J661*(1-$C$2/($D$10-$D$9)*LN($D$10/$D$9))</f>
        <v>64.135237304484193</v>
      </c>
      <c r="M661" s="7"/>
      <c r="N661" s="7"/>
      <c r="O661" s="7"/>
    </row>
    <row r="662" spans="3:15" x14ac:dyDescent="0.2">
      <c r="C662">
        <v>643</v>
      </c>
      <c r="D662" s="7">
        <v>3612.3560576265172</v>
      </c>
      <c r="E662" s="7"/>
      <c r="F662" s="7">
        <f t="shared" si="22"/>
        <v>291.70677586799144</v>
      </c>
      <c r="G662" s="7"/>
      <c r="H662" s="7"/>
      <c r="I662" s="7"/>
      <c r="J662" s="7">
        <v>857.67920032534312</v>
      </c>
      <c r="K662" s="7"/>
      <c r="L662" s="7">
        <f t="shared" si="23"/>
        <v>55.553824932611406</v>
      </c>
      <c r="M662" s="7"/>
      <c r="N662" s="7"/>
      <c r="O662" s="7"/>
    </row>
    <row r="663" spans="3:15" x14ac:dyDescent="0.2">
      <c r="C663">
        <v>644</v>
      </c>
      <c r="D663" s="7">
        <v>3617.1158327248804</v>
      </c>
      <c r="E663" s="7"/>
      <c r="F663" s="7">
        <f t="shared" si="22"/>
        <v>292.0911395978261</v>
      </c>
      <c r="G663" s="7"/>
      <c r="H663" s="7"/>
      <c r="I663" s="7"/>
      <c r="J663" s="7">
        <v>469.77354597396243</v>
      </c>
      <c r="K663" s="7"/>
      <c r="L663" s="7">
        <f t="shared" si="23"/>
        <v>30.428296874997024</v>
      </c>
      <c r="M663" s="7"/>
      <c r="N663" s="7"/>
      <c r="O663" s="7"/>
    </row>
    <row r="664" spans="3:15" x14ac:dyDescent="0.2">
      <c r="C664">
        <v>645</v>
      </c>
      <c r="D664" s="7">
        <v>3621.8656875856345</v>
      </c>
      <c r="E664" s="7"/>
      <c r="F664" s="7">
        <f t="shared" si="22"/>
        <v>292.47470224369158</v>
      </c>
      <c r="G664" s="7"/>
      <c r="H664" s="7"/>
      <c r="I664" s="7"/>
      <c r="J664" s="7">
        <v>209.59310494453075</v>
      </c>
      <c r="K664" s="7"/>
      <c r="L664" s="7">
        <f t="shared" si="23"/>
        <v>13.575820253952889</v>
      </c>
      <c r="M664" s="7"/>
      <c r="N664" s="7"/>
      <c r="O664" s="7"/>
    </row>
    <row r="665" spans="3:15" x14ac:dyDescent="0.2">
      <c r="C665">
        <v>646</v>
      </c>
      <c r="D665" s="7">
        <v>3576.0282063614877</v>
      </c>
      <c r="E665" s="7"/>
      <c r="F665" s="7">
        <f t="shared" si="22"/>
        <v>288.77321112584457</v>
      </c>
      <c r="G665" s="7"/>
      <c r="H665" s="7"/>
      <c r="I665" s="7"/>
      <c r="J665" s="7">
        <v>0</v>
      </c>
      <c r="K665" s="7"/>
      <c r="L665" s="7">
        <f t="shared" si="23"/>
        <v>0</v>
      </c>
      <c r="M665" s="7"/>
      <c r="N665" s="7"/>
      <c r="O665" s="7"/>
    </row>
    <row r="666" spans="3:15" x14ac:dyDescent="0.2">
      <c r="C666">
        <v>647</v>
      </c>
      <c r="D666" s="7">
        <v>2873.5940943976243</v>
      </c>
      <c r="E666" s="7"/>
      <c r="F666" s="7">
        <f t="shared" si="22"/>
        <v>232.0499017975537</v>
      </c>
      <c r="G666" s="7"/>
      <c r="H666" s="7"/>
      <c r="I666" s="7"/>
      <c r="J666" s="7">
        <v>0</v>
      </c>
      <c r="K666" s="7"/>
      <c r="L666" s="7">
        <f t="shared" si="23"/>
        <v>0</v>
      </c>
      <c r="M666" s="7"/>
      <c r="N666" s="7"/>
      <c r="O666" s="7"/>
    </row>
    <row r="667" spans="3:15" x14ac:dyDescent="0.2">
      <c r="C667">
        <v>648</v>
      </c>
      <c r="D667" s="7">
        <v>2713.9499780422011</v>
      </c>
      <c r="E667" s="7"/>
      <c r="F667" s="7">
        <f t="shared" si="22"/>
        <v>219.15824058657853</v>
      </c>
      <c r="G667" s="7"/>
      <c r="H667" s="7"/>
      <c r="I667" s="7"/>
      <c r="J667" s="7">
        <v>0</v>
      </c>
      <c r="K667" s="7"/>
      <c r="L667" s="7">
        <f t="shared" si="23"/>
        <v>0</v>
      </c>
      <c r="M667" s="7"/>
      <c r="N667" s="7"/>
      <c r="O667" s="7"/>
    </row>
    <row r="668" spans="3:15" x14ac:dyDescent="0.2">
      <c r="C668">
        <v>649</v>
      </c>
      <c r="D668" s="7">
        <v>2554.3058616867775</v>
      </c>
      <c r="E668" s="7"/>
      <c r="F668" s="7">
        <f t="shared" si="22"/>
        <v>206.2665793756033</v>
      </c>
      <c r="G668" s="7"/>
      <c r="H668" s="7"/>
      <c r="I668" s="7"/>
      <c r="J668" s="7">
        <v>0</v>
      </c>
      <c r="K668" s="7"/>
      <c r="L668" s="7">
        <f t="shared" si="23"/>
        <v>0</v>
      </c>
      <c r="M668" s="7"/>
      <c r="N668" s="7"/>
      <c r="O668" s="7"/>
    </row>
    <row r="669" spans="3:15" x14ac:dyDescent="0.2">
      <c r="C669">
        <v>650</v>
      </c>
      <c r="D669" s="7">
        <v>2554.3058616867775</v>
      </c>
      <c r="E669" s="7"/>
      <c r="F669" s="7">
        <f t="shared" si="22"/>
        <v>206.2665793756033</v>
      </c>
      <c r="G669" s="7"/>
      <c r="H669" s="7"/>
      <c r="I669" s="7"/>
      <c r="J669" s="7">
        <v>0</v>
      </c>
      <c r="K669" s="7"/>
      <c r="L669" s="7">
        <f t="shared" si="23"/>
        <v>0</v>
      </c>
      <c r="M669" s="7"/>
      <c r="N669" s="7"/>
      <c r="O669" s="7"/>
    </row>
    <row r="670" spans="3:15" x14ac:dyDescent="0.2">
      <c r="C670">
        <v>651</v>
      </c>
      <c r="D670" s="7">
        <v>2713.9499780422016</v>
      </c>
      <c r="E670" s="7"/>
      <c r="F670" s="7">
        <f t="shared" si="22"/>
        <v>219.15824058657856</v>
      </c>
      <c r="G670" s="7"/>
      <c r="H670" s="7"/>
      <c r="I670" s="7"/>
      <c r="J670" s="7">
        <v>0</v>
      </c>
      <c r="K670" s="7"/>
      <c r="L670" s="7">
        <f t="shared" si="23"/>
        <v>0</v>
      </c>
      <c r="M670" s="7"/>
      <c r="N670" s="7"/>
      <c r="O670" s="7"/>
    </row>
    <row r="671" spans="3:15" x14ac:dyDescent="0.2">
      <c r="C671">
        <v>652</v>
      </c>
      <c r="D671" s="7">
        <v>2873.5940943976243</v>
      </c>
      <c r="E671" s="7"/>
      <c r="F671" s="7">
        <f t="shared" si="22"/>
        <v>232.0499017975537</v>
      </c>
      <c r="G671" s="7"/>
      <c r="H671" s="7"/>
      <c r="I671" s="7"/>
      <c r="J671" s="7">
        <v>0</v>
      </c>
      <c r="K671" s="7"/>
      <c r="L671" s="7">
        <f t="shared" si="23"/>
        <v>0</v>
      </c>
      <c r="M671" s="7"/>
      <c r="N671" s="7"/>
      <c r="O671" s="7"/>
    </row>
    <row r="672" spans="3:15" x14ac:dyDescent="0.2">
      <c r="C672">
        <v>653</v>
      </c>
      <c r="D672" s="7">
        <v>3033.238210753048</v>
      </c>
      <c r="E672" s="7"/>
      <c r="F672" s="7">
        <f t="shared" si="22"/>
        <v>244.9415630085289</v>
      </c>
      <c r="G672" s="7"/>
      <c r="H672" s="7"/>
      <c r="I672" s="7"/>
      <c r="J672" s="7">
        <v>0</v>
      </c>
      <c r="K672" s="7"/>
      <c r="L672" s="7">
        <f t="shared" si="23"/>
        <v>0</v>
      </c>
      <c r="M672" s="7"/>
      <c r="N672" s="7"/>
      <c r="O672" s="7"/>
    </row>
    <row r="673" spans="3:15" x14ac:dyDescent="0.2">
      <c r="C673">
        <v>654</v>
      </c>
      <c r="D673" s="7">
        <v>3192.8823271084716</v>
      </c>
      <c r="E673" s="7"/>
      <c r="F673" s="7">
        <f t="shared" si="22"/>
        <v>257.83322421950413</v>
      </c>
      <c r="G673" s="7"/>
      <c r="H673" s="7"/>
      <c r="I673" s="7"/>
      <c r="J673" s="7">
        <v>0</v>
      </c>
      <c r="K673" s="7"/>
      <c r="L673" s="7">
        <f t="shared" si="23"/>
        <v>0</v>
      </c>
      <c r="M673" s="7"/>
      <c r="N673" s="7"/>
      <c r="O673" s="7"/>
    </row>
    <row r="674" spans="3:15" x14ac:dyDescent="0.2">
      <c r="C674">
        <v>655</v>
      </c>
      <c r="D674" s="7">
        <v>3352.5264434638952</v>
      </c>
      <c r="E674" s="7"/>
      <c r="F674" s="7">
        <f t="shared" si="22"/>
        <v>270.72488543047933</v>
      </c>
      <c r="G674" s="7"/>
      <c r="H674" s="7"/>
      <c r="I674" s="7"/>
      <c r="J674" s="7">
        <v>0</v>
      </c>
      <c r="K674" s="7"/>
      <c r="L674" s="7">
        <f t="shared" si="23"/>
        <v>0</v>
      </c>
      <c r="M674" s="7"/>
      <c r="N674" s="7"/>
      <c r="O674" s="7"/>
    </row>
    <row r="675" spans="3:15" x14ac:dyDescent="0.2">
      <c r="C675">
        <v>656</v>
      </c>
      <c r="D675" s="7">
        <v>3512.1705598193189</v>
      </c>
      <c r="E675" s="7"/>
      <c r="F675" s="7">
        <f t="shared" si="22"/>
        <v>283.61654664145453</v>
      </c>
      <c r="G675" s="7"/>
      <c r="H675" s="7"/>
      <c r="I675" s="7"/>
      <c r="J675" s="7">
        <v>0</v>
      </c>
      <c r="K675" s="7"/>
      <c r="L675" s="7">
        <f t="shared" si="23"/>
        <v>0</v>
      </c>
      <c r="M675" s="7"/>
      <c r="N675" s="7"/>
      <c r="O675" s="7"/>
    </row>
    <row r="676" spans="3:15" x14ac:dyDescent="0.2">
      <c r="C676">
        <v>657</v>
      </c>
      <c r="D676" s="7">
        <v>3635.1619928709729</v>
      </c>
      <c r="E676" s="7"/>
      <c r="F676" s="7">
        <f t="shared" si="22"/>
        <v>293.54841211167485</v>
      </c>
      <c r="G676" s="7"/>
      <c r="H676" s="7"/>
      <c r="I676" s="7"/>
      <c r="J676" s="7">
        <v>36.652683303770118</v>
      </c>
      <c r="K676" s="7"/>
      <c r="L676" s="7">
        <f t="shared" si="23"/>
        <v>2.3740773366028982</v>
      </c>
      <c r="M676" s="7"/>
      <c r="N676" s="7"/>
      <c r="O676" s="7"/>
    </row>
    <row r="677" spans="3:15" x14ac:dyDescent="0.2">
      <c r="C677">
        <v>658</v>
      </c>
      <c r="D677" s="7">
        <v>3633.2259912248974</v>
      </c>
      <c r="E677" s="7"/>
      <c r="F677" s="7">
        <f t="shared" si="22"/>
        <v>293.39207514232777</v>
      </c>
      <c r="G677" s="7"/>
      <c r="H677" s="7"/>
      <c r="I677" s="7"/>
      <c r="J677" s="7">
        <v>198.23280130526928</v>
      </c>
      <c r="K677" s="7"/>
      <c r="L677" s="7">
        <f t="shared" si="23"/>
        <v>12.839987649737418</v>
      </c>
      <c r="M677" s="7"/>
      <c r="N677" s="7"/>
      <c r="O677" s="7"/>
    </row>
    <row r="678" spans="3:15" x14ac:dyDescent="0.2">
      <c r="C678">
        <v>659</v>
      </c>
      <c r="D678" s="7">
        <v>3631.3044353497507</v>
      </c>
      <c r="E678" s="7"/>
      <c r="F678" s="7">
        <f t="shared" si="22"/>
        <v>293.23690470507097</v>
      </c>
      <c r="G678" s="7"/>
      <c r="H678" s="7"/>
      <c r="I678" s="7"/>
      <c r="J678" s="7">
        <v>359.79847353583909</v>
      </c>
      <c r="K678" s="7"/>
      <c r="L678" s="7">
        <f t="shared" si="23"/>
        <v>23.304962277561021</v>
      </c>
      <c r="M678" s="7"/>
      <c r="N678" s="7"/>
      <c r="O678" s="7"/>
    </row>
    <row r="679" spans="3:15" x14ac:dyDescent="0.2">
      <c r="C679">
        <v>660</v>
      </c>
      <c r="D679" s="7">
        <v>3629.3972711587785</v>
      </c>
      <c r="E679" s="7"/>
      <c r="F679" s="7">
        <f t="shared" si="22"/>
        <v>293.08289643226385</v>
      </c>
      <c r="G679" s="7"/>
      <c r="H679" s="7"/>
      <c r="I679" s="7"/>
      <c r="J679" s="7">
        <v>521.34975408223545</v>
      </c>
      <c r="K679" s="7"/>
      <c r="L679" s="7">
        <f t="shared" si="23"/>
        <v>33.769004723395419</v>
      </c>
      <c r="M679" s="7"/>
      <c r="N679" s="7"/>
      <c r="O679" s="7"/>
    </row>
    <row r="680" spans="3:15" x14ac:dyDescent="0.2">
      <c r="C680">
        <v>661</v>
      </c>
      <c r="D680" s="7">
        <v>3627.5044447222404</v>
      </c>
      <c r="E680" s="7"/>
      <c r="F680" s="7">
        <f t="shared" si="22"/>
        <v>292.93004596894514</v>
      </c>
      <c r="G680" s="7"/>
      <c r="H680" s="7"/>
      <c r="I680" s="7"/>
      <c r="J680" s="7">
        <v>682.88669687419724</v>
      </c>
      <c r="K680" s="7"/>
      <c r="L680" s="7">
        <f t="shared" si="23"/>
        <v>44.232118480391982</v>
      </c>
      <c r="M680" s="7"/>
      <c r="N680" s="7"/>
      <c r="O680" s="7"/>
    </row>
    <row r="681" spans="3:15" x14ac:dyDescent="0.2">
      <c r="C681">
        <v>662</v>
      </c>
      <c r="D681" s="7">
        <v>3625.625902267032</v>
      </c>
      <c r="E681" s="7"/>
      <c r="F681" s="7">
        <f t="shared" si="22"/>
        <v>292.77834897280241</v>
      </c>
      <c r="G681" s="7"/>
      <c r="H681" s="7"/>
      <c r="I681" s="7"/>
      <c r="J681" s="7">
        <v>844.40935568483019</v>
      </c>
      <c r="K681" s="7"/>
      <c r="L681" s="7">
        <f t="shared" si="23"/>
        <v>54.694307031556598</v>
      </c>
      <c r="M681" s="7"/>
      <c r="N681" s="7"/>
      <c r="O681" s="7"/>
    </row>
    <row r="682" spans="3:15" x14ac:dyDescent="0.2">
      <c r="C682">
        <v>663</v>
      </c>
      <c r="D682" s="7">
        <v>3623.7615901763152</v>
      </c>
      <c r="E682" s="7"/>
      <c r="F682" s="7">
        <f t="shared" si="22"/>
        <v>292.62780111414196</v>
      </c>
      <c r="G682" s="7"/>
      <c r="H682" s="7"/>
      <c r="I682" s="7"/>
      <c r="J682" s="7">
        <v>686.62955142012243</v>
      </c>
      <c r="K682" s="7"/>
      <c r="L682" s="7">
        <f t="shared" si="23"/>
        <v>44.474551649009904</v>
      </c>
      <c r="M682" s="7"/>
      <c r="N682" s="7"/>
      <c r="O682" s="7"/>
    </row>
    <row r="683" spans="3:15" x14ac:dyDescent="0.2">
      <c r="C683">
        <v>664</v>
      </c>
      <c r="D683" s="7">
        <v>3624.4788127282836</v>
      </c>
      <c r="E683" s="7"/>
      <c r="F683" s="7">
        <f t="shared" si="22"/>
        <v>292.68571862694444</v>
      </c>
      <c r="G683" s="7"/>
      <c r="H683" s="7"/>
      <c r="I683" s="7"/>
      <c r="J683" s="7">
        <v>845.5564452235767</v>
      </c>
      <c r="K683" s="7"/>
      <c r="L683" s="7">
        <f t="shared" si="23"/>
        <v>54.768606619786532</v>
      </c>
      <c r="M683" s="7"/>
      <c r="N683" s="7"/>
      <c r="O683" s="7"/>
    </row>
    <row r="684" spans="3:15" x14ac:dyDescent="0.2">
      <c r="C684">
        <v>665</v>
      </c>
      <c r="D684" s="7">
        <v>3629.390138868449</v>
      </c>
      <c r="E684" s="7"/>
      <c r="F684" s="7">
        <f t="shared" si="22"/>
        <v>293.08232048200216</v>
      </c>
      <c r="G684" s="7"/>
      <c r="H684" s="7"/>
      <c r="I684" s="7"/>
      <c r="J684" s="7">
        <v>1479.221584505106</v>
      </c>
      <c r="K684" s="7"/>
      <c r="L684" s="7">
        <f t="shared" si="23"/>
        <v>95.81253330028845</v>
      </c>
      <c r="M684" s="7"/>
      <c r="N684" s="7"/>
      <c r="O684" s="7"/>
    </row>
    <row r="685" spans="3:15" x14ac:dyDescent="0.2">
      <c r="C685">
        <v>666</v>
      </c>
      <c r="D685" s="7">
        <v>3634.2863851849474</v>
      </c>
      <c r="E685" s="7"/>
      <c r="F685" s="7">
        <f t="shared" si="22"/>
        <v>293.47770460362716</v>
      </c>
      <c r="G685" s="7"/>
      <c r="H685" s="7"/>
      <c r="I685" s="7"/>
      <c r="J685" s="7">
        <v>1314.6812218331829</v>
      </c>
      <c r="K685" s="7"/>
      <c r="L685" s="7">
        <f t="shared" si="23"/>
        <v>85.154881233225368</v>
      </c>
      <c r="M685" s="7"/>
      <c r="N685" s="7"/>
      <c r="O685" s="7"/>
    </row>
    <row r="686" spans="3:15" x14ac:dyDescent="0.2">
      <c r="C686">
        <v>667</v>
      </c>
      <c r="D686" s="7">
        <v>3639.167358580487</v>
      </c>
      <c r="E686" s="7"/>
      <c r="F686" s="7">
        <f t="shared" si="22"/>
        <v>293.87185539873059</v>
      </c>
      <c r="G686" s="7"/>
      <c r="H686" s="7"/>
      <c r="I686" s="7"/>
      <c r="J686" s="7">
        <v>1629.0884811484898</v>
      </c>
      <c r="K686" s="7"/>
      <c r="L686" s="7">
        <f t="shared" si="23"/>
        <v>105.51975172899948</v>
      </c>
      <c r="M686" s="7"/>
      <c r="N686" s="7"/>
      <c r="O686" s="7"/>
    </row>
    <row r="687" spans="3:15" x14ac:dyDescent="0.2">
      <c r="C687">
        <v>668</v>
      </c>
      <c r="D687" s="7">
        <v>3644.0326413961752</v>
      </c>
      <c r="E687" s="7"/>
      <c r="F687" s="7">
        <f t="shared" si="22"/>
        <v>294.26473914031362</v>
      </c>
      <c r="G687" s="7"/>
      <c r="H687" s="7"/>
      <c r="I687" s="7"/>
      <c r="J687" s="7">
        <v>1273.006142350871</v>
      </c>
      <c r="K687" s="7"/>
      <c r="L687" s="7">
        <f t="shared" si="23"/>
        <v>82.455491917575884</v>
      </c>
      <c r="M687" s="7"/>
      <c r="N687" s="7"/>
      <c r="O687" s="7"/>
    </row>
    <row r="688" spans="3:15" x14ac:dyDescent="0.2">
      <c r="C688">
        <v>669</v>
      </c>
      <c r="D688" s="7">
        <v>3648.8829307951523</v>
      </c>
      <c r="E688" s="7"/>
      <c r="F688" s="7">
        <f t="shared" si="22"/>
        <v>294.65641212604135</v>
      </c>
      <c r="G688" s="7"/>
      <c r="H688" s="7"/>
      <c r="I688" s="7"/>
      <c r="J688" s="7">
        <v>916.93879696996237</v>
      </c>
      <c r="K688" s="7"/>
      <c r="L688" s="7">
        <f t="shared" si="23"/>
        <v>59.392203263721164</v>
      </c>
      <c r="M688" s="7"/>
      <c r="N688" s="7"/>
      <c r="O688" s="7"/>
    </row>
    <row r="689" spans="3:15" x14ac:dyDescent="0.2">
      <c r="C689">
        <v>670</v>
      </c>
      <c r="D689" s="7">
        <v>3653.7192575299296</v>
      </c>
      <c r="E689" s="7"/>
      <c r="F689" s="7">
        <f t="shared" si="22"/>
        <v>295.04695759175411</v>
      </c>
      <c r="G689" s="7"/>
      <c r="H689" s="7"/>
      <c r="I689" s="7"/>
      <c r="J689" s="7">
        <v>560.88541425325275</v>
      </c>
      <c r="K689" s="7"/>
      <c r="L689" s="7">
        <f t="shared" si="23"/>
        <v>36.329819003259928</v>
      </c>
      <c r="M689" s="7"/>
      <c r="N689" s="7"/>
      <c r="O689" s="7"/>
    </row>
    <row r="690" spans="3:15" x14ac:dyDescent="0.2">
      <c r="C690">
        <v>671</v>
      </c>
      <c r="D690" s="7">
        <v>3654.344148248289</v>
      </c>
      <c r="E690" s="7"/>
      <c r="F690" s="7">
        <f t="shared" si="22"/>
        <v>295.0974190783337</v>
      </c>
      <c r="G690" s="7"/>
      <c r="H690" s="7"/>
      <c r="I690" s="7"/>
      <c r="J690" s="7">
        <v>209.04346755296183</v>
      </c>
      <c r="K690" s="7"/>
      <c r="L690" s="7">
        <f t="shared" si="23"/>
        <v>13.540218994862014</v>
      </c>
      <c r="M690" s="7"/>
      <c r="N690" s="7"/>
      <c r="O690" s="7"/>
    </row>
    <row r="691" spans="3:15" x14ac:dyDescent="0.2">
      <c r="C691">
        <v>672</v>
      </c>
      <c r="D691" s="7">
        <v>3512.1705598193189</v>
      </c>
      <c r="E691" s="7"/>
      <c r="F691" s="7">
        <f t="shared" si="22"/>
        <v>283.61654664145453</v>
      </c>
      <c r="G691" s="7"/>
      <c r="H691" s="7"/>
      <c r="I691" s="7"/>
      <c r="J691">
        <v>0</v>
      </c>
      <c r="K691" s="7"/>
      <c r="L691" s="7">
        <f t="shared" si="23"/>
        <v>0</v>
      </c>
      <c r="M691" s="7"/>
      <c r="N691" s="7"/>
      <c r="O691" s="7"/>
    </row>
    <row r="692" spans="3:15" x14ac:dyDescent="0.2">
      <c r="C692" s="3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</row>
  </sheetData>
  <mergeCells count="11">
    <mergeCell ref="D13:O13"/>
    <mergeCell ref="D14:I14"/>
    <mergeCell ref="J14:O14"/>
    <mergeCell ref="P14:Q14"/>
    <mergeCell ref="R14:S14"/>
    <mergeCell ref="V14:W14"/>
    <mergeCell ref="D15:F15"/>
    <mergeCell ref="G15:I15"/>
    <mergeCell ref="J15:L15"/>
    <mergeCell ref="M15:O15"/>
    <mergeCell ref="T14:U14"/>
  </mergeCells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EBA8-F490-5449-9BED-EB79318515B5}">
  <dimension ref="A2:W693"/>
  <sheetViews>
    <sheetView tabSelected="1" topLeftCell="B4" zoomScale="197" zoomScaleNormal="197" workbookViewId="0">
      <selection activeCell="M20" sqref="M20"/>
    </sheetView>
  </sheetViews>
  <sheetFormatPr baseColWidth="10" defaultRowHeight="16" x14ac:dyDescent="0.2"/>
  <cols>
    <col min="4" max="4" width="13" bestFit="1" customWidth="1"/>
  </cols>
  <sheetData>
    <row r="2" spans="1:23" ht="18" x14ac:dyDescent="0.25">
      <c r="A2" s="4" t="s">
        <v>8</v>
      </c>
      <c r="B2" s="1" t="s">
        <v>7</v>
      </c>
      <c r="C2">
        <f>Winter!C2</f>
        <v>273</v>
      </c>
    </row>
    <row r="3" spans="1:23" ht="18" x14ac:dyDescent="0.25">
      <c r="A3" s="5" t="s">
        <v>9</v>
      </c>
      <c r="B3" s="1" t="s">
        <v>6</v>
      </c>
      <c r="C3">
        <f>Winter!C3</f>
        <v>4.18</v>
      </c>
    </row>
    <row r="4" spans="1:23" ht="18" x14ac:dyDescent="0.25">
      <c r="A4" s="5" t="s">
        <v>30</v>
      </c>
      <c r="B4" s="6" t="s">
        <v>11</v>
      </c>
      <c r="C4">
        <f>Winter!C4</f>
        <v>30</v>
      </c>
    </row>
    <row r="5" spans="1:23" ht="18" x14ac:dyDescent="0.25">
      <c r="A5" s="5" t="s">
        <v>31</v>
      </c>
      <c r="B5" s="6" t="s">
        <v>11</v>
      </c>
      <c r="C5">
        <f>Winter!C5</f>
        <v>5</v>
      </c>
    </row>
    <row r="6" spans="1:23" ht="18" x14ac:dyDescent="0.25">
      <c r="A6" s="5" t="s">
        <v>24</v>
      </c>
      <c r="B6" s="6" t="s">
        <v>11</v>
      </c>
      <c r="C6">
        <f>Winter!C6</f>
        <v>20</v>
      </c>
      <c r="D6" s="5">
        <f>C6+$C$2</f>
        <v>293</v>
      </c>
      <c r="E6" t="s">
        <v>7</v>
      </c>
      <c r="F6" s="8"/>
      <c r="H6" s="3"/>
      <c r="I6" s="3"/>
      <c r="J6" s="3"/>
    </row>
    <row r="7" spans="1:23" ht="18" x14ac:dyDescent="0.25">
      <c r="A7" s="5" t="s">
        <v>25</v>
      </c>
      <c r="B7" s="1" t="s">
        <v>11</v>
      </c>
      <c r="C7">
        <f>Winter!C7</f>
        <v>10</v>
      </c>
      <c r="D7" s="5">
        <f t="shared" ref="D7:D9" si="0">C7+$C$2</f>
        <v>283</v>
      </c>
      <c r="E7" s="8" t="s">
        <v>7</v>
      </c>
      <c r="F7" s="8" t="s">
        <v>34</v>
      </c>
      <c r="G7" s="5"/>
      <c r="H7" s="3"/>
      <c r="I7" s="3"/>
      <c r="J7" s="3"/>
    </row>
    <row r="8" spans="1:23" ht="18" x14ac:dyDescent="0.25">
      <c r="A8" s="5" t="s">
        <v>26</v>
      </c>
      <c r="B8" s="1" t="s">
        <v>11</v>
      </c>
      <c r="C8">
        <f>Winter!C8</f>
        <v>28</v>
      </c>
      <c r="D8" s="5">
        <f t="shared" si="0"/>
        <v>301</v>
      </c>
      <c r="E8" s="8" t="s">
        <v>7</v>
      </c>
      <c r="F8" s="5">
        <f>Winter!F8</f>
        <v>2</v>
      </c>
      <c r="G8" s="8" t="s">
        <v>7</v>
      </c>
      <c r="H8" s="3"/>
      <c r="I8" s="3"/>
      <c r="J8" s="3"/>
    </row>
    <row r="9" spans="1:23" ht="18" x14ac:dyDescent="0.25">
      <c r="A9" s="5" t="s">
        <v>27</v>
      </c>
      <c r="B9" s="1" t="s">
        <v>11</v>
      </c>
      <c r="C9">
        <f>Winter!C9</f>
        <v>10</v>
      </c>
      <c r="D9" s="5">
        <f t="shared" si="0"/>
        <v>283</v>
      </c>
      <c r="E9" s="8" t="s">
        <v>7</v>
      </c>
      <c r="F9" s="5">
        <f>Winter!F9</f>
        <v>5</v>
      </c>
      <c r="G9" s="8" t="s">
        <v>7</v>
      </c>
      <c r="H9" s="3"/>
      <c r="I9" s="3"/>
      <c r="J9" s="3"/>
    </row>
    <row r="10" spans="1:23" ht="18" x14ac:dyDescent="0.25">
      <c r="A10" s="5" t="s">
        <v>28</v>
      </c>
      <c r="B10" s="1" t="s">
        <v>11</v>
      </c>
      <c r="C10">
        <f>Winter!C10</f>
        <v>28</v>
      </c>
      <c r="D10" s="5">
        <f>C10+273</f>
        <v>301</v>
      </c>
      <c r="E10" s="8" t="s">
        <v>7</v>
      </c>
      <c r="F10" s="5">
        <f>Winter!F10</f>
        <v>5</v>
      </c>
      <c r="G10" s="8" t="s">
        <v>7</v>
      </c>
      <c r="H10" s="3"/>
      <c r="I10" s="3"/>
      <c r="J10" s="3"/>
    </row>
    <row r="11" spans="1:23" ht="18" x14ac:dyDescent="0.25">
      <c r="A11" s="5" t="s">
        <v>29</v>
      </c>
      <c r="B11" s="1" t="s">
        <v>11</v>
      </c>
      <c r="C11">
        <f>Winter!C11</f>
        <v>7</v>
      </c>
      <c r="D11" s="5">
        <f>C11+273</f>
        <v>280</v>
      </c>
      <c r="E11" s="8" t="s">
        <v>7</v>
      </c>
      <c r="F11" s="5">
        <f>Winter!F11</f>
        <v>2</v>
      </c>
      <c r="G11" s="8" t="s">
        <v>7</v>
      </c>
      <c r="H11" s="3"/>
      <c r="I11" s="3"/>
      <c r="J11" s="3"/>
    </row>
    <row r="12" spans="1:23" x14ac:dyDescent="0.2">
      <c r="A12" s="5"/>
      <c r="B12" s="1"/>
      <c r="E12" s="5"/>
      <c r="F12" s="5"/>
      <c r="G12" s="5"/>
    </row>
    <row r="13" spans="1:23" x14ac:dyDescent="0.2">
      <c r="D13" s="12" t="s">
        <v>4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23" s="1" customFormat="1" x14ac:dyDescent="0.2">
      <c r="D14" s="14" t="s">
        <v>0</v>
      </c>
      <c r="E14" s="14"/>
      <c r="F14" s="14"/>
      <c r="G14" s="14"/>
      <c r="H14" s="14"/>
      <c r="I14" s="14"/>
      <c r="J14" s="12" t="s">
        <v>1</v>
      </c>
      <c r="K14" s="12"/>
      <c r="L14" s="12"/>
      <c r="M14" s="12"/>
      <c r="N14" s="12"/>
      <c r="O14" s="12"/>
      <c r="P14" s="13"/>
      <c r="Q14" s="13"/>
      <c r="R14" s="13"/>
      <c r="S14" s="13"/>
      <c r="T14" s="13"/>
      <c r="U14" s="13"/>
      <c r="V14" s="13"/>
      <c r="W14" s="13"/>
    </row>
    <row r="15" spans="1:23" s="1" customFormat="1" x14ac:dyDescent="0.2">
      <c r="D15" s="12" t="s">
        <v>32</v>
      </c>
      <c r="E15" s="12"/>
      <c r="F15" s="12"/>
      <c r="G15" s="12" t="s">
        <v>33</v>
      </c>
      <c r="H15" s="12"/>
      <c r="I15" s="12"/>
      <c r="J15" s="12" t="s">
        <v>32</v>
      </c>
      <c r="K15" s="12"/>
      <c r="L15" s="12"/>
      <c r="M15" s="12" t="s">
        <v>33</v>
      </c>
      <c r="N15" s="12"/>
      <c r="O15" s="12"/>
    </row>
    <row r="16" spans="1:23" s="1" customFormat="1" ht="18" x14ac:dyDescent="0.25">
      <c r="D16" s="1" t="s">
        <v>18</v>
      </c>
      <c r="E16" s="2" t="s">
        <v>13</v>
      </c>
      <c r="F16" s="2" t="s">
        <v>17</v>
      </c>
      <c r="G16" s="1" t="s">
        <v>19</v>
      </c>
      <c r="H16" s="2" t="s">
        <v>14</v>
      </c>
      <c r="I16" s="2" t="s">
        <v>20</v>
      </c>
      <c r="J16" s="2" t="s">
        <v>21</v>
      </c>
      <c r="K16" s="2" t="s">
        <v>15</v>
      </c>
      <c r="L16" s="2" t="s">
        <v>22</v>
      </c>
      <c r="M16" s="2" t="s">
        <v>23</v>
      </c>
      <c r="N16" s="2" t="s">
        <v>16</v>
      </c>
      <c r="O16" s="2" t="s">
        <v>20</v>
      </c>
      <c r="P16" s="2"/>
      <c r="Q16" s="2"/>
      <c r="R16" s="2"/>
      <c r="S16" s="2"/>
      <c r="T16" s="2"/>
      <c r="U16" s="2"/>
      <c r="V16" s="2"/>
      <c r="W16" s="2"/>
    </row>
    <row r="17" spans="3:23" x14ac:dyDescent="0.2">
      <c r="D17" s="1" t="s">
        <v>12</v>
      </c>
      <c r="E17" s="6" t="s">
        <v>5</v>
      </c>
      <c r="F17" s="6" t="s">
        <v>12</v>
      </c>
      <c r="G17" s="1" t="s">
        <v>12</v>
      </c>
      <c r="H17" s="6" t="s">
        <v>5</v>
      </c>
      <c r="I17" s="6" t="s">
        <v>12</v>
      </c>
      <c r="J17" s="1" t="s">
        <v>12</v>
      </c>
      <c r="K17" s="6" t="s">
        <v>5</v>
      </c>
      <c r="L17" s="6" t="s">
        <v>12</v>
      </c>
      <c r="M17" s="1" t="s">
        <v>12</v>
      </c>
      <c r="N17" s="6" t="s">
        <v>5</v>
      </c>
      <c r="O17" s="6" t="s">
        <v>12</v>
      </c>
      <c r="P17" s="6"/>
      <c r="Q17" s="6"/>
      <c r="R17" s="6"/>
      <c r="S17" s="6"/>
      <c r="T17" s="6"/>
      <c r="U17" s="6"/>
      <c r="V17" s="6"/>
      <c r="W17" s="6"/>
    </row>
    <row r="18" spans="3:23" x14ac:dyDescent="0.2">
      <c r="C18" s="3" t="s">
        <v>35</v>
      </c>
      <c r="D18" s="10">
        <f>SUM(D21:D692)</f>
        <v>1999013.7215437628</v>
      </c>
      <c r="E18" s="10">
        <f t="shared" ref="E18:O18" si="1">SUM(E21:E692)</f>
        <v>0</v>
      </c>
      <c r="F18" s="10">
        <f t="shared" si="1"/>
        <v>161425.35185486282</v>
      </c>
      <c r="G18" s="10">
        <f t="shared" si="1"/>
        <v>16</v>
      </c>
      <c r="H18" s="10">
        <f t="shared" si="1"/>
        <v>0</v>
      </c>
      <c r="I18" s="10">
        <f t="shared" si="1"/>
        <v>0</v>
      </c>
      <c r="J18" s="10">
        <f t="shared" si="1"/>
        <v>1028260.9548372098</v>
      </c>
      <c r="K18" s="10">
        <f t="shared" si="1"/>
        <v>0</v>
      </c>
      <c r="L18" s="10">
        <f t="shared" si="1"/>
        <v>66602.791636310401</v>
      </c>
      <c r="M18" s="10">
        <f t="shared" si="1"/>
        <v>36</v>
      </c>
      <c r="N18" s="10">
        <f t="shared" si="1"/>
        <v>0</v>
      </c>
      <c r="O18" s="10">
        <f t="shared" si="1"/>
        <v>0</v>
      </c>
      <c r="P18" s="11">
        <f>O18+L18+I18+F18</f>
        <v>228028.14349117322</v>
      </c>
      <c r="Q18" s="6"/>
      <c r="R18" s="6"/>
      <c r="S18" s="6"/>
      <c r="T18" s="6"/>
      <c r="U18" s="6"/>
      <c r="V18" s="6"/>
      <c r="W18" s="6"/>
    </row>
    <row r="19" spans="3:23" x14ac:dyDescent="0.2">
      <c r="C19" s="3"/>
      <c r="D19" s="10"/>
      <c r="E19" s="10"/>
      <c r="F19" s="16">
        <f>F18/P18</f>
        <v>0.70791854629606921</v>
      </c>
      <c r="G19" s="10"/>
      <c r="H19" s="10"/>
      <c r="I19" s="10"/>
      <c r="J19" s="10"/>
      <c r="K19" s="10"/>
      <c r="L19" s="16">
        <f>L18/P18</f>
        <v>0.29208145370393079</v>
      </c>
      <c r="M19" s="10"/>
      <c r="N19" s="10"/>
      <c r="O19" s="10"/>
      <c r="P19" s="11"/>
      <c r="Q19" s="6"/>
      <c r="R19" s="6"/>
      <c r="S19" s="6"/>
      <c r="T19" s="6"/>
      <c r="U19" s="6"/>
      <c r="V19" s="6"/>
      <c r="W19" s="6"/>
    </row>
    <row r="20" spans="3:23" x14ac:dyDescent="0.2">
      <c r="C20" s="1" t="s">
        <v>10</v>
      </c>
      <c r="D20" s="1"/>
      <c r="E20" s="6"/>
      <c r="F20" s="6"/>
      <c r="H20" s="6"/>
      <c r="I20" s="6"/>
      <c r="J20" s="1"/>
      <c r="K20" s="6"/>
      <c r="L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3:23" x14ac:dyDescent="0.2">
      <c r="C21">
        <v>1</v>
      </c>
      <c r="D21" s="7">
        <v>2910.7959583306606</v>
      </c>
      <c r="E21" s="7"/>
      <c r="F21" s="7">
        <f>D21*(1-($C$2/($D$8-$D$6)*LN($D$8/$D$6)))</f>
        <v>235.05404524605862</v>
      </c>
      <c r="G21">
        <f>LN(D8/D6)</f>
        <v>2.6937655731808386E-2</v>
      </c>
      <c r="H21" s="7"/>
      <c r="I21" s="7"/>
      <c r="J21" s="7">
        <v>0</v>
      </c>
      <c r="K21" s="7"/>
      <c r="L21" s="7">
        <f>J21*(1-$C$2/($D$10-$D$9)*LN($D$10/$D$9))</f>
        <v>0</v>
      </c>
      <c r="M21" s="7">
        <f>LN(C8/C7)</f>
        <v>1.0296194171811581</v>
      </c>
      <c r="N21" s="7"/>
      <c r="O21" s="7"/>
    </row>
    <row r="22" spans="3:23" x14ac:dyDescent="0.2">
      <c r="C22">
        <v>2</v>
      </c>
      <c r="D22" s="7">
        <v>2739.5726666641513</v>
      </c>
      <c r="E22" s="7"/>
      <c r="F22" s="7">
        <f t="shared" ref="F22:F85" si="2">D22*(1-($C$2/($D$8-$D$6)*LN($D$8/$D$6)))</f>
        <v>221.22733670217281</v>
      </c>
      <c r="G22">
        <f>C8-C6</f>
        <v>8</v>
      </c>
      <c r="H22" s="7"/>
      <c r="I22" s="7"/>
      <c r="J22" s="7">
        <v>0</v>
      </c>
      <c r="K22" s="7"/>
      <c r="L22" s="7">
        <f>J22*(1-$C$2/($D$10-$D$9)*LN($D$10/$D$9))</f>
        <v>0</v>
      </c>
      <c r="M22" s="7">
        <f>C10-C7</f>
        <v>18</v>
      </c>
      <c r="N22" s="7"/>
      <c r="O22" s="7"/>
    </row>
    <row r="23" spans="3:23" x14ac:dyDescent="0.2">
      <c r="C23">
        <v>3</v>
      </c>
      <c r="D23" s="7">
        <v>2910.7959583306606</v>
      </c>
      <c r="E23" s="7"/>
      <c r="F23" s="7">
        <f t="shared" si="2"/>
        <v>235.05404524605862</v>
      </c>
      <c r="G23">
        <f>G22-G21</f>
        <v>7.9730623442681914</v>
      </c>
      <c r="H23" s="7"/>
      <c r="I23" s="7"/>
      <c r="J23" s="7">
        <v>0</v>
      </c>
      <c r="K23" s="7"/>
      <c r="L23" s="7">
        <f t="shared" ref="L23:L85" si="3">J23*(1-$C$2/($D$10-$D$9)*LN($D$10/$D$9))</f>
        <v>0</v>
      </c>
      <c r="M23" s="7">
        <f>M22-M21</f>
        <v>16.970380582818841</v>
      </c>
      <c r="N23" s="7"/>
      <c r="O23" s="7"/>
    </row>
    <row r="24" spans="3:23" x14ac:dyDescent="0.2">
      <c r="C24">
        <v>4</v>
      </c>
      <c r="D24" s="7">
        <v>3082.0192499971704</v>
      </c>
      <c r="E24" s="7"/>
      <c r="F24" s="7">
        <f t="shared" si="2"/>
        <v>248.88075378994444</v>
      </c>
      <c r="H24" s="7"/>
      <c r="I24" s="7"/>
      <c r="J24" s="7">
        <v>0</v>
      </c>
      <c r="K24" s="7"/>
      <c r="L24" s="7">
        <f t="shared" si="3"/>
        <v>0</v>
      </c>
      <c r="M24" s="7"/>
      <c r="N24" s="7"/>
      <c r="O24" s="7"/>
    </row>
    <row r="25" spans="3:23" x14ac:dyDescent="0.2">
      <c r="C25">
        <v>5</v>
      </c>
      <c r="D25" s="7">
        <v>3510.0774791634435</v>
      </c>
      <c r="E25" s="7"/>
      <c r="F25" s="7">
        <f t="shared" si="2"/>
        <v>283.44752514965887</v>
      </c>
      <c r="H25" s="7"/>
      <c r="I25" s="7"/>
      <c r="J25" s="7">
        <v>0</v>
      </c>
      <c r="K25" s="7"/>
      <c r="L25" s="7">
        <f t="shared" si="3"/>
        <v>0</v>
      </c>
      <c r="M25" s="7"/>
      <c r="N25" s="7"/>
      <c r="O25" s="7"/>
    </row>
    <row r="26" spans="3:23" x14ac:dyDescent="0.2">
      <c r="C26">
        <v>6</v>
      </c>
      <c r="D26" s="7">
        <v>3720.8568663743704</v>
      </c>
      <c r="E26" s="7"/>
      <c r="F26" s="7">
        <f t="shared" si="2"/>
        <v>300.46848722589715</v>
      </c>
      <c r="H26" s="7"/>
      <c r="I26" s="7"/>
      <c r="J26" s="7">
        <v>46.055550288836912</v>
      </c>
      <c r="K26" s="7"/>
      <c r="L26" s="7">
        <f t="shared" si="3"/>
        <v>2.9831223340272075</v>
      </c>
      <c r="M26" s="7"/>
      <c r="N26" s="7"/>
      <c r="O26" s="7"/>
    </row>
    <row r="27" spans="3:23" x14ac:dyDescent="0.2">
      <c r="C27">
        <v>7</v>
      </c>
      <c r="D27" s="7">
        <v>3713.4860176655607</v>
      </c>
      <c r="E27" s="7"/>
      <c r="F27" s="7">
        <f t="shared" si="2"/>
        <v>299.87327277916</v>
      </c>
      <c r="H27" s="7"/>
      <c r="I27" s="7"/>
      <c r="J27" s="7">
        <v>310.26133649741041</v>
      </c>
      <c r="K27" s="7"/>
      <c r="L27" s="7">
        <f t="shared" si="3"/>
        <v>20.09632968200345</v>
      </c>
      <c r="M27" s="7"/>
      <c r="N27" s="7"/>
      <c r="O27" s="7"/>
    </row>
    <row r="28" spans="3:23" x14ac:dyDescent="0.2">
      <c r="C28">
        <v>8</v>
      </c>
      <c r="D28" s="7">
        <v>3706.1516477278951</v>
      </c>
      <c r="E28" s="7"/>
      <c r="F28" s="7">
        <f t="shared" si="2"/>
        <v>299.28100408432232</v>
      </c>
      <c r="H28" s="7"/>
      <c r="I28" s="7"/>
      <c r="J28" s="7">
        <v>574.43064393483974</v>
      </c>
      <c r="K28" s="7"/>
      <c r="L28" s="7">
        <f t="shared" si="3"/>
        <v>37.207174217327676</v>
      </c>
      <c r="M28" s="7"/>
      <c r="N28" s="7"/>
      <c r="O28" s="7"/>
    </row>
    <row r="29" spans="3:23" x14ac:dyDescent="0.2">
      <c r="C29">
        <v>9</v>
      </c>
      <c r="D29" s="7">
        <v>3698.8536356679028</v>
      </c>
      <c r="E29" s="7"/>
      <c r="F29" s="7">
        <f t="shared" si="2"/>
        <v>298.69167137893425</v>
      </c>
      <c r="H29" s="7"/>
      <c r="I29" s="7"/>
      <c r="J29" s="7">
        <v>838.56359349459626</v>
      </c>
      <c r="K29" s="7"/>
      <c r="L29" s="7">
        <f t="shared" si="3"/>
        <v>54.315663770543914</v>
      </c>
      <c r="M29" s="7"/>
      <c r="N29" s="7"/>
      <c r="O29" s="7"/>
    </row>
    <row r="30" spans="3:23" x14ac:dyDescent="0.2">
      <c r="C30">
        <v>10</v>
      </c>
      <c r="D30" s="7">
        <v>3691.5918609166015</v>
      </c>
      <c r="E30" s="7"/>
      <c r="F30" s="7">
        <f t="shared" si="2"/>
        <v>298.10526492674927</v>
      </c>
      <c r="H30" s="7"/>
      <c r="I30" s="7"/>
      <c r="J30" s="7">
        <v>1102.6603057456618</v>
      </c>
      <c r="K30" s="7"/>
      <c r="L30" s="7">
        <f t="shared" si="3"/>
        <v>71.421806151178288</v>
      </c>
      <c r="M30" s="7"/>
      <c r="N30" s="7"/>
      <c r="O30" s="7"/>
    </row>
    <row r="31" spans="3:23" x14ac:dyDescent="0.2">
      <c r="C31">
        <v>11</v>
      </c>
      <c r="D31" s="7">
        <v>3684.3662032287643</v>
      </c>
      <c r="E31" s="7"/>
      <c r="F31" s="7">
        <f t="shared" si="2"/>
        <v>297.52177501766494</v>
      </c>
      <c r="H31" s="7"/>
      <c r="I31" s="7"/>
      <c r="J31" s="7">
        <v>1366.7209009332632</v>
      </c>
      <c r="K31" s="7"/>
      <c r="L31" s="7">
        <f t="shared" si="3"/>
        <v>88.52560914778654</v>
      </c>
      <c r="M31" s="7"/>
      <c r="N31" s="7"/>
      <c r="O31" s="7"/>
    </row>
    <row r="32" spans="3:23" x14ac:dyDescent="0.2">
      <c r="C32">
        <v>12</v>
      </c>
      <c r="D32" s="7">
        <v>3677.176542682188</v>
      </c>
      <c r="E32" s="7"/>
      <c r="F32" s="7">
        <f t="shared" si="2"/>
        <v>296.94119196766371</v>
      </c>
      <c r="H32" s="7"/>
      <c r="I32" s="7"/>
      <c r="J32" s="7">
        <v>1630.7454989796029</v>
      </c>
      <c r="K32" s="7"/>
      <c r="L32" s="7">
        <f t="shared" si="3"/>
        <v>105.62708052800143</v>
      </c>
      <c r="M32" s="7"/>
      <c r="N32" s="7"/>
      <c r="O32" s="7"/>
    </row>
    <row r="33" spans="3:15" x14ac:dyDescent="0.2">
      <c r="C33">
        <v>13</v>
      </c>
      <c r="D33" s="7">
        <v>3670.0227596769773</v>
      </c>
      <c r="E33" s="7"/>
      <c r="F33" s="7">
        <f t="shared" si="2"/>
        <v>296.36350611875537</v>
      </c>
      <c r="H33" s="7"/>
      <c r="I33" s="7"/>
      <c r="J33" s="7">
        <v>1894.7342194845796</v>
      </c>
      <c r="K33" s="7"/>
      <c r="L33" s="7">
        <f t="shared" si="3"/>
        <v>122.72622803857936</v>
      </c>
      <c r="M33" s="7"/>
      <c r="N33" s="7"/>
      <c r="O33" s="7"/>
    </row>
    <row r="34" spans="3:15" x14ac:dyDescent="0.2">
      <c r="C34">
        <v>14</v>
      </c>
      <c r="D34" s="7">
        <v>3662.9047349348284</v>
      </c>
      <c r="E34" s="7"/>
      <c r="F34" s="7">
        <f t="shared" si="2"/>
        <v>295.78870783891881</v>
      </c>
      <c r="H34" s="7"/>
      <c r="I34" s="7"/>
      <c r="J34" s="7">
        <v>2158.6871817264928</v>
      </c>
      <c r="K34" s="7"/>
      <c r="L34" s="7">
        <f t="shared" si="3"/>
        <v>139.823059405446</v>
      </c>
      <c r="M34" s="7"/>
      <c r="N34" s="7"/>
      <c r="O34" s="7"/>
    </row>
    <row r="35" spans="3:15" x14ac:dyDescent="0.2">
      <c r="C35">
        <v>15</v>
      </c>
      <c r="D35" s="7">
        <v>3655.8223494982994</v>
      </c>
      <c r="E35" s="7"/>
      <c r="F35" s="7">
        <f t="shared" si="2"/>
        <v>295.21678752204349</v>
      </c>
      <c r="H35" s="7"/>
      <c r="I35" s="7"/>
      <c r="J35" s="7">
        <v>1994.546275496512</v>
      </c>
      <c r="K35" s="7"/>
      <c r="L35" s="7">
        <f t="shared" si="3"/>
        <v>129.19128103712185</v>
      </c>
      <c r="M35" s="7"/>
      <c r="N35" s="7"/>
      <c r="O35" s="7"/>
    </row>
    <row r="36" spans="3:15" x14ac:dyDescent="0.2">
      <c r="C36">
        <v>16</v>
      </c>
      <c r="D36" s="7">
        <v>3648.7754847300939</v>
      </c>
      <c r="E36" s="7"/>
      <c r="F36" s="7">
        <f t="shared" si="2"/>
        <v>294.6477355878713</v>
      </c>
      <c r="H36" s="7"/>
      <c r="I36" s="7"/>
      <c r="J36" s="7">
        <v>2229.8908624867299</v>
      </c>
      <c r="K36" s="7"/>
      <c r="L36" s="7">
        <f t="shared" si="3"/>
        <v>144.43508312481717</v>
      </c>
      <c r="M36" s="7"/>
      <c r="N36" s="7"/>
      <c r="O36" s="7"/>
    </row>
    <row r="37" spans="3:15" x14ac:dyDescent="0.2">
      <c r="C37">
        <v>17</v>
      </c>
      <c r="D37" s="7">
        <v>3642.5574547146748</v>
      </c>
      <c r="E37" s="7"/>
      <c r="F37" s="7">
        <f t="shared" si="2"/>
        <v>294.14561413054184</v>
      </c>
      <c r="H37" s="7"/>
      <c r="I37" s="7"/>
      <c r="J37" s="7">
        <v>3035.1509202791935</v>
      </c>
      <c r="K37" s="7"/>
      <c r="L37" s="7">
        <f t="shared" si="3"/>
        <v>196.5936014366261</v>
      </c>
      <c r="M37" s="7"/>
      <c r="N37" s="7"/>
      <c r="O37" s="7"/>
    </row>
    <row r="38" spans="3:15" x14ac:dyDescent="0.2">
      <c r="C38">
        <v>18</v>
      </c>
      <c r="D38" s="7">
        <v>3636.4612821459596</v>
      </c>
      <c r="E38" s="7"/>
      <c r="F38" s="7">
        <f t="shared" si="2"/>
        <v>293.65333296645218</v>
      </c>
      <c r="H38" s="7"/>
      <c r="I38" s="7"/>
      <c r="J38" s="7">
        <v>2870.023801181399</v>
      </c>
      <c r="K38" s="7"/>
      <c r="L38" s="7">
        <f t="shared" si="3"/>
        <v>185.89794382652482</v>
      </c>
      <c r="M38" s="7"/>
      <c r="N38" s="7"/>
      <c r="O38" s="7"/>
    </row>
    <row r="39" spans="3:15" x14ac:dyDescent="0.2">
      <c r="C39">
        <v>19</v>
      </c>
      <c r="D39" s="7">
        <v>3630.3986087332264</v>
      </c>
      <c r="E39" s="7"/>
      <c r="F39" s="7">
        <f t="shared" si="2"/>
        <v>293.163756942894</v>
      </c>
      <c r="H39" s="7"/>
      <c r="I39" s="7"/>
      <c r="J39" s="7">
        <v>3218.5330579271517</v>
      </c>
      <c r="K39" s="7"/>
      <c r="L39" s="7">
        <f t="shared" si="3"/>
        <v>208.47167795614328</v>
      </c>
      <c r="M39" s="7"/>
      <c r="N39" s="7"/>
      <c r="O39" s="7"/>
    </row>
    <row r="40" spans="3:15" x14ac:dyDescent="0.2">
      <c r="C40">
        <v>20</v>
      </c>
      <c r="D40" s="7">
        <v>3624.3693192063956</v>
      </c>
      <c r="E40" s="7"/>
      <c r="F40" s="7">
        <f t="shared" si="2"/>
        <v>292.67687675152052</v>
      </c>
      <c r="H40" s="7"/>
      <c r="I40" s="7"/>
      <c r="J40" s="7">
        <v>2882.1157641209629</v>
      </c>
      <c r="K40" s="7"/>
      <c r="L40" s="7">
        <f t="shared" si="3"/>
        <v>186.6811676612422</v>
      </c>
      <c r="M40" s="7"/>
      <c r="N40" s="7"/>
      <c r="O40" s="7"/>
    </row>
    <row r="41" spans="3:15" x14ac:dyDescent="0.2">
      <c r="C41">
        <v>21</v>
      </c>
      <c r="D41" s="7">
        <v>3618.3732986128766</v>
      </c>
      <c r="E41" s="7"/>
      <c r="F41" s="7">
        <f t="shared" si="2"/>
        <v>292.19268310962275</v>
      </c>
      <c r="H41" s="7"/>
      <c r="I41" s="7"/>
      <c r="J41" s="7">
        <v>3401.7816597140104</v>
      </c>
      <c r="K41" s="7"/>
      <c r="L41" s="7">
        <f t="shared" si="3"/>
        <v>220.34110505540292</v>
      </c>
      <c r="M41" s="7"/>
      <c r="N41" s="7"/>
      <c r="O41" s="7"/>
    </row>
    <row r="42" spans="3:15" x14ac:dyDescent="0.2">
      <c r="C42">
        <v>22</v>
      </c>
      <c r="D42" s="7">
        <v>3612.4104323168526</v>
      </c>
      <c r="E42" s="7"/>
      <c r="F42" s="7">
        <f t="shared" si="2"/>
        <v>291.71116676007222</v>
      </c>
      <c r="H42" s="7"/>
      <c r="I42" s="7"/>
      <c r="J42" s="7">
        <v>2551.6280676774873</v>
      </c>
      <c r="K42" s="7"/>
      <c r="L42" s="7">
        <f t="shared" si="3"/>
        <v>165.27473082140929</v>
      </c>
      <c r="M42" s="7"/>
      <c r="N42" s="7"/>
      <c r="O42" s="7"/>
    </row>
    <row r="43" spans="3:15" x14ac:dyDescent="0.2">
      <c r="C43">
        <v>23</v>
      </c>
      <c r="D43" s="7">
        <v>3605.951500723701</v>
      </c>
      <c r="E43" s="7"/>
      <c r="F43" s="7">
        <f t="shared" si="2"/>
        <v>291.18959189853211</v>
      </c>
      <c r="H43" s="7"/>
      <c r="I43" s="7"/>
      <c r="J43" s="7">
        <v>1701.9705409380899</v>
      </c>
      <c r="K43" s="7"/>
      <c r="L43" s="7">
        <f t="shared" si="3"/>
        <v>110.2404878605784</v>
      </c>
      <c r="M43" s="7"/>
      <c r="N43" s="7"/>
      <c r="O43" s="7"/>
    </row>
    <row r="44" spans="3:15" x14ac:dyDescent="0.2">
      <c r="C44">
        <v>24</v>
      </c>
      <c r="D44" s="7">
        <v>3599.1740942185033</v>
      </c>
      <c r="E44" s="7"/>
      <c r="F44" s="7">
        <f t="shared" si="2"/>
        <v>290.64229939224555</v>
      </c>
      <c r="H44" s="7"/>
      <c r="I44" s="7"/>
      <c r="J44" s="7">
        <v>852.63148911074131</v>
      </c>
      <c r="K44" s="7"/>
      <c r="L44" s="7">
        <f t="shared" si="3"/>
        <v>55.226873241326366</v>
      </c>
      <c r="M44" s="7"/>
      <c r="N44" s="7"/>
      <c r="O44" s="7"/>
    </row>
    <row r="45" spans="3:15" x14ac:dyDescent="0.2">
      <c r="C45">
        <v>25</v>
      </c>
      <c r="D45" s="7">
        <v>2910.7959583306606</v>
      </c>
      <c r="E45" s="7"/>
      <c r="F45" s="7">
        <f t="shared" si="2"/>
        <v>235.05404524605862</v>
      </c>
      <c r="H45" s="7"/>
      <c r="I45" s="7"/>
      <c r="J45" s="7">
        <v>0</v>
      </c>
      <c r="K45" s="7"/>
      <c r="L45" s="7">
        <f t="shared" si="3"/>
        <v>0</v>
      </c>
      <c r="M45" s="7"/>
      <c r="N45" s="7"/>
      <c r="O45" s="7"/>
    </row>
    <row r="46" spans="3:15" x14ac:dyDescent="0.2">
      <c r="C46">
        <v>26</v>
      </c>
      <c r="D46" s="7">
        <v>2739.5726666641513</v>
      </c>
      <c r="E46" s="7"/>
      <c r="F46" s="7">
        <f t="shared" si="2"/>
        <v>221.22733670217281</v>
      </c>
      <c r="H46" s="7"/>
      <c r="I46" s="7"/>
      <c r="J46" s="7">
        <v>0</v>
      </c>
      <c r="K46" s="7"/>
      <c r="L46" s="7">
        <f t="shared" si="3"/>
        <v>0</v>
      </c>
      <c r="M46" s="7"/>
      <c r="N46" s="7"/>
      <c r="O46" s="7"/>
    </row>
    <row r="47" spans="3:15" x14ac:dyDescent="0.2">
      <c r="C47">
        <v>27</v>
      </c>
      <c r="D47" s="7">
        <v>2945.0406166639623</v>
      </c>
      <c r="E47" s="7"/>
      <c r="F47" s="7">
        <f t="shared" si="2"/>
        <v>237.81938695483575</v>
      </c>
      <c r="H47" s="7"/>
      <c r="I47" s="7"/>
      <c r="J47" s="7">
        <v>0</v>
      </c>
      <c r="K47" s="7"/>
      <c r="L47" s="7">
        <f t="shared" si="3"/>
        <v>0</v>
      </c>
      <c r="M47" s="7"/>
      <c r="N47" s="7"/>
      <c r="O47" s="7"/>
    </row>
    <row r="48" spans="3:15" x14ac:dyDescent="0.2">
      <c r="C48">
        <v>28</v>
      </c>
      <c r="D48" s="7">
        <v>3082.0192499971704</v>
      </c>
      <c r="E48" s="7"/>
      <c r="F48" s="7">
        <f t="shared" si="2"/>
        <v>248.88075378994444</v>
      </c>
      <c r="H48" s="7"/>
      <c r="I48" s="7"/>
      <c r="J48" s="7">
        <v>0</v>
      </c>
      <c r="K48" s="7"/>
      <c r="L48" s="7">
        <f t="shared" si="3"/>
        <v>0</v>
      </c>
      <c r="M48" s="7"/>
      <c r="N48" s="7"/>
      <c r="O48" s="7"/>
    </row>
    <row r="49" spans="3:15" x14ac:dyDescent="0.2">
      <c r="C49">
        <v>29</v>
      </c>
      <c r="D49" s="7">
        <v>3400.0053630921161</v>
      </c>
      <c r="E49" s="7"/>
      <c r="F49" s="7">
        <f t="shared" si="2"/>
        <v>274.55892680001801</v>
      </c>
      <c r="H49" s="7"/>
      <c r="I49" s="7"/>
      <c r="J49" s="7">
        <v>0</v>
      </c>
      <c r="K49" s="7"/>
      <c r="L49" s="7">
        <f t="shared" si="3"/>
        <v>0</v>
      </c>
      <c r="M49" s="7"/>
      <c r="N49" s="7"/>
      <c r="O49" s="7"/>
    </row>
    <row r="50" spans="3:15" x14ac:dyDescent="0.2">
      <c r="C50">
        <v>30</v>
      </c>
      <c r="D50" s="7">
        <v>3565.0445076810061</v>
      </c>
      <c r="E50" s="7"/>
      <c r="F50" s="7">
        <f t="shared" si="2"/>
        <v>287.88625001844645</v>
      </c>
      <c r="H50" s="7"/>
      <c r="I50" s="7"/>
      <c r="J50" s="7">
        <v>55.105087553764861</v>
      </c>
      <c r="K50" s="7"/>
      <c r="L50" s="7">
        <f t="shared" si="3"/>
        <v>3.5692813649868569</v>
      </c>
      <c r="M50" s="7"/>
      <c r="N50" s="7"/>
      <c r="O50" s="7"/>
    </row>
    <row r="51" spans="3:15" x14ac:dyDescent="0.2">
      <c r="C51">
        <v>31</v>
      </c>
      <c r="D51" s="7">
        <v>3558.4792472588965</v>
      </c>
      <c r="E51" s="7"/>
      <c r="F51" s="7">
        <f t="shared" si="2"/>
        <v>287.35608883834237</v>
      </c>
      <c r="H51" s="7"/>
      <c r="I51" s="7"/>
      <c r="J51" s="7">
        <v>281.81458011852919</v>
      </c>
      <c r="K51" s="7"/>
      <c r="L51" s="7">
        <f t="shared" si="3"/>
        <v>18.253768823382241</v>
      </c>
      <c r="M51" s="7"/>
      <c r="N51" s="7"/>
      <c r="O51" s="7"/>
    </row>
    <row r="52" spans="3:15" x14ac:dyDescent="0.2">
      <c r="C52">
        <v>32</v>
      </c>
      <c r="D52" s="7">
        <v>3551.9477518122526</v>
      </c>
      <c r="E52" s="7"/>
      <c r="F52" s="7">
        <f t="shared" si="2"/>
        <v>286.82865426435723</v>
      </c>
      <c r="H52" s="7"/>
      <c r="I52" s="7"/>
      <c r="J52" s="7">
        <v>508.49030770782838</v>
      </c>
      <c r="K52" s="7"/>
      <c r="L52" s="7">
        <f t="shared" si="3"/>
        <v>32.936069247820022</v>
      </c>
      <c r="M52" s="7"/>
      <c r="N52" s="7"/>
      <c r="O52" s="7"/>
    </row>
    <row r="53" spans="3:15" x14ac:dyDescent="0.2">
      <c r="C53">
        <v>33</v>
      </c>
      <c r="D53" s="7">
        <v>3545.4499078154331</v>
      </c>
      <c r="E53" s="7"/>
      <c r="F53" s="7">
        <f t="shared" si="2"/>
        <v>286.30393712901179</v>
      </c>
      <c r="H53" s="7"/>
      <c r="I53" s="7"/>
      <c r="J53" s="7">
        <v>735.13238384730266</v>
      </c>
      <c r="K53" s="7"/>
      <c r="L53" s="7">
        <f t="shared" si="3"/>
        <v>47.616189991613112</v>
      </c>
      <c r="M53" s="7"/>
      <c r="N53" s="7"/>
      <c r="O53" s="7"/>
    </row>
    <row r="54" spans="3:15" x14ac:dyDescent="0.2">
      <c r="C54">
        <v>34</v>
      </c>
      <c r="D54" s="7">
        <v>3538.9856020506077</v>
      </c>
      <c r="E54" s="7"/>
      <c r="F54" s="7">
        <f t="shared" si="2"/>
        <v>285.78192828968355</v>
      </c>
      <c r="H54" s="7"/>
      <c r="I54" s="7"/>
      <c r="J54" s="7">
        <v>961.74092175478381</v>
      </c>
      <c r="K54" s="7"/>
      <c r="L54" s="7">
        <f t="shared" si="3"/>
        <v>62.294138388136979</v>
      </c>
      <c r="M54" s="7"/>
      <c r="N54" s="7"/>
      <c r="O54" s="7"/>
    </row>
    <row r="55" spans="3:15" x14ac:dyDescent="0.2">
      <c r="C55">
        <v>35</v>
      </c>
      <c r="D55" s="7">
        <v>3532.5547216070513</v>
      </c>
      <c r="E55" s="7"/>
      <c r="F55" s="7">
        <f t="shared" si="2"/>
        <v>285.26261862854926</v>
      </c>
      <c r="H55" s="7"/>
      <c r="I55" s="7"/>
      <c r="J55" s="7">
        <v>1188.316034340995</v>
      </c>
      <c r="K55" s="7"/>
      <c r="L55" s="7">
        <f t="shared" si="3"/>
        <v>76.969921750874974</v>
      </c>
      <c r="M55" s="7"/>
      <c r="N55" s="7"/>
      <c r="O55" s="7"/>
    </row>
    <row r="56" spans="3:15" x14ac:dyDescent="0.2">
      <c r="C56">
        <v>36</v>
      </c>
      <c r="D56" s="7">
        <v>3526.1571538804583</v>
      </c>
      <c r="E56" s="7"/>
      <c r="F56" s="7">
        <f t="shared" si="2"/>
        <v>284.74599905253001</v>
      </c>
      <c r="H56" s="7"/>
      <c r="I56" s="7"/>
      <c r="J56" s="7">
        <v>1414.8578342102428</v>
      </c>
      <c r="K56" s="7"/>
      <c r="L56" s="7">
        <f t="shared" si="3"/>
        <v>91.643547373463136</v>
      </c>
      <c r="M56" s="7"/>
      <c r="N56" s="7"/>
      <c r="O56" s="7"/>
    </row>
    <row r="57" spans="3:15" x14ac:dyDescent="0.2">
      <c r="C57">
        <v>37</v>
      </c>
      <c r="D57" s="7">
        <v>3519.792786572244</v>
      </c>
      <c r="E57" s="7"/>
      <c r="F57" s="7">
        <f t="shared" si="2"/>
        <v>284.23206049323454</v>
      </c>
      <c r="H57" s="7"/>
      <c r="I57" s="7"/>
      <c r="J57" s="7">
        <v>1641.3664336611118</v>
      </c>
      <c r="K57" s="7"/>
      <c r="L57" s="7">
        <f t="shared" si="3"/>
        <v>106.31502252973522</v>
      </c>
      <c r="M57" s="7"/>
      <c r="N57" s="7"/>
      <c r="O57" s="7"/>
    </row>
    <row r="58" spans="3:15" x14ac:dyDescent="0.2">
      <c r="C58">
        <v>38</v>
      </c>
      <c r="D58" s="7">
        <v>3513.461507688859</v>
      </c>
      <c r="E58" s="7"/>
      <c r="F58" s="7">
        <f t="shared" si="2"/>
        <v>283.72079390690396</v>
      </c>
      <c r="H58" s="7"/>
      <c r="I58" s="7"/>
      <c r="J58" s="7">
        <v>1867.8419446871517</v>
      </c>
      <c r="K58" s="7"/>
      <c r="L58" s="7">
        <f t="shared" si="3"/>
        <v>120.98435447376716</v>
      </c>
      <c r="M58" s="7"/>
      <c r="N58" s="7"/>
      <c r="O58" s="7"/>
    </row>
    <row r="59" spans="3:15" x14ac:dyDescent="0.2">
      <c r="C59">
        <v>39</v>
      </c>
      <c r="D59" s="7">
        <v>3507.1632055410878</v>
      </c>
      <c r="E59" s="7"/>
      <c r="F59" s="7">
        <f t="shared" si="2"/>
        <v>283.21219027435507</v>
      </c>
      <c r="H59" s="7"/>
      <c r="I59" s="7"/>
      <c r="J59" s="7">
        <v>2094.2844789775786</v>
      </c>
      <c r="K59" s="7"/>
      <c r="L59" s="7">
        <f t="shared" si="3"/>
        <v>135.65155043992252</v>
      </c>
      <c r="M59" s="7"/>
      <c r="N59" s="7"/>
      <c r="O59" s="7"/>
    </row>
    <row r="60" spans="3:15" x14ac:dyDescent="0.2">
      <c r="C60">
        <v>40</v>
      </c>
      <c r="D60" s="7">
        <v>3500.8977687433685</v>
      </c>
      <c r="E60" s="7"/>
      <c r="F60" s="7">
        <f t="shared" si="2"/>
        <v>282.70624060092553</v>
      </c>
      <c r="H60" s="7"/>
      <c r="I60" s="7"/>
      <c r="J60" s="7">
        <v>2320.6941479179527</v>
      </c>
      <c r="K60" s="7"/>
      <c r="L60" s="7">
        <f t="shared" si="3"/>
        <v>150.3166176428964</v>
      </c>
      <c r="M60" s="7"/>
      <c r="N60" s="7"/>
      <c r="O60" s="7"/>
    </row>
    <row r="61" spans="3:15" x14ac:dyDescent="0.2">
      <c r="C61">
        <v>41</v>
      </c>
      <c r="D61" s="7">
        <v>3494.929714039326</v>
      </c>
      <c r="E61" s="7"/>
      <c r="F61" s="7">
        <f t="shared" si="2"/>
        <v>282.22430527446608</v>
      </c>
      <c r="H61" s="7"/>
      <c r="I61" s="7"/>
      <c r="J61" s="7">
        <v>2155.4389109554854</v>
      </c>
      <c r="K61" s="7"/>
      <c r="L61" s="7">
        <f t="shared" si="3"/>
        <v>139.61266154844097</v>
      </c>
      <c r="M61" s="7"/>
      <c r="N61" s="7"/>
      <c r="O61" s="7"/>
    </row>
    <row r="62" spans="3:15" x14ac:dyDescent="0.2">
      <c r="C62">
        <v>42</v>
      </c>
      <c r="D62" s="7">
        <v>3489.6106820070509</v>
      </c>
      <c r="E62" s="7"/>
      <c r="F62" s="7">
        <f t="shared" si="2"/>
        <v>281.79478015010915</v>
      </c>
      <c r="H62" s="7"/>
      <c r="I62" s="7"/>
      <c r="J62" s="7">
        <v>2503.2045263207801</v>
      </c>
      <c r="K62" s="7"/>
      <c r="L62" s="7">
        <f t="shared" si="3"/>
        <v>162.13822834107964</v>
      </c>
      <c r="M62" s="7"/>
      <c r="N62" s="7"/>
      <c r="O62" s="7"/>
    </row>
    <row r="63" spans="3:15" x14ac:dyDescent="0.2">
      <c r="C63">
        <v>43</v>
      </c>
      <c r="D63" s="7">
        <v>3484.3225142131869</v>
      </c>
      <c r="E63" s="7"/>
      <c r="F63" s="7">
        <f t="shared" si="2"/>
        <v>281.36774739010747</v>
      </c>
      <c r="H63" s="7"/>
      <c r="I63" s="7"/>
      <c r="J63" s="7">
        <v>2850.9392774476628</v>
      </c>
      <c r="K63" s="7"/>
      <c r="L63" s="7">
        <f t="shared" si="3"/>
        <v>184.66179598707146</v>
      </c>
      <c r="M63" s="7"/>
      <c r="N63" s="7"/>
      <c r="O63" s="7"/>
    </row>
    <row r="64" spans="3:15" x14ac:dyDescent="0.2">
      <c r="C64">
        <v>44</v>
      </c>
      <c r="D64" s="7">
        <v>3479.0651025731418</v>
      </c>
      <c r="E64" s="7"/>
      <c r="F64" s="7">
        <f t="shared" si="2"/>
        <v>280.94319826636024</v>
      </c>
      <c r="H64" s="7"/>
      <c r="I64" s="7"/>
      <c r="J64" s="7">
        <v>3027.4199807542168</v>
      </c>
      <c r="K64" s="7"/>
      <c r="L64" s="7">
        <f t="shared" si="3"/>
        <v>196.09285096865131</v>
      </c>
      <c r="M64" s="7"/>
      <c r="N64" s="7"/>
      <c r="O64" s="7"/>
    </row>
    <row r="65" spans="3:15" x14ac:dyDescent="0.2">
      <c r="C65">
        <v>45</v>
      </c>
      <c r="D65" s="7">
        <v>3473.8383393034792</v>
      </c>
      <c r="E65" s="7"/>
      <c r="F65" s="7">
        <f t="shared" si="2"/>
        <v>280.52112407508565</v>
      </c>
      <c r="H65" s="7"/>
      <c r="I65" s="7"/>
      <c r="J65" s="7">
        <v>3546.3166190234078</v>
      </c>
      <c r="K65" s="7"/>
      <c r="L65" s="7">
        <f t="shared" si="3"/>
        <v>229.70296182314377</v>
      </c>
      <c r="M65" s="7"/>
      <c r="N65" s="7"/>
      <c r="O65" s="7"/>
    </row>
    <row r="66" spans="3:15" x14ac:dyDescent="0.2">
      <c r="C66">
        <v>46</v>
      </c>
      <c r="D66" s="7">
        <v>3468.6421169212235</v>
      </c>
      <c r="E66" s="7"/>
      <c r="F66" s="7">
        <f t="shared" si="2"/>
        <v>280.10151613676499</v>
      </c>
      <c r="H66" s="7"/>
      <c r="I66" s="7"/>
      <c r="J66" s="7">
        <v>2695.3963830731163</v>
      </c>
      <c r="K66" s="7"/>
      <c r="L66" s="7">
        <f t="shared" si="3"/>
        <v>174.58693032597412</v>
      </c>
      <c r="M66" s="7"/>
      <c r="N66" s="7"/>
      <c r="O66" s="7"/>
    </row>
    <row r="67" spans="3:15" x14ac:dyDescent="0.2">
      <c r="C67">
        <v>47</v>
      </c>
      <c r="D67" s="7">
        <v>3463.4763282431632</v>
      </c>
      <c r="E67" s="7"/>
      <c r="F67" s="7">
        <f t="shared" si="2"/>
        <v>279.68436579608607</v>
      </c>
      <c r="H67" s="7"/>
      <c r="I67" s="7"/>
      <c r="J67" s="7">
        <v>1844.4457134186277</v>
      </c>
      <c r="K67" s="7"/>
      <c r="L67" s="7">
        <f t="shared" si="3"/>
        <v>119.46892756883413</v>
      </c>
      <c r="M67" s="7"/>
      <c r="N67" s="7"/>
      <c r="O67" s="7"/>
    </row>
    <row r="68" spans="3:15" x14ac:dyDescent="0.2">
      <c r="C68">
        <v>48</v>
      </c>
      <c r="D68" s="7">
        <v>3458.2526403976271</v>
      </c>
      <c r="E68" s="7"/>
      <c r="F68" s="7">
        <f t="shared" si="2"/>
        <v>279.2625399529926</v>
      </c>
      <c r="H68" s="7"/>
      <c r="I68" s="7"/>
      <c r="J68" s="7">
        <v>993.55294293161751</v>
      </c>
      <c r="K68" s="7"/>
      <c r="L68" s="7">
        <f t="shared" si="3"/>
        <v>64.354675071945991</v>
      </c>
      <c r="M68" s="7"/>
      <c r="N68" s="7"/>
      <c r="O68" s="7"/>
    </row>
    <row r="69" spans="3:15" x14ac:dyDescent="0.2">
      <c r="C69">
        <v>49</v>
      </c>
      <c r="D69" s="7">
        <v>2910.7959583306606</v>
      </c>
      <c r="E69" s="7"/>
      <c r="F69" s="7">
        <f t="shared" si="2"/>
        <v>235.05404524605862</v>
      </c>
      <c r="H69" s="7"/>
      <c r="I69" s="7"/>
      <c r="J69" s="7">
        <v>0</v>
      </c>
      <c r="K69" s="7"/>
      <c r="L69" s="7">
        <f t="shared" si="3"/>
        <v>0</v>
      </c>
      <c r="M69" s="7"/>
      <c r="N69" s="7"/>
      <c r="O69" s="7"/>
    </row>
    <row r="70" spans="3:15" x14ac:dyDescent="0.2">
      <c r="C70">
        <v>50</v>
      </c>
      <c r="D70" s="7">
        <v>2739.5726666641513</v>
      </c>
      <c r="E70" s="7"/>
      <c r="F70" s="7">
        <f t="shared" si="2"/>
        <v>221.22733670217281</v>
      </c>
      <c r="H70" s="7"/>
      <c r="I70" s="7"/>
      <c r="J70" s="7">
        <v>0</v>
      </c>
      <c r="K70" s="7"/>
      <c r="L70" s="7">
        <f t="shared" si="3"/>
        <v>0</v>
      </c>
      <c r="M70" s="7"/>
      <c r="N70" s="7"/>
      <c r="O70" s="7"/>
    </row>
    <row r="71" spans="3:15" x14ac:dyDescent="0.2">
      <c r="C71">
        <v>51</v>
      </c>
      <c r="D71" s="7">
        <v>2910.7959583306606</v>
      </c>
      <c r="E71" s="7"/>
      <c r="F71" s="7">
        <f t="shared" si="2"/>
        <v>235.05404524605862</v>
      </c>
      <c r="H71" s="7"/>
      <c r="I71" s="7"/>
      <c r="J71" s="7">
        <v>0</v>
      </c>
      <c r="K71" s="7"/>
      <c r="L71" s="7">
        <f t="shared" si="3"/>
        <v>0</v>
      </c>
      <c r="M71" s="7"/>
      <c r="N71" s="7"/>
      <c r="O71" s="7"/>
    </row>
    <row r="72" spans="3:15" x14ac:dyDescent="0.2">
      <c r="C72">
        <v>52</v>
      </c>
      <c r="D72" s="7">
        <v>3082.0192499971704</v>
      </c>
      <c r="E72" s="7"/>
      <c r="F72" s="7">
        <f t="shared" si="2"/>
        <v>248.88075378994444</v>
      </c>
      <c r="H72" s="7"/>
      <c r="I72" s="7"/>
      <c r="J72" s="7">
        <v>0</v>
      </c>
      <c r="K72" s="7"/>
      <c r="L72" s="7">
        <f t="shared" si="3"/>
        <v>0</v>
      </c>
      <c r="M72" s="7"/>
      <c r="N72" s="7"/>
      <c r="O72" s="7"/>
    </row>
    <row r="73" spans="3:15" x14ac:dyDescent="0.2">
      <c r="C73">
        <v>53</v>
      </c>
      <c r="D73" s="7">
        <v>3432.9857656045433</v>
      </c>
      <c r="E73" s="7"/>
      <c r="F73" s="7">
        <f t="shared" si="2"/>
        <v>277.22217669295628</v>
      </c>
      <c r="H73" s="7"/>
      <c r="I73" s="7"/>
      <c r="J73" s="7">
        <v>17.822112597416435</v>
      </c>
      <c r="K73" s="7"/>
      <c r="L73" s="7">
        <f t="shared" si="3"/>
        <v>1.1543786100800764</v>
      </c>
      <c r="M73" s="7"/>
      <c r="N73" s="7"/>
      <c r="O73" s="7"/>
    </row>
    <row r="74" spans="3:15" x14ac:dyDescent="0.2">
      <c r="C74">
        <v>54</v>
      </c>
      <c r="D74" s="7">
        <v>3427.136996456552</v>
      </c>
      <c r="E74" s="7"/>
      <c r="F74" s="7">
        <f t="shared" si="2"/>
        <v>276.74987397314146</v>
      </c>
      <c r="H74" s="7"/>
      <c r="I74" s="7"/>
      <c r="J74" s="7">
        <v>260.74928559134378</v>
      </c>
      <c r="K74" s="7"/>
      <c r="L74" s="7">
        <f t="shared" si="3"/>
        <v>16.889321972073219</v>
      </c>
      <c r="M74" s="7"/>
      <c r="N74" s="7"/>
      <c r="O74" s="7"/>
    </row>
    <row r="75" spans="3:15" x14ac:dyDescent="0.2">
      <c r="C75">
        <v>55</v>
      </c>
      <c r="D75" s="7">
        <v>3421.3195374148004</v>
      </c>
      <c r="E75" s="7"/>
      <c r="F75" s="7">
        <f t="shared" si="2"/>
        <v>276.28009962262286</v>
      </c>
      <c r="H75" s="7"/>
      <c r="I75" s="7"/>
      <c r="J75" s="7">
        <v>503.64514847903092</v>
      </c>
      <c r="K75" s="7"/>
      <c r="L75" s="7">
        <f t="shared" si="3"/>
        <v>32.622237307550122</v>
      </c>
      <c r="M75" s="7"/>
      <c r="N75" s="7"/>
      <c r="O75" s="7"/>
    </row>
    <row r="76" spans="3:15" x14ac:dyDescent="0.2">
      <c r="C76">
        <v>56</v>
      </c>
      <c r="D76" s="7">
        <v>3416.3267140981648</v>
      </c>
      <c r="E76" s="7"/>
      <c r="F76" s="7">
        <f t="shared" si="2"/>
        <v>275.87691666697276</v>
      </c>
      <c r="H76" s="7"/>
      <c r="I76" s="7"/>
      <c r="J76" s="7">
        <v>745.71637564160255</v>
      </c>
      <c r="K76" s="7"/>
      <c r="L76" s="7">
        <f t="shared" si="3"/>
        <v>48.301739118845873</v>
      </c>
      <c r="M76" s="7"/>
      <c r="N76" s="7"/>
      <c r="O76" s="7"/>
    </row>
    <row r="77" spans="3:15" x14ac:dyDescent="0.2">
      <c r="C77">
        <v>57</v>
      </c>
      <c r="D77" s="7">
        <v>3411.4515607086328</v>
      </c>
      <c r="E77" s="7"/>
      <c r="F77" s="7">
        <f t="shared" si="2"/>
        <v>275.48323585189365</v>
      </c>
      <c r="H77" s="7"/>
      <c r="I77" s="7"/>
      <c r="J77" s="7">
        <v>987.66993287707055</v>
      </c>
      <c r="K77" s="7"/>
      <c r="L77" s="7">
        <f t="shared" si="3"/>
        <v>63.973619182374314</v>
      </c>
      <c r="M77" s="7"/>
      <c r="N77" s="7"/>
      <c r="O77" s="7"/>
    </row>
    <row r="78" spans="3:15" x14ac:dyDescent="0.2">
      <c r="C78">
        <v>58</v>
      </c>
      <c r="D78" s="7">
        <v>3406.6057304372562</v>
      </c>
      <c r="E78" s="7"/>
      <c r="F78" s="7">
        <f t="shared" si="2"/>
        <v>275.09192295185926</v>
      </c>
      <c r="H78" s="7"/>
      <c r="I78" s="7"/>
      <c r="J78" s="7">
        <v>1229.5941669943832</v>
      </c>
      <c r="K78" s="7"/>
      <c r="L78" s="7">
        <f t="shared" si="3"/>
        <v>79.643599921106414</v>
      </c>
      <c r="M78" s="7"/>
      <c r="N78" s="7"/>
      <c r="O78" s="7"/>
    </row>
    <row r="79" spans="3:15" x14ac:dyDescent="0.2">
      <c r="C79">
        <v>59</v>
      </c>
      <c r="D79" s="7">
        <v>3401.7891194694785</v>
      </c>
      <c r="E79" s="7"/>
      <c r="F79" s="7">
        <f t="shared" si="2"/>
        <v>274.70296958358466</v>
      </c>
      <c r="H79" s="7"/>
      <c r="I79" s="7"/>
      <c r="J79" s="7">
        <v>1471.4891818080978</v>
      </c>
      <c r="K79" s="7"/>
      <c r="L79" s="7">
        <f t="shared" si="3"/>
        <v>95.311688059346267</v>
      </c>
      <c r="M79" s="7"/>
      <c r="N79" s="7"/>
      <c r="O79" s="7"/>
    </row>
    <row r="80" spans="3:15" x14ac:dyDescent="0.2">
      <c r="C80">
        <v>60</v>
      </c>
      <c r="D80" s="7">
        <v>3397.0016242820393</v>
      </c>
      <c r="E80" s="7"/>
      <c r="F80" s="7">
        <f t="shared" si="2"/>
        <v>274.31636738730811</v>
      </c>
      <c r="H80" s="7"/>
      <c r="I80" s="7"/>
      <c r="J80" s="7">
        <v>1713.355080841473</v>
      </c>
      <c r="K80" s="7"/>
      <c r="L80" s="7">
        <f t="shared" si="3"/>
        <v>110.97789030252984</v>
      </c>
      <c r="M80" s="7"/>
      <c r="N80" s="7"/>
      <c r="O80" s="7"/>
    </row>
    <row r="81" spans="3:15" x14ac:dyDescent="0.2">
      <c r="C81">
        <v>61</v>
      </c>
      <c r="D81" s="7">
        <v>3392.2431416422942</v>
      </c>
      <c r="E81" s="7"/>
      <c r="F81" s="7">
        <f t="shared" si="2"/>
        <v>273.93210802673559</v>
      </c>
      <c r="H81" s="7"/>
      <c r="I81" s="7"/>
      <c r="J81" s="7">
        <v>1955.1919673271532</v>
      </c>
      <c r="K81" s="7"/>
      <c r="L81" s="7">
        <f t="shared" si="3"/>
        <v>126.64221333726942</v>
      </c>
      <c r="M81" s="7"/>
      <c r="N81" s="7"/>
      <c r="O81" s="7"/>
    </row>
    <row r="82" spans="3:15" x14ac:dyDescent="0.2">
      <c r="C82">
        <v>62</v>
      </c>
      <c r="D82" s="7">
        <v>3387.51356860753</v>
      </c>
      <c r="E82" s="7"/>
      <c r="F82" s="7">
        <f t="shared" si="2"/>
        <v>273.55018318898584</v>
      </c>
      <c r="H82" s="7"/>
      <c r="I82" s="7"/>
      <c r="J82" s="7">
        <v>2196.9999442078542</v>
      </c>
      <c r="K82" s="7"/>
      <c r="L82" s="7">
        <f t="shared" si="3"/>
        <v>142.30466383139793</v>
      </c>
      <c r="M82" s="7"/>
      <c r="N82" s="7"/>
      <c r="O82" s="7"/>
    </row>
    <row r="83" spans="3:15" x14ac:dyDescent="0.2">
      <c r="C83">
        <v>63</v>
      </c>
      <c r="D83" s="7">
        <v>3382.8128025242877</v>
      </c>
      <c r="E83" s="7"/>
      <c r="F83" s="7">
        <f t="shared" si="2"/>
        <v>273.17058458453567</v>
      </c>
      <c r="H83" s="7"/>
      <c r="I83" s="7"/>
      <c r="J83" s="7">
        <v>2438.7791141370335</v>
      </c>
      <c r="K83" s="7"/>
      <c r="L83" s="7">
        <f t="shared" si="3"/>
        <v>157.96524843401238</v>
      </c>
      <c r="M83" s="7"/>
      <c r="N83" s="7"/>
      <c r="O83" s="7"/>
    </row>
    <row r="84" spans="3:15" x14ac:dyDescent="0.2">
      <c r="C84">
        <v>64</v>
      </c>
      <c r="D84" s="7">
        <v>3377.2592329777999</v>
      </c>
      <c r="E84" s="7"/>
      <c r="F84" s="7">
        <f t="shared" si="2"/>
        <v>272.72211996999567</v>
      </c>
      <c r="H84" s="7"/>
      <c r="I84" s="7"/>
      <c r="J84" s="7">
        <v>2273.1093920170115</v>
      </c>
      <c r="K84" s="7"/>
      <c r="L84" s="7">
        <f t="shared" si="3"/>
        <v>147.23444519685927</v>
      </c>
      <c r="M84" s="7"/>
      <c r="N84" s="7"/>
      <c r="O84" s="7"/>
    </row>
    <row r="85" spans="3:15" x14ac:dyDescent="0.2">
      <c r="C85">
        <v>65</v>
      </c>
      <c r="D85" s="7">
        <v>3371.7359353387542</v>
      </c>
      <c r="E85" s="7"/>
      <c r="F85" s="7">
        <f t="shared" si="2"/>
        <v>272.27609988760548</v>
      </c>
      <c r="H85" s="7"/>
      <c r="I85" s="7"/>
      <c r="J85" s="7">
        <v>2586.8346146557747</v>
      </c>
      <c r="K85" s="7"/>
      <c r="L85" s="7">
        <f t="shared" si="3"/>
        <v>167.55513863189557</v>
      </c>
      <c r="M85" s="7"/>
      <c r="N85" s="7"/>
      <c r="O85" s="7"/>
    </row>
    <row r="86" spans="3:15" x14ac:dyDescent="0.2">
      <c r="C86">
        <v>66</v>
      </c>
      <c r="D86" s="7">
        <v>3366.242805724452</v>
      </c>
      <c r="E86" s="7"/>
      <c r="F86" s="7">
        <f t="shared" ref="F86:F149" si="4">D86*(1-($C$2/($D$8-$D$6)*LN($D$8/$D$6)))</f>
        <v>271.83251594857762</v>
      </c>
      <c r="H86" s="7"/>
      <c r="I86" s="7"/>
      <c r="J86" s="7">
        <v>2900.5296692697943</v>
      </c>
      <c r="K86" s="7"/>
      <c r="L86" s="7">
        <f t="shared" ref="L86:L149" si="5">J86*(1-$C$2/($D$10-$D$9)*LN($D$10/$D$9))</f>
        <v>187.87387801562161</v>
      </c>
      <c r="M86" s="7"/>
      <c r="N86" s="7"/>
      <c r="O86" s="7"/>
    </row>
    <row r="87" spans="3:15" x14ac:dyDescent="0.2">
      <c r="C87">
        <v>67</v>
      </c>
      <c r="D87" s="7">
        <v>3360.7797405378101</v>
      </c>
      <c r="E87" s="7"/>
      <c r="F87" s="7">
        <f t="shared" si="4"/>
        <v>271.39135978718889</v>
      </c>
      <c r="H87" s="7"/>
      <c r="I87" s="7"/>
      <c r="J87" s="7">
        <v>3488.1519261225681</v>
      </c>
      <c r="K87" s="7"/>
      <c r="L87" s="7">
        <f t="shared" si="5"/>
        <v>225.93550288809365</v>
      </c>
      <c r="M87" s="7"/>
      <c r="N87" s="7"/>
      <c r="O87" s="7"/>
    </row>
    <row r="88" spans="3:15" x14ac:dyDescent="0.2">
      <c r="C88">
        <v>68</v>
      </c>
      <c r="D88" s="7">
        <v>3355.3466364666951</v>
      </c>
      <c r="E88" s="7"/>
      <c r="F88" s="7">
        <f t="shared" si="4"/>
        <v>270.9526230607263</v>
      </c>
      <c r="H88" s="7"/>
      <c r="I88" s="7"/>
      <c r="J88" s="7">
        <v>3493.585030193683</v>
      </c>
      <c r="K88" s="7"/>
      <c r="L88" s="7">
        <f t="shared" si="5"/>
        <v>226.28741734782741</v>
      </c>
      <c r="M88" s="7"/>
      <c r="N88" s="7"/>
      <c r="O88" s="7"/>
    </row>
    <row r="89" spans="3:15" x14ac:dyDescent="0.2">
      <c r="C89">
        <v>69</v>
      </c>
      <c r="D89" s="7">
        <v>3349.9433904832831</v>
      </c>
      <c r="E89" s="7"/>
      <c r="F89" s="7">
        <f t="shared" si="4"/>
        <v>270.51629744943585</v>
      </c>
      <c r="H89" s="7"/>
      <c r="I89" s="7"/>
      <c r="J89" s="7">
        <v>3841.4348595101137</v>
      </c>
      <c r="K89" s="7"/>
      <c r="L89" s="7">
        <f t="shared" si="5"/>
        <v>248.81843886887333</v>
      </c>
      <c r="M89" s="7"/>
      <c r="N89" s="7"/>
      <c r="O89" s="7"/>
    </row>
    <row r="90" spans="3:15" x14ac:dyDescent="0.2">
      <c r="C90">
        <v>70</v>
      </c>
      <c r="D90" s="7">
        <v>3344.6581258309175</v>
      </c>
      <c r="E90" s="7"/>
      <c r="F90" s="7">
        <f t="shared" si="4"/>
        <v>270.08949912536264</v>
      </c>
      <c r="H90" s="7"/>
      <c r="I90" s="7"/>
      <c r="J90" s="7">
        <v>2956.359007496631</v>
      </c>
      <c r="K90" s="7"/>
      <c r="L90" s="7">
        <f t="shared" si="5"/>
        <v>191.49007073753995</v>
      </c>
      <c r="M90" s="7"/>
      <c r="N90" s="7"/>
      <c r="O90" s="7"/>
    </row>
    <row r="91" spans="3:15" x14ac:dyDescent="0.2">
      <c r="C91">
        <v>71</v>
      </c>
      <c r="D91" s="7">
        <v>3340.1956290893513</v>
      </c>
      <c r="E91" s="7"/>
      <c r="F91" s="7">
        <f t="shared" si="4"/>
        <v>269.72914136548582</v>
      </c>
      <c r="H91" s="7"/>
      <c r="I91" s="7"/>
      <c r="J91" s="7">
        <v>2070.4603875723478</v>
      </c>
      <c r="K91" s="7"/>
      <c r="L91" s="7">
        <f t="shared" si="5"/>
        <v>134.10841006459026</v>
      </c>
      <c r="M91" s="7"/>
      <c r="N91" s="7"/>
      <c r="O91" s="7"/>
    </row>
    <row r="92" spans="3:15" x14ac:dyDescent="0.2">
      <c r="C92">
        <v>72</v>
      </c>
      <c r="D92" s="7">
        <v>3335.7610138627938</v>
      </c>
      <c r="E92" s="7"/>
      <c r="F92" s="7">
        <f t="shared" si="4"/>
        <v>269.37103510759823</v>
      </c>
      <c r="H92" s="7"/>
      <c r="I92" s="7"/>
      <c r="J92" s="7">
        <v>1184.5338861330551</v>
      </c>
      <c r="K92" s="7"/>
      <c r="L92" s="7">
        <f t="shared" si="5"/>
        <v>76.724943442746039</v>
      </c>
      <c r="M92" s="7"/>
      <c r="N92" s="7"/>
      <c r="O92" s="7"/>
    </row>
    <row r="93" spans="3:15" x14ac:dyDescent="0.2">
      <c r="C93">
        <v>73</v>
      </c>
      <c r="D93" s="7">
        <v>2910.7959583306606</v>
      </c>
      <c r="E93" s="7"/>
      <c r="F93" s="7">
        <f t="shared" si="4"/>
        <v>235.05404524605862</v>
      </c>
      <c r="H93" s="7"/>
      <c r="I93" s="7"/>
      <c r="J93" s="7">
        <v>0</v>
      </c>
      <c r="K93" s="7"/>
      <c r="L93" s="7">
        <f t="shared" si="5"/>
        <v>0</v>
      </c>
      <c r="M93" s="7"/>
      <c r="N93" s="7"/>
      <c r="O93" s="7"/>
    </row>
    <row r="94" spans="3:15" x14ac:dyDescent="0.2">
      <c r="C94">
        <v>74</v>
      </c>
      <c r="D94" s="7">
        <v>2739.5726666641513</v>
      </c>
      <c r="E94" s="7"/>
      <c r="F94" s="7">
        <f t="shared" si="4"/>
        <v>221.22733670217281</v>
      </c>
      <c r="H94" s="7"/>
      <c r="I94" s="7"/>
      <c r="J94" s="7">
        <v>0</v>
      </c>
      <c r="K94" s="7"/>
      <c r="L94" s="7">
        <f t="shared" si="5"/>
        <v>0</v>
      </c>
      <c r="M94" s="7"/>
      <c r="N94" s="7"/>
      <c r="O94" s="7"/>
    </row>
    <row r="95" spans="3:15" x14ac:dyDescent="0.2">
      <c r="C95">
        <v>75</v>
      </c>
      <c r="D95" s="7">
        <v>2910.7959583306606</v>
      </c>
      <c r="E95" s="7"/>
      <c r="F95" s="7">
        <f t="shared" si="4"/>
        <v>235.05404524605862</v>
      </c>
      <c r="H95" s="7"/>
      <c r="I95" s="7"/>
      <c r="J95" s="7">
        <v>0</v>
      </c>
      <c r="K95" s="7"/>
      <c r="L95" s="7">
        <f t="shared" si="5"/>
        <v>0</v>
      </c>
      <c r="M95" s="7"/>
      <c r="N95" s="7"/>
      <c r="O95" s="7"/>
    </row>
    <row r="96" spans="3:15" x14ac:dyDescent="0.2">
      <c r="C96">
        <v>76</v>
      </c>
      <c r="D96" s="7">
        <v>3082.0192499971704</v>
      </c>
      <c r="E96" s="7"/>
      <c r="F96" s="7">
        <f t="shared" si="4"/>
        <v>248.88075378994444</v>
      </c>
      <c r="H96" s="7"/>
      <c r="I96" s="7"/>
      <c r="J96" s="7">
        <v>0</v>
      </c>
      <c r="K96" s="7"/>
      <c r="L96" s="7">
        <f t="shared" si="5"/>
        <v>0</v>
      </c>
      <c r="M96" s="7"/>
      <c r="N96" s="7"/>
      <c r="O96" s="7"/>
    </row>
    <row r="97" spans="3:15" x14ac:dyDescent="0.2">
      <c r="C97">
        <v>77</v>
      </c>
      <c r="D97" s="7">
        <v>3317.2725863195528</v>
      </c>
      <c r="E97" s="7"/>
      <c r="F97" s="7">
        <f t="shared" si="4"/>
        <v>267.87804839657861</v>
      </c>
      <c r="H97" s="7"/>
      <c r="I97" s="7"/>
      <c r="J97" s="7">
        <v>107.19324701063624</v>
      </c>
      <c r="K97" s="7"/>
      <c r="L97" s="7">
        <f t="shared" si="5"/>
        <v>6.9431494620927623</v>
      </c>
      <c r="M97" s="7"/>
      <c r="N97" s="7"/>
      <c r="O97" s="7"/>
    </row>
    <row r="98" spans="3:15" x14ac:dyDescent="0.2">
      <c r="C98">
        <v>78</v>
      </c>
      <c r="D98" s="7">
        <v>3312.9881178405958</v>
      </c>
      <c r="E98" s="7"/>
      <c r="F98" s="7">
        <f t="shared" si="4"/>
        <v>267.53206686364916</v>
      </c>
      <c r="H98" s="7"/>
      <c r="I98" s="7"/>
      <c r="J98" s="7">
        <v>339.77543771160526</v>
      </c>
      <c r="K98" s="7"/>
      <c r="L98" s="7">
        <f t="shared" si="5"/>
        <v>22.008024883746476</v>
      </c>
      <c r="M98" s="7"/>
      <c r="N98" s="7"/>
      <c r="O98" s="7"/>
    </row>
    <row r="99" spans="3:15" x14ac:dyDescent="0.2">
      <c r="C99">
        <v>79</v>
      </c>
      <c r="D99" s="7">
        <v>3308.7308866056469</v>
      </c>
      <c r="E99" s="7"/>
      <c r="F99" s="7">
        <f t="shared" si="4"/>
        <v>267.18828480621613</v>
      </c>
      <c r="H99" s="7"/>
      <c r="I99" s="7"/>
      <c r="J99" s="7">
        <v>572.33039116856708</v>
      </c>
      <c r="K99" s="7"/>
      <c r="L99" s="7">
        <f t="shared" si="5"/>
        <v>37.071136087398109</v>
      </c>
      <c r="M99" s="7"/>
      <c r="N99" s="7"/>
      <c r="O99" s="7"/>
    </row>
    <row r="100" spans="3:15" x14ac:dyDescent="0.2">
      <c r="C100">
        <v>80</v>
      </c>
      <c r="D100" s="7">
        <v>3304.500794643368</v>
      </c>
      <c r="E100" s="7"/>
      <c r="F100" s="7">
        <f t="shared" si="4"/>
        <v>266.84669431284925</v>
      </c>
      <c r="H100" s="7"/>
      <c r="I100" s="7"/>
      <c r="J100" s="7">
        <v>804.85820535285802</v>
      </c>
      <c r="K100" s="7"/>
      <c r="L100" s="7">
        <f t="shared" si="5"/>
        <v>52.132489418873078</v>
      </c>
      <c r="M100" s="7"/>
      <c r="N100" s="7"/>
      <c r="O100" s="7"/>
    </row>
    <row r="101" spans="3:15" x14ac:dyDescent="0.2">
      <c r="C101">
        <v>81</v>
      </c>
      <c r="D101" s="7">
        <v>3300.2977442600709</v>
      </c>
      <c r="E101" s="7"/>
      <c r="F101" s="7">
        <f t="shared" si="4"/>
        <v>266.50728749453913</v>
      </c>
      <c r="H101" s="7"/>
      <c r="I101" s="7"/>
      <c r="J101" s="7">
        <v>1037.3589779581685</v>
      </c>
      <c r="K101" s="7"/>
      <c r="L101" s="7">
        <f t="shared" si="5"/>
        <v>67.192091206013046</v>
      </c>
      <c r="M101" s="7"/>
      <c r="N101" s="7"/>
      <c r="O101" s="7"/>
    </row>
    <row r="102" spans="3:15" x14ac:dyDescent="0.2">
      <c r="C102">
        <v>82</v>
      </c>
      <c r="D102" s="7">
        <v>3296.121638039067</v>
      </c>
      <c r="E102" s="7"/>
      <c r="F102" s="7">
        <f t="shared" si="4"/>
        <v>266.17005648464476</v>
      </c>
      <c r="H102" s="7"/>
      <c r="I102" s="7"/>
      <c r="J102" s="7">
        <v>1269.8328064011848</v>
      </c>
      <c r="K102" s="7"/>
      <c r="L102" s="7">
        <f t="shared" si="5"/>
        <v>82.249947758717482</v>
      </c>
      <c r="M102" s="7"/>
      <c r="N102" s="7"/>
      <c r="O102" s="7"/>
    </row>
    <row r="103" spans="3:15" x14ac:dyDescent="0.2">
      <c r="C103">
        <v>83</v>
      </c>
      <c r="D103" s="7">
        <v>3291.9723788400097</v>
      </c>
      <c r="E103" s="7"/>
      <c r="F103" s="7">
        <f t="shared" si="4"/>
        <v>265.83499343884057</v>
      </c>
      <c r="H103" s="7"/>
      <c r="I103" s="7"/>
      <c r="J103" s="7">
        <v>1502.2797878222545</v>
      </c>
      <c r="K103" s="7"/>
      <c r="L103" s="7">
        <f t="shared" si="5"/>
        <v>97.306065368986765</v>
      </c>
      <c r="M103" s="7"/>
      <c r="N103" s="7"/>
      <c r="O103" s="7"/>
    </row>
    <row r="104" spans="3:15" x14ac:dyDescent="0.2">
      <c r="C104">
        <v>84</v>
      </c>
      <c r="D104" s="7">
        <v>3287.8498697982427</v>
      </c>
      <c r="E104" s="7"/>
      <c r="F104" s="7">
        <f t="shared" si="4"/>
        <v>265.50209053506353</v>
      </c>
      <c r="H104" s="7"/>
      <c r="I104" s="7"/>
      <c r="J104" s="7">
        <v>1734.700019086034</v>
      </c>
      <c r="K104" s="7"/>
      <c r="L104" s="7">
        <f t="shared" si="5"/>
        <v>112.36045031096417</v>
      </c>
      <c r="M104" s="7"/>
      <c r="N104" s="7"/>
      <c r="O104" s="7"/>
    </row>
    <row r="105" spans="3:15" x14ac:dyDescent="0.2">
      <c r="C105">
        <v>85</v>
      </c>
      <c r="D105" s="7">
        <v>3283.7540143241426</v>
      </c>
      <c r="E105" s="7"/>
      <c r="F105" s="7">
        <f t="shared" si="4"/>
        <v>265.17133997346025</v>
      </c>
      <c r="H105" s="7"/>
      <c r="I105" s="7"/>
      <c r="J105" s="7">
        <v>1967.0935967821465</v>
      </c>
      <c r="K105" s="7"/>
      <c r="L105" s="7">
        <f t="shared" si="5"/>
        <v>127.4131088409784</v>
      </c>
      <c r="M105" s="7"/>
      <c r="N105" s="7"/>
      <c r="O105" s="7"/>
    </row>
    <row r="106" spans="3:15" x14ac:dyDescent="0.2">
      <c r="C106">
        <v>86</v>
      </c>
      <c r="D106" s="7">
        <v>3279.6847161024739</v>
      </c>
      <c r="E106" s="7"/>
      <c r="F106" s="7">
        <f t="shared" si="4"/>
        <v>264.84273397633484</v>
      </c>
      <c r="H106" s="7"/>
      <c r="I106" s="7"/>
      <c r="J106" s="7">
        <v>2199.4606172258286</v>
      </c>
      <c r="K106" s="7"/>
      <c r="L106" s="7">
        <f t="shared" si="5"/>
        <v>142.46404719758553</v>
      </c>
      <c r="M106" s="7"/>
      <c r="N106" s="7"/>
      <c r="O106" s="7"/>
    </row>
    <row r="107" spans="3:15" x14ac:dyDescent="0.2">
      <c r="C107">
        <v>87</v>
      </c>
      <c r="D107" s="7">
        <v>3275.6418790917414</v>
      </c>
      <c r="E107" s="7"/>
      <c r="F107" s="7">
        <f t="shared" si="4"/>
        <v>264.51626478809669</v>
      </c>
      <c r="H107" s="7"/>
      <c r="I107" s="7"/>
      <c r="J107" s="7">
        <v>2032.2801625700504</v>
      </c>
      <c r="K107" s="7"/>
      <c r="L107" s="7">
        <f t="shared" si="5"/>
        <v>131.63539039142952</v>
      </c>
      <c r="M107" s="7"/>
      <c r="N107" s="7"/>
      <c r="O107" s="7"/>
    </row>
    <row r="108" spans="3:15" x14ac:dyDescent="0.2">
      <c r="C108">
        <v>88</v>
      </c>
      <c r="D108" s="7">
        <v>3271.6254075235379</v>
      </c>
      <c r="E108" s="7"/>
      <c r="F108" s="7">
        <f t="shared" si="4"/>
        <v>264.19192467520759</v>
      </c>
      <c r="H108" s="7"/>
      <c r="I108" s="7"/>
      <c r="J108" s="7">
        <v>2435.8176480267771</v>
      </c>
      <c r="K108" s="7"/>
      <c r="L108" s="7">
        <f t="shared" si="5"/>
        <v>157.77342756465862</v>
      </c>
      <c r="M108" s="7"/>
      <c r="N108" s="7"/>
      <c r="O108" s="7"/>
    </row>
    <row r="109" spans="3:15" x14ac:dyDescent="0.2">
      <c r="C109">
        <v>89</v>
      </c>
      <c r="D109" s="7">
        <v>3267.6352059018991</v>
      </c>
      <c r="E109" s="7"/>
      <c r="F109" s="7">
        <f t="shared" si="4"/>
        <v>263.86970592612994</v>
      </c>
      <c r="H109" s="7"/>
      <c r="I109" s="7"/>
      <c r="J109" s="7">
        <v>2839.3288635369381</v>
      </c>
      <c r="K109" s="7"/>
      <c r="L109" s="7">
        <f t="shared" si="5"/>
        <v>183.90976317393239</v>
      </c>
      <c r="M109" s="7"/>
      <c r="N109" s="7"/>
      <c r="O109" s="7"/>
    </row>
    <row r="110" spans="3:15" x14ac:dyDescent="0.2">
      <c r="C110">
        <v>90</v>
      </c>
      <c r="D110" s="7">
        <v>3263.6711790026552</v>
      </c>
      <c r="E110" s="7"/>
      <c r="F110" s="7">
        <f t="shared" si="4"/>
        <v>263.54960085127414</v>
      </c>
      <c r="H110" s="7"/>
      <c r="I110" s="7"/>
      <c r="J110" s="7">
        <v>3242.8139043247033</v>
      </c>
      <c r="K110" s="7"/>
      <c r="L110" s="7">
        <f t="shared" si="5"/>
        <v>210.04440338713604</v>
      </c>
      <c r="M110" s="7"/>
      <c r="N110" s="7"/>
      <c r="O110" s="7"/>
    </row>
    <row r="111" spans="3:15" x14ac:dyDescent="0.2">
      <c r="C111">
        <v>91</v>
      </c>
      <c r="D111" s="7">
        <v>3259.7332318727968</v>
      </c>
      <c r="E111" s="7"/>
      <c r="F111" s="7">
        <f t="shared" si="4"/>
        <v>263.23160178294739</v>
      </c>
      <c r="H111" s="7"/>
      <c r="I111" s="7"/>
      <c r="J111" s="7">
        <v>2775.8877993716615</v>
      </c>
      <c r="K111" s="7"/>
      <c r="L111" s="7">
        <f t="shared" si="5"/>
        <v>179.80054171812532</v>
      </c>
      <c r="M111" s="7"/>
      <c r="N111" s="7"/>
      <c r="O111" s="7"/>
    </row>
    <row r="112" spans="3:15" x14ac:dyDescent="0.2">
      <c r="C112">
        <v>92</v>
      </c>
      <c r="D112" s="7">
        <v>3255.8212698298148</v>
      </c>
      <c r="E112" s="7"/>
      <c r="F112" s="7">
        <f t="shared" si="4"/>
        <v>262.91570107530066</v>
      </c>
      <c r="H112" s="7"/>
      <c r="I112" s="7"/>
      <c r="J112" s="7">
        <v>2308.9357093317421</v>
      </c>
      <c r="K112" s="7"/>
      <c r="L112" s="7">
        <f t="shared" si="5"/>
        <v>149.55499693616662</v>
      </c>
      <c r="M112" s="7"/>
      <c r="N112" s="7"/>
      <c r="O112" s="7"/>
    </row>
    <row r="113" spans="3:15" x14ac:dyDescent="0.2">
      <c r="C113">
        <v>93</v>
      </c>
      <c r="D113" s="7">
        <v>3251.9351984610739</v>
      </c>
      <c r="E113" s="7"/>
      <c r="F113" s="7">
        <f t="shared" si="4"/>
        <v>262.60189110427774</v>
      </c>
      <c r="H113" s="7"/>
      <c r="I113" s="7"/>
      <c r="J113" s="7">
        <v>1841.9577286175818</v>
      </c>
      <c r="K113" s="7"/>
      <c r="L113" s="7">
        <f t="shared" si="5"/>
        <v>119.30777515658036</v>
      </c>
      <c r="M113" s="7"/>
      <c r="N113" s="7"/>
      <c r="O113" s="7"/>
    </row>
    <row r="114" spans="3:15" x14ac:dyDescent="0.2">
      <c r="C114">
        <v>94</v>
      </c>
      <c r="D114" s="7">
        <v>3248.0749236231673</v>
      </c>
      <c r="E114" s="7"/>
      <c r="F114" s="7">
        <f t="shared" si="4"/>
        <v>262.29016426756328</v>
      </c>
      <c r="H114" s="7"/>
      <c r="I114" s="7"/>
      <c r="J114" s="7">
        <v>1374.9539513725881</v>
      </c>
      <c r="K114" s="7"/>
      <c r="L114" s="7">
        <f t="shared" si="5"/>
        <v>89.058882477248318</v>
      </c>
      <c r="M114" s="7"/>
      <c r="N114" s="7"/>
      <c r="O114" s="7"/>
    </row>
    <row r="115" spans="3:15" x14ac:dyDescent="0.2">
      <c r="C115">
        <v>95</v>
      </c>
      <c r="D115" s="7">
        <v>3244.2403514412699</v>
      </c>
      <c r="E115" s="7"/>
      <c r="F115" s="7">
        <f t="shared" si="4"/>
        <v>261.98051298453078</v>
      </c>
      <c r="H115" s="7"/>
      <c r="I115" s="7"/>
      <c r="J115" s="7">
        <v>907.92447147158418</v>
      </c>
      <c r="K115" s="7"/>
      <c r="L115" s="7">
        <f t="shared" si="5"/>
        <v>58.80832497865547</v>
      </c>
      <c r="M115" s="7"/>
      <c r="N115" s="7"/>
      <c r="O115" s="7"/>
    </row>
    <row r="116" spans="3:15" x14ac:dyDescent="0.2">
      <c r="C116">
        <v>96</v>
      </c>
      <c r="D116" s="7">
        <v>3240.4313883085179</v>
      </c>
      <c r="E116" s="7"/>
      <c r="F116" s="7">
        <f t="shared" si="4"/>
        <v>261.67292969619206</v>
      </c>
      <c r="H116" s="7"/>
      <c r="I116" s="7"/>
      <c r="J116" s="7">
        <v>184.03444502167122</v>
      </c>
      <c r="K116" s="7"/>
      <c r="L116" s="7">
        <f t="shared" si="5"/>
        <v>11.920327945956979</v>
      </c>
      <c r="M116" s="7"/>
      <c r="N116" s="7"/>
      <c r="O116" s="7"/>
    </row>
    <row r="117" spans="3:15" x14ac:dyDescent="0.2">
      <c r="C117">
        <v>97</v>
      </c>
      <c r="D117" s="7">
        <v>2910.7959583306606</v>
      </c>
      <c r="E117" s="7"/>
      <c r="F117" s="7">
        <f t="shared" si="4"/>
        <v>235.05404524605862</v>
      </c>
      <c r="H117" s="7"/>
      <c r="I117" s="7"/>
      <c r="J117" s="7">
        <v>0</v>
      </c>
      <c r="K117" s="7"/>
      <c r="L117" s="7">
        <f t="shared" si="5"/>
        <v>0</v>
      </c>
      <c r="M117" s="7"/>
      <c r="N117" s="7"/>
      <c r="O117" s="7"/>
    </row>
    <row r="118" spans="3:15" x14ac:dyDescent="0.2">
      <c r="C118">
        <v>98</v>
      </c>
      <c r="D118" s="7">
        <v>2739.5726666641513</v>
      </c>
      <c r="E118" s="7"/>
      <c r="F118" s="7">
        <f t="shared" si="4"/>
        <v>221.22733670217281</v>
      </c>
      <c r="H118" s="7"/>
      <c r="I118" s="7"/>
      <c r="J118" s="7">
        <v>0</v>
      </c>
      <c r="K118" s="7"/>
      <c r="L118" s="7">
        <f t="shared" si="5"/>
        <v>0</v>
      </c>
      <c r="M118" s="7"/>
      <c r="N118" s="7"/>
      <c r="O118" s="7"/>
    </row>
    <row r="119" spans="3:15" x14ac:dyDescent="0.2">
      <c r="C119">
        <v>99</v>
      </c>
      <c r="D119" s="7">
        <v>2910.7959583306606</v>
      </c>
      <c r="E119" s="7"/>
      <c r="F119" s="7">
        <f t="shared" si="4"/>
        <v>235.05404524605862</v>
      </c>
      <c r="H119" s="7"/>
      <c r="I119" s="7"/>
      <c r="J119" s="7">
        <v>0</v>
      </c>
      <c r="K119" s="7"/>
      <c r="L119" s="7">
        <f t="shared" si="5"/>
        <v>0</v>
      </c>
      <c r="M119" s="7"/>
      <c r="N119" s="7"/>
      <c r="O119" s="7"/>
    </row>
    <row r="120" spans="3:15" x14ac:dyDescent="0.2">
      <c r="C120">
        <v>100</v>
      </c>
      <c r="D120" s="7">
        <v>3082.0192499971704</v>
      </c>
      <c r="E120" s="7"/>
      <c r="F120" s="7">
        <f t="shared" si="4"/>
        <v>248.88075378994444</v>
      </c>
      <c r="H120" s="7"/>
      <c r="I120" s="7"/>
      <c r="J120" s="7">
        <v>0</v>
      </c>
      <c r="K120" s="7"/>
      <c r="L120" s="7">
        <f t="shared" si="5"/>
        <v>0</v>
      </c>
      <c r="M120" s="7"/>
      <c r="N120" s="7"/>
      <c r="O120" s="7"/>
    </row>
    <row r="121" spans="3:15" x14ac:dyDescent="0.2">
      <c r="C121">
        <v>101</v>
      </c>
      <c r="D121" s="7">
        <v>3222.4692139397071</v>
      </c>
      <c r="E121" s="7"/>
      <c r="F121" s="7">
        <f t="shared" si="4"/>
        <v>260.22243924366802</v>
      </c>
      <c r="H121" s="7"/>
      <c r="I121" s="7"/>
      <c r="J121" s="7">
        <v>170.86511181475271</v>
      </c>
      <c r="K121" s="7"/>
      <c r="L121" s="7">
        <f t="shared" si="5"/>
        <v>11.067320398171214</v>
      </c>
      <c r="M121" s="7"/>
      <c r="N121" s="7"/>
      <c r="O121" s="7"/>
    </row>
    <row r="122" spans="3:15" x14ac:dyDescent="0.2">
      <c r="C122">
        <v>102</v>
      </c>
      <c r="D122" s="7">
        <v>3217.9219625079559</v>
      </c>
      <c r="E122" s="7"/>
      <c r="F122" s="7">
        <f t="shared" si="4"/>
        <v>259.85523733082869</v>
      </c>
      <c r="H122" s="7"/>
      <c r="I122" s="7"/>
      <c r="J122" s="7">
        <v>393.33291627660674</v>
      </c>
      <c r="K122" s="7"/>
      <c r="L122" s="7">
        <f t="shared" si="5"/>
        <v>25.477064108323162</v>
      </c>
      <c r="M122" s="7"/>
      <c r="N122" s="7"/>
      <c r="O122" s="7"/>
    </row>
    <row r="123" spans="3:15" x14ac:dyDescent="0.2">
      <c r="C123">
        <v>103</v>
      </c>
      <c r="D123" s="7">
        <v>3213.4013762391642</v>
      </c>
      <c r="E123" s="7"/>
      <c r="F123" s="7">
        <f t="shared" si="4"/>
        <v>259.49018869651195</v>
      </c>
      <c r="H123" s="7"/>
      <c r="I123" s="7"/>
      <c r="J123" s="7">
        <v>615.77405557550173</v>
      </c>
      <c r="K123" s="7"/>
      <c r="L123" s="7">
        <f t="shared" si="5"/>
        <v>39.885080655458609</v>
      </c>
      <c r="M123" s="7"/>
      <c r="N123" s="7"/>
      <c r="O123" s="7"/>
    </row>
    <row r="124" spans="3:15" x14ac:dyDescent="0.2">
      <c r="C124">
        <v>104</v>
      </c>
      <c r="D124" s="7">
        <v>3208.9073614494455</v>
      </c>
      <c r="E124" s="7"/>
      <c r="F124" s="7">
        <f t="shared" si="4"/>
        <v>259.12728577550996</v>
      </c>
      <c r="H124" s="7"/>
      <c r="I124" s="7"/>
      <c r="J124" s="7">
        <v>838.1886233953237</v>
      </c>
      <c r="K124" s="7"/>
      <c r="L124" s="7">
        <f t="shared" si="5"/>
        <v>54.291376107695093</v>
      </c>
      <c r="M124" s="7"/>
      <c r="N124" s="7"/>
      <c r="O124" s="7"/>
    </row>
    <row r="125" spans="3:15" x14ac:dyDescent="0.2">
      <c r="C125">
        <v>105</v>
      </c>
      <c r="D125" s="7">
        <v>3204.4398247164927</v>
      </c>
      <c r="E125" s="7"/>
      <c r="F125" s="7">
        <f t="shared" si="4"/>
        <v>258.76652102373805</v>
      </c>
      <c r="H125" s="7"/>
      <c r="I125" s="7"/>
      <c r="J125" s="7">
        <v>1060.5767131583789</v>
      </c>
      <c r="K125" s="7"/>
      <c r="L125" s="7">
        <f t="shared" si="5"/>
        <v>68.695956516207048</v>
      </c>
      <c r="M125" s="7"/>
      <c r="N125" s="7"/>
      <c r="O125" s="7"/>
    </row>
    <row r="126" spans="3:15" x14ac:dyDescent="0.2">
      <c r="C126">
        <v>106</v>
      </c>
      <c r="D126" s="7">
        <v>3199.9986728789836</v>
      </c>
      <c r="E126" s="7"/>
      <c r="F126" s="7">
        <f t="shared" si="4"/>
        <v>258.40788691818665</v>
      </c>
      <c r="H126" s="7"/>
      <c r="I126" s="7"/>
      <c r="J126" s="7">
        <v>1282.9384180259913</v>
      </c>
      <c r="K126" s="7"/>
      <c r="L126" s="7">
        <f t="shared" si="5"/>
        <v>83.098827915264494</v>
      </c>
      <c r="M126" s="7"/>
      <c r="N126" s="7"/>
      <c r="O126" s="7"/>
    </row>
    <row r="127" spans="3:15" x14ac:dyDescent="0.2">
      <c r="C127">
        <v>107</v>
      </c>
      <c r="D127" s="7">
        <v>3195.5838130359493</v>
      </c>
      <c r="E127" s="7"/>
      <c r="F127" s="7">
        <f t="shared" si="4"/>
        <v>258.05137595687052</v>
      </c>
      <c r="H127" s="7"/>
      <c r="I127" s="7"/>
      <c r="J127" s="7">
        <v>1505.2738308991288</v>
      </c>
      <c r="K127" s="7"/>
      <c r="L127" s="7">
        <f t="shared" si="5"/>
        <v>97.499996322273589</v>
      </c>
      <c r="M127" s="7"/>
      <c r="N127" s="7"/>
      <c r="O127" s="7"/>
    </row>
    <row r="128" spans="3:15" x14ac:dyDescent="0.2">
      <c r="C128">
        <v>108</v>
      </c>
      <c r="D128" s="7">
        <v>3191.7242578210335</v>
      </c>
      <c r="E128" s="7"/>
      <c r="F128" s="7">
        <f t="shared" si="4"/>
        <v>257.73970723151035</v>
      </c>
      <c r="H128" s="7"/>
      <c r="I128" s="7"/>
      <c r="J128" s="7">
        <v>1727.053939144148</v>
      </c>
      <c r="K128" s="7"/>
      <c r="L128" s="7">
        <f t="shared" si="5"/>
        <v>111.86519639044101</v>
      </c>
      <c r="M128" s="7"/>
      <c r="N128" s="7"/>
      <c r="O128" s="7"/>
    </row>
    <row r="129" spans="3:15" x14ac:dyDescent="0.2">
      <c r="C129">
        <v>109</v>
      </c>
      <c r="D129" s="7">
        <v>3188.2422104626344</v>
      </c>
      <c r="E129" s="7"/>
      <c r="F129" s="7">
        <f t="shared" si="4"/>
        <v>257.45852320863588</v>
      </c>
      <c r="H129" s="7"/>
      <c r="I129" s="7"/>
      <c r="J129" s="7">
        <v>1948.4565395326495</v>
      </c>
      <c r="K129" s="7"/>
      <c r="L129" s="7">
        <f t="shared" si="5"/>
        <v>126.2059444194734</v>
      </c>
      <c r="M129" s="7"/>
      <c r="N129" s="7"/>
      <c r="O129" s="7"/>
    </row>
    <row r="130" spans="3:15" x14ac:dyDescent="0.2">
      <c r="C130">
        <v>110</v>
      </c>
      <c r="D130" s="7">
        <v>3184.7845098098537</v>
      </c>
      <c r="E130" s="7"/>
      <c r="F130" s="7">
        <f t="shared" si="4"/>
        <v>257.17930524306195</v>
      </c>
      <c r="H130" s="7"/>
      <c r="I130" s="7"/>
      <c r="J130" s="7">
        <v>1854.0723592331392</v>
      </c>
      <c r="K130" s="7"/>
      <c r="L130" s="7">
        <f t="shared" si="5"/>
        <v>120.09246722802693</v>
      </c>
      <c r="M130" s="7"/>
      <c r="N130" s="7"/>
      <c r="O130" s="7"/>
    </row>
    <row r="131" spans="3:15" x14ac:dyDescent="0.2">
      <c r="C131">
        <v>111</v>
      </c>
      <c r="D131" s="7">
        <v>3181.3510660906541</v>
      </c>
      <c r="E131" s="7"/>
      <c r="F131" s="7">
        <f t="shared" si="4"/>
        <v>256.90204608547214</v>
      </c>
      <c r="H131" s="7"/>
      <c r="I131" s="7"/>
      <c r="J131" s="7">
        <v>1759.6639220000479</v>
      </c>
      <c r="K131" s="7"/>
      <c r="L131" s="7">
        <f t="shared" si="5"/>
        <v>113.97741886003679</v>
      </c>
      <c r="M131" s="7"/>
      <c r="N131" s="7"/>
      <c r="O131" s="7"/>
    </row>
    <row r="132" spans="3:15" x14ac:dyDescent="0.2">
      <c r="C132">
        <v>112</v>
      </c>
      <c r="D132" s="7">
        <v>3177.9417897912808</v>
      </c>
      <c r="E132" s="7"/>
      <c r="F132" s="7">
        <f t="shared" si="4"/>
        <v>256.6267385074072</v>
      </c>
      <c r="H132" s="7"/>
      <c r="I132" s="7"/>
      <c r="J132" s="7">
        <v>1665.2313173471302</v>
      </c>
      <c r="K132" s="7"/>
      <c r="L132" s="7">
        <f t="shared" si="5"/>
        <v>107.86080511351163</v>
      </c>
      <c r="M132" s="7"/>
      <c r="N132" s="7"/>
      <c r="O132" s="7"/>
    </row>
    <row r="133" spans="3:15" x14ac:dyDescent="0.2">
      <c r="C133">
        <v>113</v>
      </c>
      <c r="D133" s="7">
        <v>3174.5565916556343</v>
      </c>
      <c r="E133" s="7"/>
      <c r="F133" s="7">
        <f t="shared" si="4"/>
        <v>256.3533753012141</v>
      </c>
      <c r="H133" s="7"/>
      <c r="I133" s="7"/>
      <c r="J133" s="7">
        <v>1570.7746345304849</v>
      </c>
      <c r="K133" s="7"/>
      <c r="L133" s="7">
        <f t="shared" si="5"/>
        <v>101.74263176977121</v>
      </c>
      <c r="M133" s="7"/>
      <c r="N133" s="7"/>
      <c r="O133" s="7"/>
    </row>
    <row r="134" spans="3:15" x14ac:dyDescent="0.2">
      <c r="C134">
        <v>114</v>
      </c>
      <c r="D134" s="7">
        <v>3171.1953826846598</v>
      </c>
      <c r="E134" s="7"/>
      <c r="F134" s="7">
        <f t="shared" si="4"/>
        <v>256.08194927999688</v>
      </c>
      <c r="H134" s="7"/>
      <c r="I134" s="7"/>
      <c r="J134" s="7">
        <v>1476.2939625491676</v>
      </c>
      <c r="K134" s="7"/>
      <c r="L134" s="7">
        <f t="shared" si="5"/>
        <v>95.622904593485984</v>
      </c>
      <c r="M134" s="7"/>
      <c r="N134" s="7"/>
      <c r="O134" s="7"/>
    </row>
    <row r="135" spans="3:15" x14ac:dyDescent="0.2">
      <c r="C135">
        <v>115</v>
      </c>
      <c r="D135" s="7">
        <v>3167.8580741357277</v>
      </c>
      <c r="E135" s="7"/>
      <c r="F135" s="7">
        <f t="shared" si="4"/>
        <v>255.81245327756648</v>
      </c>
      <c r="H135" s="7"/>
      <c r="I135" s="7"/>
      <c r="J135" s="7">
        <v>1381.7893901458096</v>
      </c>
      <c r="K135" s="7"/>
      <c r="L135" s="7">
        <f t="shared" si="5"/>
        <v>89.501629332717229</v>
      </c>
      <c r="M135" s="7"/>
      <c r="N135" s="7"/>
      <c r="O135" s="7"/>
    </row>
    <row r="136" spans="3:15" x14ac:dyDescent="0.2">
      <c r="C136">
        <v>116</v>
      </c>
      <c r="D136" s="7">
        <v>3164.544577522016</v>
      </c>
      <c r="E136" s="7"/>
      <c r="F136" s="7">
        <f t="shared" si="4"/>
        <v>255.54488014839092</v>
      </c>
      <c r="H136" s="7"/>
      <c r="I136" s="7"/>
      <c r="J136" s="7">
        <v>1287.2610058072296</v>
      </c>
      <c r="K136" s="7"/>
      <c r="L136" s="7">
        <f t="shared" si="5"/>
        <v>83.378811718956669</v>
      </c>
      <c r="M136" s="7"/>
      <c r="N136" s="7"/>
      <c r="O136" s="7"/>
    </row>
    <row r="137" spans="3:15" x14ac:dyDescent="0.2">
      <c r="C137">
        <v>117</v>
      </c>
      <c r="D137" s="7">
        <v>3161.2548046118982</v>
      </c>
      <c r="E137" s="7"/>
      <c r="F137" s="7">
        <f t="shared" si="4"/>
        <v>255.279222767546</v>
      </c>
      <c r="H137" s="7"/>
      <c r="I137" s="7"/>
      <c r="J137" s="7">
        <v>1632.9973620503661</v>
      </c>
      <c r="K137" s="7"/>
      <c r="L137" s="7">
        <f t="shared" si="5"/>
        <v>105.77293880083577</v>
      </c>
      <c r="M137" s="7"/>
      <c r="N137" s="7"/>
      <c r="O137" s="7"/>
    </row>
    <row r="138" spans="3:15" x14ac:dyDescent="0.2">
      <c r="C138">
        <v>118</v>
      </c>
      <c r="D138" s="7">
        <v>3157.9886674283371</v>
      </c>
      <c r="E138" s="7"/>
      <c r="F138" s="7">
        <f t="shared" si="4"/>
        <v>255.01547403066618</v>
      </c>
      <c r="H138" s="7"/>
      <c r="I138" s="7"/>
      <c r="J138" s="7">
        <v>1122.5936242343987</v>
      </c>
      <c r="K138" s="7"/>
      <c r="L138" s="7">
        <f t="shared" si="5"/>
        <v>72.712932349912279</v>
      </c>
      <c r="M138" s="7"/>
      <c r="N138" s="7"/>
      <c r="O138" s="7"/>
    </row>
    <row r="139" spans="3:15" x14ac:dyDescent="0.2">
      <c r="C139">
        <v>119</v>
      </c>
      <c r="D139" s="7">
        <v>3154.3932745666716</v>
      </c>
      <c r="E139" s="7"/>
      <c r="F139" s="7">
        <f t="shared" si="4"/>
        <v>254.72513707524868</v>
      </c>
      <c r="H139" s="7"/>
      <c r="I139" s="7"/>
      <c r="J139" s="7">
        <v>612.5191420965366</v>
      </c>
      <c r="K139" s="7"/>
      <c r="L139" s="7">
        <f t="shared" si="5"/>
        <v>39.674252535209639</v>
      </c>
      <c r="M139" s="7"/>
      <c r="N139" s="7"/>
      <c r="O139" s="7"/>
    </row>
    <row r="140" spans="3:15" x14ac:dyDescent="0.2">
      <c r="C140">
        <v>120</v>
      </c>
      <c r="D140" s="7">
        <v>3150.2933058806998</v>
      </c>
      <c r="E140" s="7"/>
      <c r="F140" s="7">
        <f t="shared" si="4"/>
        <v>254.39405436151134</v>
      </c>
      <c r="H140" s="7"/>
      <c r="I140" s="7"/>
      <c r="J140" s="7">
        <v>102.94923578297994</v>
      </c>
      <c r="K140" s="7"/>
      <c r="L140" s="7">
        <f t="shared" si="5"/>
        <v>6.6682552397963368</v>
      </c>
      <c r="M140" s="7"/>
      <c r="N140" s="7"/>
      <c r="O140" s="7"/>
    </row>
    <row r="141" spans="3:15" x14ac:dyDescent="0.2">
      <c r="C141">
        <v>121</v>
      </c>
      <c r="D141" s="7">
        <v>2739.5726666641513</v>
      </c>
      <c r="E141" s="7"/>
      <c r="F141" s="7">
        <f t="shared" si="4"/>
        <v>221.22733670217281</v>
      </c>
      <c r="H141" s="7"/>
      <c r="I141" s="7"/>
      <c r="J141" s="7">
        <v>0</v>
      </c>
      <c r="K141" s="7"/>
      <c r="L141" s="7">
        <f t="shared" si="5"/>
        <v>0</v>
      </c>
      <c r="M141" s="7"/>
      <c r="N141" s="7"/>
      <c r="O141" s="7"/>
    </row>
    <row r="142" spans="3:15" x14ac:dyDescent="0.2">
      <c r="C142">
        <v>122</v>
      </c>
      <c r="D142" s="7">
        <v>2739.5726666641513</v>
      </c>
      <c r="E142" s="7"/>
      <c r="F142" s="7">
        <f t="shared" si="4"/>
        <v>221.22733670217281</v>
      </c>
      <c r="H142" s="7"/>
      <c r="I142" s="7"/>
      <c r="J142" s="7">
        <v>0</v>
      </c>
      <c r="K142" s="7"/>
      <c r="L142" s="7">
        <f t="shared" si="5"/>
        <v>0</v>
      </c>
      <c r="M142" s="7"/>
      <c r="N142" s="7"/>
      <c r="O142" s="7"/>
    </row>
    <row r="143" spans="3:15" x14ac:dyDescent="0.2">
      <c r="C143">
        <v>123</v>
      </c>
      <c r="D143" s="7">
        <v>2935.2564285687336</v>
      </c>
      <c r="E143" s="7"/>
      <c r="F143" s="7">
        <f t="shared" si="4"/>
        <v>237.02928932375659</v>
      </c>
      <c r="H143" s="7"/>
      <c r="I143" s="7"/>
      <c r="J143" s="7">
        <v>0</v>
      </c>
      <c r="K143" s="7"/>
      <c r="L143" s="7">
        <f t="shared" si="5"/>
        <v>0</v>
      </c>
      <c r="M143" s="7"/>
      <c r="N143" s="7"/>
      <c r="O143" s="7"/>
    </row>
    <row r="144" spans="3:15" x14ac:dyDescent="0.2">
      <c r="C144">
        <v>124</v>
      </c>
      <c r="D144" s="7">
        <v>3130.9401904733159</v>
      </c>
      <c r="E144" s="7"/>
      <c r="F144" s="7">
        <f t="shared" si="4"/>
        <v>252.83124194534037</v>
      </c>
      <c r="H144" s="7"/>
      <c r="I144" s="7"/>
      <c r="J144" s="7">
        <v>0</v>
      </c>
      <c r="K144" s="7"/>
      <c r="L144" s="7">
        <f t="shared" si="5"/>
        <v>0</v>
      </c>
      <c r="M144" s="7"/>
      <c r="N144" s="7"/>
      <c r="O144" s="7"/>
    </row>
    <row r="145" spans="3:15" x14ac:dyDescent="0.2">
      <c r="C145">
        <v>125</v>
      </c>
      <c r="D145" s="7">
        <v>3132.3348904656541</v>
      </c>
      <c r="E145" s="7"/>
      <c r="F145" s="7">
        <f t="shared" si="4"/>
        <v>252.94386745389431</v>
      </c>
      <c r="H145" s="7"/>
      <c r="I145" s="7"/>
      <c r="J145" s="7">
        <v>194.28906191224451</v>
      </c>
      <c r="K145" s="7"/>
      <c r="L145" s="7">
        <f t="shared" si="5"/>
        <v>12.584542714455283</v>
      </c>
      <c r="M145" s="7"/>
      <c r="N145" s="7"/>
      <c r="O145" s="7"/>
    </row>
    <row r="146" spans="3:15" x14ac:dyDescent="0.2">
      <c r="C146">
        <v>126</v>
      </c>
      <c r="D146" s="7">
        <v>3128.3738540395766</v>
      </c>
      <c r="E146" s="7"/>
      <c r="F146" s="7">
        <f t="shared" si="4"/>
        <v>252.62400386721734</v>
      </c>
      <c r="H146" s="7"/>
      <c r="I146" s="7"/>
      <c r="J146" s="7">
        <v>393.93386024290385</v>
      </c>
      <c r="K146" s="7"/>
      <c r="L146" s="7">
        <f t="shared" si="5"/>
        <v>25.515988610497534</v>
      </c>
      <c r="M146" s="7"/>
      <c r="N146" s="7"/>
      <c r="O146" s="7"/>
    </row>
    <row r="147" spans="3:15" x14ac:dyDescent="0.2">
      <c r="C147">
        <v>127</v>
      </c>
      <c r="D147" s="7">
        <v>3124.4373610468738</v>
      </c>
      <c r="E147" s="7"/>
      <c r="F147" s="7">
        <f t="shared" si="4"/>
        <v>252.30612222409857</v>
      </c>
      <c r="H147" s="7"/>
      <c r="I147" s="7"/>
      <c r="J147" s="7">
        <v>593.55411514018897</v>
      </c>
      <c r="K147" s="7"/>
      <c r="L147" s="7">
        <f t="shared" si="5"/>
        <v>38.445844772755407</v>
      </c>
      <c r="M147" s="7"/>
      <c r="N147" s="7"/>
      <c r="O147" s="7"/>
    </row>
    <row r="148" spans="3:15" x14ac:dyDescent="0.2">
      <c r="C148">
        <v>128</v>
      </c>
      <c r="D148" s="7">
        <v>3120.5253238397472</v>
      </c>
      <c r="E148" s="7"/>
      <c r="F148" s="7">
        <f t="shared" si="4"/>
        <v>251.99021544675938</v>
      </c>
      <c r="H148" s="7"/>
      <c r="I148" s="7"/>
      <c r="J148" s="7">
        <v>793.14991425189783</v>
      </c>
      <c r="K148" s="7"/>
      <c r="L148" s="7">
        <f t="shared" si="5"/>
        <v>51.374116878375347</v>
      </c>
      <c r="M148" s="7"/>
      <c r="N148" s="7"/>
      <c r="O148" s="7"/>
    </row>
    <row r="149" spans="3:15" x14ac:dyDescent="0.2">
      <c r="C149">
        <v>129</v>
      </c>
      <c r="D149" s="7">
        <v>3116.6376550176788</v>
      </c>
      <c r="E149" s="7"/>
      <c r="F149" s="7">
        <f t="shared" si="4"/>
        <v>251.67627647738956</v>
      </c>
      <c r="H149" s="7"/>
      <c r="I149" s="7"/>
      <c r="J149" s="7">
        <v>992.72134497854813</v>
      </c>
      <c r="K149" s="7"/>
      <c r="L149" s="7">
        <f t="shared" si="5"/>
        <v>64.300810588486897</v>
      </c>
      <c r="M149" s="7"/>
      <c r="N149" s="7"/>
      <c r="O149" s="7"/>
    </row>
    <row r="150" spans="3:15" x14ac:dyDescent="0.2">
      <c r="C150">
        <v>130</v>
      </c>
      <c r="D150" s="7">
        <v>3112.7742674268525</v>
      </c>
      <c r="E150" s="7"/>
      <c r="F150" s="7">
        <f t="shared" ref="F150:F213" si="6">D150*(1-($C$2/($D$8-$D$6)*LN($D$8/$D$6)))</f>
        <v>251.36429827810076</v>
      </c>
      <c r="H150" s="7"/>
      <c r="I150" s="7"/>
      <c r="J150" s="7">
        <v>1192.2684944739572</v>
      </c>
      <c r="K150" s="7"/>
      <c r="L150" s="7">
        <f t="shared" ref="L150:L213" si="7">J150*(1-$C$2/($D$10-$D$9)*LN($D$10/$D$9))</f>
        <v>77.225931548240254</v>
      </c>
      <c r="M150" s="7"/>
      <c r="N150" s="7"/>
      <c r="O150" s="7"/>
    </row>
    <row r="151" spans="3:15" x14ac:dyDescent="0.2">
      <c r="C151">
        <v>131</v>
      </c>
      <c r="D151" s="7">
        <v>3108.935074159569</v>
      </c>
      <c r="E151" s="7"/>
      <c r="F151" s="7">
        <f t="shared" si="6"/>
        <v>251.05427383087914</v>
      </c>
      <c r="H151" s="7"/>
      <c r="I151" s="7"/>
      <c r="J151" s="7">
        <v>1391.7914496458234</v>
      </c>
      <c r="K151" s="7"/>
      <c r="L151" s="7">
        <f t="shared" si="7"/>
        <v>90.149485386843935</v>
      </c>
      <c r="M151" s="7"/>
      <c r="N151" s="7"/>
      <c r="O151" s="7"/>
    </row>
    <row r="152" spans="3:15" x14ac:dyDescent="0.2">
      <c r="C152">
        <v>132</v>
      </c>
      <c r="D152" s="7">
        <v>3105.1199885536694</v>
      </c>
      <c r="E152" s="7"/>
      <c r="F152" s="7">
        <f t="shared" si="6"/>
        <v>250.74619613753885</v>
      </c>
      <c r="H152" s="7"/>
      <c r="I152" s="7"/>
      <c r="J152" s="7">
        <v>1591.2902971563049</v>
      </c>
      <c r="K152" s="7"/>
      <c r="L152" s="7">
        <f t="shared" si="7"/>
        <v>103.07147771760228</v>
      </c>
      <c r="M152" s="7"/>
      <c r="N152" s="7"/>
      <c r="O152" s="7"/>
    </row>
    <row r="153" spans="3:15" x14ac:dyDescent="0.2">
      <c r="C153">
        <v>133</v>
      </c>
      <c r="D153" s="7">
        <v>3101.3289241919588</v>
      </c>
      <c r="E153" s="7"/>
      <c r="F153" s="7">
        <f t="shared" si="6"/>
        <v>250.44005821967556</v>
      </c>
      <c r="H153" s="7"/>
      <c r="I153" s="7"/>
      <c r="J153" s="7">
        <v>1692.9232424703055</v>
      </c>
      <c r="K153" s="7"/>
      <c r="L153" s="7">
        <f t="shared" si="7"/>
        <v>109.65447384158188</v>
      </c>
      <c r="M153" s="7"/>
      <c r="N153" s="7"/>
      <c r="O153" s="7"/>
    </row>
    <row r="154" spans="3:15" x14ac:dyDescent="0.2">
      <c r="C154">
        <v>134</v>
      </c>
      <c r="D154" s="7">
        <v>3097.5617949016269</v>
      </c>
      <c r="E154" s="7"/>
      <c r="F154" s="7">
        <f t="shared" si="6"/>
        <v>250.13585311861954</v>
      </c>
      <c r="H154" s="7"/>
      <c r="I154" s="7"/>
      <c r="J154" s="7">
        <v>1696.6903717606374</v>
      </c>
      <c r="K154" s="7"/>
      <c r="L154" s="7">
        <f t="shared" si="7"/>
        <v>109.89847934039102</v>
      </c>
      <c r="M154" s="7"/>
      <c r="N154" s="7"/>
      <c r="O154" s="7"/>
    </row>
    <row r="155" spans="3:15" x14ac:dyDescent="0.2">
      <c r="C155">
        <v>135</v>
      </c>
      <c r="D155" s="7">
        <v>3093.8185147536701</v>
      </c>
      <c r="E155" s="7"/>
      <c r="F155" s="7">
        <f t="shared" si="6"/>
        <v>249.83357389538909</v>
      </c>
      <c r="H155" s="7"/>
      <c r="I155" s="7"/>
      <c r="J155" s="7">
        <v>2189.6430566700515</v>
      </c>
      <c r="K155" s="7"/>
      <c r="L155" s="7">
        <f t="shared" si="7"/>
        <v>141.82814155807131</v>
      </c>
      <c r="M155" s="7"/>
      <c r="N155" s="7"/>
      <c r="O155" s="7"/>
    </row>
    <row r="156" spans="3:15" x14ac:dyDescent="0.2">
      <c r="C156">
        <v>136</v>
      </c>
      <c r="D156" s="7">
        <v>3090.0989980623222</v>
      </c>
      <c r="E156" s="7"/>
      <c r="F156" s="7">
        <f t="shared" si="6"/>
        <v>249.53321363064455</v>
      </c>
      <c r="H156" s="7"/>
      <c r="I156" s="7"/>
      <c r="J156" s="7">
        <v>2389.0463352659804</v>
      </c>
      <c r="K156" s="7"/>
      <c r="L156" s="7">
        <f t="shared" si="7"/>
        <v>154.74394367371653</v>
      </c>
      <c r="M156" s="7"/>
      <c r="N156" s="7"/>
      <c r="O156" s="7"/>
    </row>
    <row r="157" spans="3:15" x14ac:dyDescent="0.2">
      <c r="C157">
        <v>137</v>
      </c>
      <c r="D157" s="7">
        <v>3086.4031593844788</v>
      </c>
      <c r="E157" s="7"/>
      <c r="F157" s="7">
        <f t="shared" si="6"/>
        <v>249.23476542464178</v>
      </c>
      <c r="H157" s="7"/>
      <c r="I157" s="7"/>
      <c r="J157" s="7">
        <v>2118.7849072774084</v>
      </c>
      <c r="K157" s="7"/>
      <c r="L157" s="7">
        <f t="shared" si="7"/>
        <v>137.23849868820281</v>
      </c>
      <c r="M157" s="7"/>
      <c r="N157" s="7"/>
      <c r="O157" s="7"/>
    </row>
    <row r="158" spans="3:15" x14ac:dyDescent="0.2">
      <c r="C158">
        <v>138</v>
      </c>
      <c r="D158" s="7">
        <v>3082.7309135191199</v>
      </c>
      <c r="E158" s="7"/>
      <c r="F158" s="7">
        <f t="shared" si="6"/>
        <v>248.93822239718554</v>
      </c>
      <c r="H158" s="7"/>
      <c r="I158" s="7"/>
      <c r="J158" s="7">
        <v>1848.4998864763529</v>
      </c>
      <c r="K158" s="7"/>
      <c r="L158" s="7">
        <f t="shared" si="7"/>
        <v>119.7315255427735</v>
      </c>
      <c r="M158" s="7"/>
      <c r="N158" s="7"/>
      <c r="O158" s="7"/>
    </row>
    <row r="159" spans="3:15" x14ac:dyDescent="0.2">
      <c r="C159">
        <v>139</v>
      </c>
      <c r="D159" s="7">
        <v>3079.4349791883433</v>
      </c>
      <c r="E159" s="7"/>
      <c r="F159" s="7">
        <f t="shared" si="6"/>
        <v>248.67206746623026</v>
      </c>
      <c r="H159" s="7"/>
      <c r="I159" s="7"/>
      <c r="J159" s="7">
        <v>1714.817187473921</v>
      </c>
      <c r="K159" s="7"/>
      <c r="L159" s="7">
        <f t="shared" si="7"/>
        <v>111.07259426161036</v>
      </c>
      <c r="M159" s="7"/>
      <c r="N159" s="7"/>
      <c r="O159" s="7"/>
    </row>
    <row r="160" spans="3:15" x14ac:dyDescent="0.2">
      <c r="C160">
        <v>140</v>
      </c>
      <c r="D160" s="7">
        <v>3076.6905043500938</v>
      </c>
      <c r="E160" s="7"/>
      <c r="F160" s="7">
        <f t="shared" si="6"/>
        <v>248.45044426692618</v>
      </c>
      <c r="H160" s="7"/>
      <c r="I160" s="7"/>
      <c r="J160" s="7">
        <v>1306.6257623125475</v>
      </c>
      <c r="K160" s="7"/>
      <c r="L160" s="7">
        <f t="shared" si="7"/>
        <v>84.63311086991078</v>
      </c>
      <c r="M160" s="7"/>
      <c r="N160" s="7"/>
      <c r="O160" s="7"/>
    </row>
    <row r="161" spans="3:15" x14ac:dyDescent="0.2">
      <c r="C161">
        <v>141</v>
      </c>
      <c r="D161" s="7">
        <v>3073.9676996073958</v>
      </c>
      <c r="E161" s="7"/>
      <c r="F161" s="7">
        <f t="shared" si="6"/>
        <v>248.23057098197313</v>
      </c>
      <c r="H161" s="7"/>
      <c r="I161" s="7"/>
      <c r="J161" s="7">
        <v>1035.3913003888292</v>
      </c>
      <c r="K161" s="7"/>
      <c r="L161" s="7">
        <f t="shared" si="7"/>
        <v>67.064640271946516</v>
      </c>
      <c r="M161" s="7"/>
      <c r="N161" s="7"/>
      <c r="O161" s="7"/>
    </row>
    <row r="162" spans="3:15" x14ac:dyDescent="0.2">
      <c r="C162">
        <v>142</v>
      </c>
      <c r="D162" s="7">
        <v>3071.2664828152078</v>
      </c>
      <c r="E162" s="7"/>
      <c r="F162" s="7">
        <f t="shared" si="6"/>
        <v>248.0124409779537</v>
      </c>
      <c r="H162" s="7"/>
      <c r="I162" s="7"/>
      <c r="J162" s="7">
        <v>764.13525051460374</v>
      </c>
      <c r="K162" s="7"/>
      <c r="L162" s="7">
        <f t="shared" si="7"/>
        <v>49.494771373518994</v>
      </c>
      <c r="M162" s="7"/>
      <c r="N162" s="7"/>
      <c r="O162" s="7"/>
    </row>
    <row r="163" spans="3:15" x14ac:dyDescent="0.2">
      <c r="C163">
        <v>143</v>
      </c>
      <c r="D163" s="7">
        <v>3068.5867720686715</v>
      </c>
      <c r="E163" s="7"/>
      <c r="F163" s="7">
        <f t="shared" si="6"/>
        <v>247.79604764084604</v>
      </c>
      <c r="H163" s="7"/>
      <c r="I163" s="7"/>
      <c r="J163" s="7">
        <v>13.432477928498884</v>
      </c>
      <c r="K163" s="7"/>
      <c r="L163" s="7">
        <f t="shared" si="7"/>
        <v>0.87005202757386235</v>
      </c>
      <c r="M163" s="7"/>
      <c r="N163" s="7"/>
      <c r="O163" s="7"/>
    </row>
    <row r="164" spans="3:15" x14ac:dyDescent="0.2">
      <c r="C164">
        <v>144</v>
      </c>
      <c r="D164" s="7">
        <v>2910.7959583306606</v>
      </c>
      <c r="E164" s="7"/>
      <c r="F164" s="7">
        <f t="shared" si="6"/>
        <v>235.05404524605862</v>
      </c>
      <c r="H164" s="7"/>
      <c r="I164" s="7"/>
      <c r="J164" s="7">
        <v>0</v>
      </c>
      <c r="K164" s="7"/>
      <c r="L164" s="7">
        <f t="shared" si="7"/>
        <v>0</v>
      </c>
      <c r="M164" s="7"/>
      <c r="N164" s="7"/>
      <c r="O164" s="7"/>
    </row>
    <row r="165" spans="3:15" x14ac:dyDescent="0.2">
      <c r="C165">
        <v>145</v>
      </c>
      <c r="D165" s="7">
        <v>2739.5726666641513</v>
      </c>
      <c r="E165" s="7"/>
      <c r="F165" s="7">
        <f t="shared" si="6"/>
        <v>221.22733670217281</v>
      </c>
      <c r="H165" s="7"/>
      <c r="I165" s="7"/>
      <c r="J165" s="7">
        <v>0</v>
      </c>
      <c r="K165" s="7"/>
      <c r="L165" s="7">
        <f t="shared" si="7"/>
        <v>0</v>
      </c>
      <c r="M165" s="7"/>
      <c r="N165" s="7"/>
      <c r="O165" s="7"/>
    </row>
    <row r="166" spans="3:15" x14ac:dyDescent="0.2">
      <c r="C166">
        <v>146</v>
      </c>
      <c r="D166" s="7">
        <v>2739.5726666641513</v>
      </c>
      <c r="E166" s="7"/>
      <c r="F166" s="7">
        <f t="shared" si="6"/>
        <v>221.22733670217281</v>
      </c>
      <c r="H166" s="7"/>
      <c r="I166" s="7"/>
      <c r="J166" s="7">
        <v>0</v>
      </c>
      <c r="K166" s="7"/>
      <c r="L166" s="7">
        <f t="shared" si="7"/>
        <v>0</v>
      </c>
      <c r="M166" s="7"/>
      <c r="N166" s="7"/>
      <c r="O166" s="7"/>
    </row>
    <row r="167" spans="3:15" x14ac:dyDescent="0.2">
      <c r="C167">
        <v>147</v>
      </c>
      <c r="D167" s="7">
        <v>2910.7959583306615</v>
      </c>
      <c r="E167" s="7"/>
      <c r="F167" s="7">
        <f t="shared" si="6"/>
        <v>235.05404524605868</v>
      </c>
      <c r="H167" s="7"/>
      <c r="I167" s="7"/>
      <c r="J167" s="7">
        <v>0</v>
      </c>
      <c r="K167" s="7"/>
      <c r="L167" s="7">
        <f t="shared" si="7"/>
        <v>0</v>
      </c>
      <c r="M167" s="7"/>
      <c r="N167" s="7"/>
      <c r="O167" s="7"/>
    </row>
    <row r="168" spans="3:15" x14ac:dyDescent="0.2">
      <c r="C168">
        <v>148</v>
      </c>
      <c r="D168" s="7">
        <v>3057.5869199544613</v>
      </c>
      <c r="E168" s="7"/>
      <c r="F168" s="7">
        <f t="shared" si="6"/>
        <v>246.90778210332059</v>
      </c>
      <c r="H168" s="7"/>
      <c r="I168" s="7"/>
      <c r="J168" s="7">
        <v>24.432330042709054</v>
      </c>
      <c r="K168" s="7"/>
      <c r="L168" s="7">
        <f t="shared" si="7"/>
        <v>1.5825373698855858</v>
      </c>
      <c r="M168" s="7"/>
      <c r="N168" s="7"/>
      <c r="O168" s="7"/>
    </row>
    <row r="169" spans="3:15" x14ac:dyDescent="0.2">
      <c r="C169">
        <v>149</v>
      </c>
      <c r="D169" s="7">
        <v>3055.0249672542154</v>
      </c>
      <c r="E169" s="7"/>
      <c r="F169" s="7">
        <f t="shared" si="6"/>
        <v>246.70089802262837</v>
      </c>
      <c r="H169" s="7"/>
      <c r="I169" s="7"/>
      <c r="J169" s="7">
        <v>198.21757440946431</v>
      </c>
      <c r="K169" s="7"/>
      <c r="L169" s="7">
        <f t="shared" si="7"/>
        <v>12.839001369198616</v>
      </c>
      <c r="M169" s="7"/>
      <c r="N169" s="7"/>
      <c r="O169" s="7"/>
    </row>
    <row r="170" spans="3:15" x14ac:dyDescent="0.2">
      <c r="C170">
        <v>150</v>
      </c>
      <c r="D170" s="7">
        <v>3052.4839847466492</v>
      </c>
      <c r="E170" s="7"/>
      <c r="F170" s="7">
        <f t="shared" si="6"/>
        <v>246.49570733738176</v>
      </c>
      <c r="H170" s="7"/>
      <c r="I170" s="7"/>
      <c r="J170" s="7">
        <v>371.98184858353989</v>
      </c>
      <c r="K170" s="7"/>
      <c r="L170" s="7">
        <f t="shared" si="7"/>
        <v>24.094107081622461</v>
      </c>
      <c r="M170" s="7"/>
      <c r="N170" s="7"/>
      <c r="O170" s="7"/>
    </row>
    <row r="171" spans="3:15" x14ac:dyDescent="0.2">
      <c r="C171">
        <v>151</v>
      </c>
      <c r="D171" s="7">
        <v>3049.96389234648</v>
      </c>
      <c r="E171" s="7"/>
      <c r="F171" s="7">
        <f t="shared" si="6"/>
        <v>246.29220358049412</v>
      </c>
      <c r="H171" s="7"/>
      <c r="I171" s="7"/>
      <c r="J171" s="7">
        <v>545.72523265021846</v>
      </c>
      <c r="K171" s="7"/>
      <c r="L171" s="7">
        <f t="shared" si="7"/>
        <v>35.347859694462315</v>
      </c>
      <c r="M171" s="7"/>
      <c r="N171" s="7"/>
      <c r="O171" s="7"/>
    </row>
    <row r="172" spans="3:15" x14ac:dyDescent="0.2">
      <c r="C172">
        <v>152</v>
      </c>
      <c r="D172" s="7">
        <v>3047.4646102035686</v>
      </c>
      <c r="E172" s="7"/>
      <c r="F172" s="7">
        <f t="shared" si="6"/>
        <v>246.09038030386725</v>
      </c>
      <c r="H172" s="7"/>
      <c r="I172" s="7"/>
      <c r="J172" s="7">
        <v>719.44780645963965</v>
      </c>
      <c r="K172" s="7"/>
      <c r="L172" s="7">
        <f t="shared" si="7"/>
        <v>46.600264379792627</v>
      </c>
      <c r="M172" s="7"/>
      <c r="N172" s="7"/>
      <c r="O172" s="7"/>
    </row>
    <row r="173" spans="3:15" x14ac:dyDescent="0.2">
      <c r="C173">
        <v>153</v>
      </c>
      <c r="D173" s="7">
        <v>3044.986058702345</v>
      </c>
      <c r="E173" s="7"/>
      <c r="F173" s="7">
        <f t="shared" si="6"/>
        <v>245.89023107834495</v>
      </c>
      <c r="H173" s="7"/>
      <c r="I173" s="7"/>
      <c r="J173" s="7">
        <v>893.14964962737258</v>
      </c>
      <c r="K173" s="7"/>
      <c r="L173" s="7">
        <f t="shared" si="7"/>
        <v>57.851326294494186</v>
      </c>
      <c r="M173" s="7"/>
      <c r="N173" s="7"/>
      <c r="O173" s="7"/>
    </row>
    <row r="174" spans="3:15" x14ac:dyDescent="0.2">
      <c r="C174">
        <v>154</v>
      </c>
      <c r="D174" s="7">
        <v>3042.4399324737215</v>
      </c>
      <c r="E174" s="7"/>
      <c r="F174" s="7">
        <f t="shared" si="6"/>
        <v>245.68462502477317</v>
      </c>
      <c r="H174" s="7"/>
      <c r="I174" s="7"/>
      <c r="J174" s="7">
        <v>1066.9190675225054</v>
      </c>
      <c r="K174" s="7"/>
      <c r="L174" s="7">
        <f t="shared" si="7"/>
        <v>69.106765177384347</v>
      </c>
      <c r="M174" s="7"/>
      <c r="N174" s="7"/>
      <c r="O174" s="7"/>
    </row>
    <row r="175" spans="3:15" x14ac:dyDescent="0.2">
      <c r="C175">
        <v>155</v>
      </c>
      <c r="D175" s="7">
        <v>3039.1212633286336</v>
      </c>
      <c r="E175" s="7"/>
      <c r="F175" s="7">
        <f t="shared" si="6"/>
        <v>245.41663420076725</v>
      </c>
      <c r="H175" s="7"/>
      <c r="I175" s="7"/>
      <c r="J175" s="7">
        <v>1241.461028334103</v>
      </c>
      <c r="K175" s="7"/>
      <c r="L175" s="7">
        <f t="shared" si="7"/>
        <v>80.41224341521972</v>
      </c>
      <c r="M175" s="7"/>
      <c r="N175" s="7"/>
      <c r="O175" s="7"/>
    </row>
    <row r="176" spans="3:15" x14ac:dyDescent="0.2">
      <c r="C176">
        <v>156</v>
      </c>
      <c r="D176" s="7">
        <v>3035.8247565687543</v>
      </c>
      <c r="E176" s="7"/>
      <c r="F176" s="7">
        <f t="shared" si="6"/>
        <v>245.1504330447319</v>
      </c>
      <c r="H176" s="7"/>
      <c r="I176" s="7"/>
      <c r="J176" s="7">
        <v>1415.9808267604931</v>
      </c>
      <c r="K176" s="7"/>
      <c r="L176" s="7">
        <f t="shared" si="7"/>
        <v>91.716286145154882</v>
      </c>
      <c r="M176" s="7"/>
      <c r="N176" s="7"/>
      <c r="O176" s="7"/>
    </row>
    <row r="177" spans="3:15" x14ac:dyDescent="0.2">
      <c r="C177">
        <v>157</v>
      </c>
      <c r="D177" s="7">
        <v>3032.5503314180473</v>
      </c>
      <c r="E177" s="7"/>
      <c r="F177" s="7">
        <f t="shared" si="6"/>
        <v>244.88601503380045</v>
      </c>
      <c r="H177" s="7"/>
      <c r="I177" s="7"/>
      <c r="J177" s="7">
        <v>1590.4785435777089</v>
      </c>
      <c r="K177" s="7"/>
      <c r="L177" s="7">
        <f t="shared" si="7"/>
        <v>103.01889859923654</v>
      </c>
      <c r="M177" s="7"/>
      <c r="N177" s="7"/>
      <c r="O177" s="7"/>
    </row>
    <row r="178" spans="3:15" x14ac:dyDescent="0.2">
      <c r="C178">
        <v>158</v>
      </c>
      <c r="D178" s="7">
        <v>3029.2979073312526</v>
      </c>
      <c r="E178" s="7"/>
      <c r="F178" s="7">
        <f t="shared" si="6"/>
        <v>244.62337366374192</v>
      </c>
      <c r="H178" s="7"/>
      <c r="I178" s="7"/>
      <c r="J178" s="7">
        <v>1764.9542593310134</v>
      </c>
      <c r="K178" s="7"/>
      <c r="L178" s="7">
        <f t="shared" si="7"/>
        <v>114.32008599456381</v>
      </c>
      <c r="M178" s="7"/>
      <c r="N178" s="7"/>
      <c r="O178" s="7"/>
    </row>
    <row r="179" spans="3:15" x14ac:dyDescent="0.2">
      <c r="C179">
        <v>159</v>
      </c>
      <c r="D179" s="7">
        <v>3026.0674039933447</v>
      </c>
      <c r="E179" s="7"/>
      <c r="F179" s="7">
        <f t="shared" si="6"/>
        <v>244.36250244891735</v>
      </c>
      <c r="H179" s="7"/>
      <c r="I179" s="7"/>
      <c r="J179" s="7">
        <v>1596.9614710024107</v>
      </c>
      <c r="K179" s="7"/>
      <c r="L179" s="7">
        <f t="shared" si="7"/>
        <v>103.43881249602462</v>
      </c>
      <c r="M179" s="7"/>
      <c r="N179" s="7"/>
      <c r="O179" s="7"/>
    </row>
    <row r="180" spans="3:15" x14ac:dyDescent="0.2">
      <c r="C180">
        <v>160</v>
      </c>
      <c r="D180" s="7">
        <v>3022.8587413189803</v>
      </c>
      <c r="E180" s="7"/>
      <c r="F180" s="7">
        <f t="shared" si="6"/>
        <v>244.10339492223522</v>
      </c>
      <c r="H180" s="7"/>
      <c r="I180" s="7"/>
      <c r="J180" s="7">
        <v>1771.393425343284</v>
      </c>
      <c r="K180" s="7"/>
      <c r="L180" s="7">
        <f t="shared" si="7"/>
        <v>114.73716536552443</v>
      </c>
      <c r="M180" s="7"/>
      <c r="N180" s="7"/>
      <c r="O180" s="7"/>
    </row>
    <row r="181" spans="3:15" x14ac:dyDescent="0.2">
      <c r="C181">
        <v>161</v>
      </c>
      <c r="D181" s="7">
        <v>3019.6718394519517</v>
      </c>
      <c r="E181" s="7"/>
      <c r="F181" s="7">
        <f t="shared" si="6"/>
        <v>243.84604463510726</v>
      </c>
      <c r="H181" s="7"/>
      <c r="I181" s="7"/>
      <c r="J181" s="7">
        <v>2459.4734938763509</v>
      </c>
      <c r="K181" s="7"/>
      <c r="L181" s="7">
        <f t="shared" si="7"/>
        <v>159.30567029417981</v>
      </c>
      <c r="M181" s="7"/>
      <c r="N181" s="7"/>
      <c r="O181" s="7"/>
    </row>
    <row r="182" spans="3:15" x14ac:dyDescent="0.2">
      <c r="C182">
        <v>162</v>
      </c>
      <c r="D182" s="7">
        <v>3016.5066187646448</v>
      </c>
      <c r="E182" s="7"/>
      <c r="F182" s="7">
        <f t="shared" si="6"/>
        <v>243.59044515740473</v>
      </c>
      <c r="H182" s="7"/>
      <c r="I182" s="7"/>
      <c r="J182" s="7">
        <v>2291.415422897147</v>
      </c>
      <c r="K182" s="7"/>
      <c r="L182" s="7">
        <f t="shared" si="7"/>
        <v>148.42016829045912</v>
      </c>
      <c r="M182" s="7"/>
      <c r="N182" s="7"/>
      <c r="O182" s="7"/>
    </row>
    <row r="183" spans="3:15" x14ac:dyDescent="0.2">
      <c r="C183">
        <v>163</v>
      </c>
      <c r="D183" s="7">
        <v>3013.3629998574893</v>
      </c>
      <c r="E183" s="7"/>
      <c r="F183" s="7">
        <f t="shared" si="6"/>
        <v>243.33659007741392</v>
      </c>
      <c r="H183" s="7"/>
      <c r="I183" s="7"/>
      <c r="J183" s="7">
        <v>2637.0056251373221</v>
      </c>
      <c r="K183" s="7"/>
      <c r="L183" s="7">
        <f t="shared" si="7"/>
        <v>170.80482864644509</v>
      </c>
      <c r="M183" s="7"/>
      <c r="N183" s="7"/>
      <c r="O183" s="7"/>
    </row>
    <row r="184" spans="3:15" x14ac:dyDescent="0.2">
      <c r="C184">
        <v>164</v>
      </c>
      <c r="D184" s="7">
        <v>3010.2409035584233</v>
      </c>
      <c r="E184" s="7"/>
      <c r="F184" s="7">
        <f t="shared" si="6"/>
        <v>243.0844730017931</v>
      </c>
      <c r="H184" s="7"/>
      <c r="I184" s="7"/>
      <c r="J184" s="7">
        <v>2263.4364797700682</v>
      </c>
      <c r="K184" s="7"/>
      <c r="L184" s="7">
        <f t="shared" si="7"/>
        <v>146.60790875601825</v>
      </c>
      <c r="M184" s="7"/>
      <c r="N184" s="7"/>
      <c r="O184" s="7"/>
    </row>
    <row r="185" spans="3:15" x14ac:dyDescent="0.2">
      <c r="C185">
        <v>165</v>
      </c>
      <c r="D185" s="7">
        <v>3007.1402509223335</v>
      </c>
      <c r="E185" s="7"/>
      <c r="F185" s="7">
        <f t="shared" si="6"/>
        <v>242.83408755552716</v>
      </c>
      <c r="H185" s="7"/>
      <c r="I185" s="7"/>
      <c r="J185" s="7">
        <v>1889.8458907398372</v>
      </c>
      <c r="K185" s="7"/>
      <c r="L185" s="7">
        <f t="shared" si="7"/>
        <v>122.40959991095838</v>
      </c>
      <c r="M185" s="7"/>
      <c r="N185" s="7"/>
      <c r="O185" s="7"/>
    </row>
    <row r="186" spans="3:15" x14ac:dyDescent="0.2">
      <c r="C186">
        <v>166</v>
      </c>
      <c r="D186" s="7">
        <v>3004.3255910567641</v>
      </c>
      <c r="E186" s="7"/>
      <c r="F186" s="7">
        <f t="shared" si="6"/>
        <v>242.60679673993414</v>
      </c>
      <c r="H186" s="7"/>
      <c r="I186" s="7"/>
      <c r="J186" s="7">
        <v>1515.9693089390848</v>
      </c>
      <c r="K186" s="7"/>
      <c r="L186" s="7">
        <f t="shared" si="7"/>
        <v>98.19276666621677</v>
      </c>
      <c r="M186" s="7"/>
      <c r="N186" s="7"/>
      <c r="O186" s="7"/>
    </row>
    <row r="187" spans="3:15" x14ac:dyDescent="0.2">
      <c r="C187">
        <v>167</v>
      </c>
      <c r="D187" s="7">
        <v>3002.1485968273087</v>
      </c>
      <c r="E187" s="7"/>
      <c r="F187" s="7">
        <f t="shared" si="6"/>
        <v>242.43099901744304</v>
      </c>
      <c r="H187" s="7"/>
      <c r="I187" s="7"/>
      <c r="J187" s="7">
        <v>1141.4550615022204</v>
      </c>
      <c r="K187" s="7"/>
      <c r="L187" s="7">
        <f t="shared" si="7"/>
        <v>73.93463037355157</v>
      </c>
      <c r="M187" s="7"/>
      <c r="N187" s="7"/>
      <c r="O187" s="7"/>
    </row>
    <row r="188" spans="3:15" x14ac:dyDescent="0.2">
      <c r="C188">
        <v>168</v>
      </c>
      <c r="D188" s="7">
        <v>2999.9911420118774</v>
      </c>
      <c r="E188" s="7"/>
      <c r="F188" s="7">
        <f t="shared" si="6"/>
        <v>242.25677915144684</v>
      </c>
      <c r="H188" s="7"/>
      <c r="I188" s="7"/>
      <c r="J188" s="7">
        <v>766.9212746513308</v>
      </c>
      <c r="K188" s="7"/>
      <c r="L188" s="7">
        <f t="shared" si="7"/>
        <v>49.675228468772154</v>
      </c>
      <c r="M188" s="7"/>
      <c r="N188" s="7"/>
      <c r="O188" s="7"/>
    </row>
    <row r="189" spans="3:15" x14ac:dyDescent="0.2">
      <c r="C189">
        <v>169</v>
      </c>
      <c r="D189" s="7">
        <v>2910.7959583306606</v>
      </c>
      <c r="E189" s="7"/>
      <c r="F189" s="7">
        <f t="shared" si="6"/>
        <v>235.05404524605862</v>
      </c>
      <c r="H189" s="7"/>
      <c r="I189" s="7"/>
      <c r="J189" s="7">
        <v>0</v>
      </c>
      <c r="K189" s="7"/>
      <c r="L189" s="7">
        <f t="shared" si="7"/>
        <v>0</v>
      </c>
      <c r="M189" s="7"/>
      <c r="N189" s="7"/>
      <c r="O189" s="7"/>
    </row>
    <row r="190" spans="3:15" x14ac:dyDescent="0.2">
      <c r="C190">
        <v>170</v>
      </c>
      <c r="D190" s="7">
        <v>2739.5726666641513</v>
      </c>
      <c r="E190" s="7"/>
      <c r="F190" s="7">
        <f t="shared" si="6"/>
        <v>221.22733670217281</v>
      </c>
      <c r="H190" s="7"/>
      <c r="I190" s="7"/>
      <c r="J190" s="7">
        <v>0</v>
      </c>
      <c r="K190" s="7"/>
      <c r="L190" s="7">
        <f t="shared" si="7"/>
        <v>0</v>
      </c>
      <c r="M190" s="7"/>
      <c r="N190" s="7"/>
      <c r="O190" s="7"/>
    </row>
    <row r="191" spans="3:15" x14ac:dyDescent="0.2">
      <c r="C191">
        <v>171</v>
      </c>
      <c r="D191" s="7">
        <v>2910.7959583306606</v>
      </c>
      <c r="E191" s="7"/>
      <c r="F191" s="7">
        <f t="shared" si="6"/>
        <v>235.05404524605862</v>
      </c>
      <c r="H191" s="7"/>
      <c r="I191" s="7"/>
      <c r="J191" s="7">
        <v>0</v>
      </c>
      <c r="K191" s="7"/>
      <c r="L191" s="7">
        <f t="shared" si="7"/>
        <v>0</v>
      </c>
      <c r="M191" s="7"/>
      <c r="N191" s="7"/>
      <c r="O191" s="7"/>
    </row>
    <row r="192" spans="3:15" x14ac:dyDescent="0.2">
      <c r="C192">
        <v>172</v>
      </c>
      <c r="D192" s="7">
        <v>2992.3724946369371</v>
      </c>
      <c r="E192" s="7"/>
      <c r="F192" s="7">
        <f t="shared" si="6"/>
        <v>241.64155434338093</v>
      </c>
      <c r="H192" s="7"/>
      <c r="I192" s="7"/>
      <c r="J192" s="7">
        <v>89.646755360233328</v>
      </c>
      <c r="K192" s="7"/>
      <c r="L192" s="7">
        <f t="shared" si="7"/>
        <v>5.8066234451877818</v>
      </c>
      <c r="M192" s="7"/>
      <c r="N192" s="7"/>
      <c r="O192" s="7"/>
    </row>
    <row r="193" spans="3:15" x14ac:dyDescent="0.2">
      <c r="C193">
        <v>173</v>
      </c>
      <c r="D193" s="7">
        <v>2990.3078422588865</v>
      </c>
      <c r="E193" s="7"/>
      <c r="F193" s="7">
        <f t="shared" si="6"/>
        <v>241.4748285060378</v>
      </c>
      <c r="H193" s="7"/>
      <c r="I193" s="7"/>
      <c r="J193" s="7">
        <v>519.76963690455705</v>
      </c>
      <c r="K193" s="7"/>
      <c r="L193" s="7">
        <f t="shared" si="7"/>
        <v>33.666656953939821</v>
      </c>
      <c r="M193" s="7"/>
      <c r="N193" s="7"/>
      <c r="O193" s="7"/>
    </row>
    <row r="194" spans="3:15" x14ac:dyDescent="0.2">
      <c r="C194">
        <v>174</v>
      </c>
      <c r="D194" s="7">
        <v>2988.2622890617963</v>
      </c>
      <c r="E194" s="7"/>
      <c r="F194" s="7">
        <f t="shared" si="6"/>
        <v>241.30964497526986</v>
      </c>
      <c r="H194" s="7"/>
      <c r="I194" s="7"/>
      <c r="J194" s="7">
        <v>778.65012760141099</v>
      </c>
      <c r="K194" s="7"/>
      <c r="L194" s="7">
        <f t="shared" si="7"/>
        <v>50.434932846821582</v>
      </c>
      <c r="M194" s="7"/>
      <c r="N194" s="7"/>
      <c r="O194" s="7"/>
    </row>
    <row r="195" spans="3:15" x14ac:dyDescent="0.2">
      <c r="C195">
        <v>175</v>
      </c>
      <c r="D195" s="7">
        <v>2986.235760407365</v>
      </c>
      <c r="E195" s="7"/>
      <c r="F195" s="7">
        <f t="shared" si="6"/>
        <v>241.14599772384784</v>
      </c>
      <c r="H195" s="7"/>
      <c r="I195" s="7"/>
      <c r="J195" s="7">
        <v>1037.5115937556061</v>
      </c>
      <c r="K195" s="7"/>
      <c r="L195" s="7">
        <f t="shared" si="7"/>
        <v>67.201976476974011</v>
      </c>
      <c r="M195" s="7"/>
      <c r="N195" s="7"/>
      <c r="O195" s="7"/>
    </row>
    <row r="196" spans="3:15" x14ac:dyDescent="0.2">
      <c r="C196">
        <v>176</v>
      </c>
      <c r="D196" s="7">
        <v>2984.2281818792544</v>
      </c>
      <c r="E196" s="7"/>
      <c r="F196" s="7">
        <f t="shared" si="6"/>
        <v>240.98388074246654</v>
      </c>
      <c r="H196" s="7"/>
      <c r="I196" s="7"/>
      <c r="J196" s="7">
        <v>1296.3541097834805</v>
      </c>
      <c r="K196" s="7"/>
      <c r="L196" s="7">
        <f t="shared" si="7"/>
        <v>83.967792664511904</v>
      </c>
      <c r="M196" s="7"/>
      <c r="N196" s="7"/>
      <c r="O196" s="7"/>
    </row>
    <row r="197" spans="3:15" x14ac:dyDescent="0.2">
      <c r="C197">
        <v>177</v>
      </c>
      <c r="D197" s="7">
        <v>2982.239479282533</v>
      </c>
      <c r="E197" s="7"/>
      <c r="F197" s="7">
        <f t="shared" si="6"/>
        <v>240.82328803969983</v>
      </c>
      <c r="H197" s="7"/>
      <c r="I197" s="7"/>
      <c r="J197" s="7">
        <v>1555.1777498799661</v>
      </c>
      <c r="K197" s="7"/>
      <c r="L197" s="7">
        <f t="shared" si="7"/>
        <v>100.7323862152091</v>
      </c>
      <c r="M197" s="7"/>
      <c r="N197" s="7"/>
      <c r="O197" s="7"/>
    </row>
    <row r="198" spans="3:15" x14ac:dyDescent="0.2">
      <c r="C198">
        <v>178</v>
      </c>
      <c r="D198" s="7">
        <v>2980.269578643145</v>
      </c>
      <c r="E198" s="7"/>
      <c r="F198" s="7">
        <f t="shared" si="6"/>
        <v>240.66421364195796</v>
      </c>
      <c r="H198" s="7"/>
      <c r="I198" s="7"/>
      <c r="J198" s="7">
        <v>1813.9825880191183</v>
      </c>
      <c r="K198" s="7"/>
      <c r="L198" s="7">
        <f t="shared" si="7"/>
        <v>117.49576192053279</v>
      </c>
      <c r="M198" s="7"/>
      <c r="N198" s="7"/>
      <c r="O198" s="7"/>
    </row>
    <row r="199" spans="3:15" x14ac:dyDescent="0.2">
      <c r="C199">
        <v>179</v>
      </c>
      <c r="D199" s="7">
        <v>2978.3184062073565</v>
      </c>
      <c r="E199" s="7"/>
      <c r="F199" s="7">
        <f t="shared" si="6"/>
        <v>240.50665159344263</v>
      </c>
      <c r="H199" s="7"/>
      <c r="I199" s="7"/>
      <c r="J199" s="7">
        <v>2072.7686979546711</v>
      </c>
      <c r="K199" s="7"/>
      <c r="L199" s="7">
        <f t="shared" si="7"/>
        <v>134.25792455767936</v>
      </c>
      <c r="M199" s="7"/>
      <c r="N199" s="7"/>
      <c r="O199" s="7"/>
    </row>
    <row r="200" spans="3:15" x14ac:dyDescent="0.2">
      <c r="C200">
        <v>180</v>
      </c>
      <c r="D200" s="7">
        <v>2976.3858884412134</v>
      </c>
      <c r="E200" s="7"/>
      <c r="F200" s="7">
        <f t="shared" si="6"/>
        <v>240.35059595610338</v>
      </c>
      <c r="H200" s="7"/>
      <c r="I200" s="7"/>
      <c r="J200" s="7">
        <v>2331.5361532205775</v>
      </c>
      <c r="K200" s="7"/>
      <c r="L200" s="7">
        <f t="shared" si="7"/>
        <v>151.0188788896096</v>
      </c>
      <c r="M200" s="7"/>
      <c r="N200" s="7"/>
      <c r="O200" s="7"/>
    </row>
    <row r="201" spans="3:15" x14ac:dyDescent="0.2">
      <c r="C201">
        <v>181</v>
      </c>
      <c r="D201" s="7">
        <v>2974.4719520300009</v>
      </c>
      <c r="E201" s="7"/>
      <c r="F201" s="7">
        <f t="shared" si="6"/>
        <v>240.19604080959382</v>
      </c>
      <c r="H201" s="7"/>
      <c r="I201" s="7"/>
      <c r="J201" s="7">
        <v>2590.285027131556</v>
      </c>
      <c r="K201" s="7"/>
      <c r="L201" s="7">
        <f t="shared" si="7"/>
        <v>167.77862966508388</v>
      </c>
      <c r="M201" s="7"/>
      <c r="N201" s="7"/>
      <c r="O201" s="7"/>
    </row>
    <row r="202" spans="3:15" x14ac:dyDescent="0.2">
      <c r="C202">
        <v>182</v>
      </c>
      <c r="D202" s="7">
        <v>2972.576523877693</v>
      </c>
      <c r="E202" s="7"/>
      <c r="F202" s="7">
        <f t="shared" si="6"/>
        <v>240.04298025122725</v>
      </c>
      <c r="H202" s="7"/>
      <c r="I202" s="7"/>
      <c r="J202" s="7">
        <v>2849.0153927836282</v>
      </c>
      <c r="K202" s="7"/>
      <c r="L202" s="7">
        <f t="shared" si="7"/>
        <v>184.53718161869716</v>
      </c>
      <c r="M202" s="7"/>
      <c r="N202" s="7"/>
      <c r="O202" s="7"/>
    </row>
    <row r="203" spans="3:15" x14ac:dyDescent="0.2">
      <c r="C203">
        <v>183</v>
      </c>
      <c r="D203" s="7">
        <v>2970.6995311064211</v>
      </c>
      <c r="E203" s="7"/>
      <c r="F203" s="7">
        <f t="shared" si="6"/>
        <v>239.89140839593372</v>
      </c>
      <c r="H203" s="7"/>
      <c r="I203" s="7"/>
      <c r="J203" s="7">
        <v>2679.6690938883903</v>
      </c>
      <c r="K203" s="7"/>
      <c r="L203" s="7">
        <f t="shared" si="7"/>
        <v>173.56823817429154</v>
      </c>
      <c r="M203" s="7"/>
      <c r="N203" s="7"/>
      <c r="O203" s="7"/>
    </row>
    <row r="204" spans="3:15" x14ac:dyDescent="0.2">
      <c r="C204">
        <v>184</v>
      </c>
      <c r="D204" s="7">
        <v>2968.8409010559321</v>
      </c>
      <c r="E204" s="7"/>
      <c r="F204" s="7">
        <f t="shared" si="6"/>
        <v>239.7413193762163</v>
      </c>
      <c r="H204" s="7"/>
      <c r="I204" s="7"/>
      <c r="J204" s="7">
        <v>2909.8254461608917</v>
      </c>
      <c r="K204" s="7"/>
      <c r="L204" s="7">
        <f t="shared" si="7"/>
        <v>188.47598654504003</v>
      </c>
      <c r="M204" s="7"/>
      <c r="N204" s="7"/>
      <c r="O204" s="7"/>
    </row>
    <row r="205" spans="3:15" x14ac:dyDescent="0.2">
      <c r="C205">
        <v>185</v>
      </c>
      <c r="D205" s="7">
        <v>2967.00056128305</v>
      </c>
      <c r="E205" s="7"/>
      <c r="F205" s="7">
        <f t="shared" si="6"/>
        <v>239.5927073421075</v>
      </c>
      <c r="H205" s="7"/>
      <c r="I205" s="7"/>
      <c r="J205" s="7">
        <v>3710.7078137108183</v>
      </c>
      <c r="K205" s="7"/>
      <c r="L205" s="7">
        <f t="shared" si="7"/>
        <v>240.35095194190029</v>
      </c>
      <c r="M205" s="7"/>
      <c r="N205" s="7"/>
      <c r="O205" s="7"/>
    </row>
    <row r="206" spans="3:15" x14ac:dyDescent="0.2">
      <c r="C206">
        <v>186</v>
      </c>
      <c r="D206" s="7">
        <v>2965.1784395611285</v>
      </c>
      <c r="E206" s="7"/>
      <c r="F206" s="7">
        <f t="shared" si="6"/>
        <v>239.44556646112525</v>
      </c>
      <c r="H206" s="7"/>
      <c r="I206" s="7"/>
      <c r="J206" s="7">
        <v>3541.3066437662301</v>
      </c>
      <c r="K206" s="7"/>
      <c r="L206" s="7">
        <f t="shared" si="7"/>
        <v>229.37845437531433</v>
      </c>
      <c r="M206" s="7"/>
      <c r="N206" s="7"/>
      <c r="O206" s="7"/>
    </row>
    <row r="207" spans="3:15" x14ac:dyDescent="0.2">
      <c r="C207">
        <v>187</v>
      </c>
      <c r="D207" s="7">
        <v>2963.3744638795361</v>
      </c>
      <c r="E207" s="7"/>
      <c r="F207" s="7">
        <f t="shared" si="6"/>
        <v>239.29989091823114</v>
      </c>
      <c r="H207" s="7"/>
      <c r="I207" s="7"/>
      <c r="J207" s="7">
        <v>3885.5572027808421</v>
      </c>
      <c r="K207" s="7"/>
      <c r="L207" s="7">
        <f t="shared" si="7"/>
        <v>251.67634300453247</v>
      </c>
      <c r="M207" s="7"/>
      <c r="N207" s="7"/>
      <c r="O207" s="7"/>
    </row>
    <row r="208" spans="3:15" x14ac:dyDescent="0.2">
      <c r="C208">
        <v>188</v>
      </c>
      <c r="D208" s="7">
        <v>2961.5885624431007</v>
      </c>
      <c r="E208" s="7"/>
      <c r="F208" s="7">
        <f t="shared" si="6"/>
        <v>239.15567491578568</v>
      </c>
      <c r="H208" s="7"/>
      <c r="I208" s="7"/>
      <c r="J208" s="7">
        <v>3544.8965208842578</v>
      </c>
      <c r="K208" s="7"/>
      <c r="L208" s="7">
        <f t="shared" si="7"/>
        <v>229.61097884934711</v>
      </c>
      <c r="M208" s="7"/>
      <c r="N208" s="7"/>
      <c r="O208" s="7"/>
    </row>
    <row r="209" spans="3:15" x14ac:dyDescent="0.2">
      <c r="C209">
        <v>189</v>
      </c>
      <c r="D209" s="7">
        <v>2959.8206636715863</v>
      </c>
      <c r="E209" s="7"/>
      <c r="F209" s="7">
        <f t="shared" si="6"/>
        <v>239.01291267350595</v>
      </c>
      <c r="H209" s="7"/>
      <c r="I209" s="7"/>
      <c r="J209" s="7">
        <v>4060.3342946553007</v>
      </c>
      <c r="K209" s="7"/>
      <c r="L209" s="7">
        <f t="shared" si="7"/>
        <v>262.99705121401394</v>
      </c>
      <c r="M209" s="7"/>
      <c r="N209" s="7"/>
      <c r="O209" s="7"/>
    </row>
    <row r="210" spans="3:15" x14ac:dyDescent="0.2">
      <c r="C210">
        <v>190</v>
      </c>
      <c r="D210" s="7">
        <v>2958.0706961991568</v>
      </c>
      <c r="E210" s="7"/>
      <c r="F210" s="7">
        <f t="shared" si="6"/>
        <v>238.87159842842246</v>
      </c>
      <c r="H210" s="7"/>
      <c r="I210" s="7"/>
      <c r="J210" s="7">
        <v>3205.967803795183</v>
      </c>
      <c r="K210" s="7"/>
      <c r="L210" s="7">
        <f t="shared" si="7"/>
        <v>207.65779797862211</v>
      </c>
      <c r="M210" s="7"/>
      <c r="N210" s="7"/>
      <c r="O210" s="7"/>
    </row>
    <row r="211" spans="3:15" x14ac:dyDescent="0.2">
      <c r="C211">
        <v>191</v>
      </c>
      <c r="D211" s="7">
        <v>2956.3385888738449</v>
      </c>
      <c r="E211" s="7"/>
      <c r="F211" s="7">
        <f t="shared" si="6"/>
        <v>238.73172643483608</v>
      </c>
      <c r="H211" s="7"/>
      <c r="I211" s="7"/>
      <c r="J211" s="7">
        <v>2351.583452787946</v>
      </c>
      <c r="K211" s="7"/>
      <c r="L211" s="7">
        <f t="shared" si="7"/>
        <v>152.31738790103805</v>
      </c>
      <c r="M211" s="7"/>
      <c r="N211" s="7"/>
      <c r="O211" s="7"/>
    </row>
    <row r="212" spans="3:15" x14ac:dyDescent="0.2">
      <c r="C212">
        <v>192</v>
      </c>
      <c r="D212" s="7">
        <v>2954.6242707570163</v>
      </c>
      <c r="E212" s="7"/>
      <c r="F212" s="7">
        <f t="shared" si="6"/>
        <v>238.59329096427487</v>
      </c>
      <c r="H212" s="7"/>
      <c r="I212" s="7"/>
      <c r="J212" s="7">
        <v>1497.1813125722283</v>
      </c>
      <c r="K212" s="7"/>
      <c r="L212" s="7">
        <f t="shared" si="7"/>
        <v>96.975825576118098</v>
      </c>
      <c r="M212" s="7"/>
      <c r="N212" s="7"/>
      <c r="O212" s="7"/>
    </row>
    <row r="213" spans="3:15" x14ac:dyDescent="0.2">
      <c r="C213">
        <v>193</v>
      </c>
      <c r="D213" s="7">
        <v>2910.7959583306606</v>
      </c>
      <c r="E213" s="7"/>
      <c r="F213" s="7">
        <f t="shared" si="6"/>
        <v>235.05404524605862</v>
      </c>
      <c r="H213" s="7"/>
      <c r="I213" s="7"/>
      <c r="J213" s="7">
        <v>0</v>
      </c>
      <c r="K213" s="7"/>
      <c r="L213" s="7">
        <f t="shared" si="7"/>
        <v>0</v>
      </c>
      <c r="M213" s="7"/>
      <c r="N213" s="7"/>
      <c r="O213" s="7"/>
    </row>
    <row r="214" spans="3:15" x14ac:dyDescent="0.2">
      <c r="C214">
        <v>194</v>
      </c>
      <c r="D214" s="7">
        <v>2739.5726666641513</v>
      </c>
      <c r="E214" s="7"/>
      <c r="F214" s="7">
        <f t="shared" ref="F214:F277" si="8">D214*(1-($C$2/($D$8-$D$6)*LN($D$8/$D$6)))</f>
        <v>221.22733670217281</v>
      </c>
      <c r="H214" s="7"/>
      <c r="I214" s="7"/>
      <c r="J214" s="7">
        <v>0</v>
      </c>
      <c r="K214" s="7"/>
      <c r="L214" s="7">
        <f t="shared" ref="L214:L277" si="9">J214*(1-$C$2/($D$10-$D$9)*LN($D$10/$D$9))</f>
        <v>0</v>
      </c>
      <c r="M214" s="7"/>
      <c r="N214" s="7"/>
      <c r="O214" s="7"/>
    </row>
    <row r="215" spans="3:15" x14ac:dyDescent="0.2">
      <c r="C215">
        <v>195</v>
      </c>
      <c r="D215" s="7">
        <v>2945.0406166639623</v>
      </c>
      <c r="E215" s="7"/>
      <c r="F215" s="7">
        <f t="shared" si="8"/>
        <v>237.81938695483575</v>
      </c>
      <c r="H215" s="7"/>
      <c r="I215" s="7"/>
      <c r="J215" s="7">
        <v>0</v>
      </c>
      <c r="K215" s="7"/>
      <c r="L215" s="7">
        <f t="shared" si="9"/>
        <v>0</v>
      </c>
      <c r="M215" s="7"/>
      <c r="N215" s="7"/>
      <c r="O215" s="7"/>
    </row>
    <row r="216" spans="3:15" x14ac:dyDescent="0.2">
      <c r="C216">
        <v>196</v>
      </c>
      <c r="D216" s="7">
        <v>2948.4698002385644</v>
      </c>
      <c r="E216" s="7"/>
      <c r="F216" s="7">
        <f t="shared" si="8"/>
        <v>238.09630209510681</v>
      </c>
      <c r="H216" s="7"/>
      <c r="I216" s="7"/>
      <c r="J216" s="7">
        <v>133.54944975860599</v>
      </c>
      <c r="K216" s="7"/>
      <c r="L216" s="7">
        <f t="shared" si="9"/>
        <v>8.6503004257557645</v>
      </c>
      <c r="M216" s="7"/>
      <c r="N216" s="7"/>
      <c r="O216" s="7"/>
    </row>
    <row r="217" spans="3:15" x14ac:dyDescent="0.2">
      <c r="C217">
        <v>197</v>
      </c>
      <c r="D217" s="7">
        <v>2946.8409498760784</v>
      </c>
      <c r="E217" s="7"/>
      <c r="F217" s="7">
        <f t="shared" si="8"/>
        <v>237.96476835922022</v>
      </c>
      <c r="H217" s="7"/>
      <c r="I217" s="7"/>
      <c r="J217" s="7">
        <v>453.1644132160377</v>
      </c>
      <c r="K217" s="7"/>
      <c r="L217" s="7">
        <f t="shared" si="9"/>
        <v>29.352485717204875</v>
      </c>
      <c r="M217" s="7"/>
      <c r="N217" s="7"/>
      <c r="O217" s="7"/>
    </row>
    <row r="218" spans="3:15" x14ac:dyDescent="0.2">
      <c r="C218">
        <v>198</v>
      </c>
      <c r="D218" s="7">
        <v>2945.2294753323695</v>
      </c>
      <c r="E218" s="7"/>
      <c r="F218" s="7">
        <f t="shared" si="8"/>
        <v>237.8346377641073</v>
      </c>
      <c r="H218" s="7"/>
      <c r="I218" s="7"/>
      <c r="J218" s="7">
        <v>674.92011990240144</v>
      </c>
      <c r="K218" s="7"/>
      <c r="L218" s="7">
        <f t="shared" si="9"/>
        <v>43.716105241134883</v>
      </c>
      <c r="M218" s="7"/>
      <c r="N218" s="7"/>
      <c r="O218" s="7"/>
    </row>
    <row r="219" spans="3:15" x14ac:dyDescent="0.2">
      <c r="C219">
        <v>199</v>
      </c>
      <c r="D219" s="7">
        <v>2943.6353071269314</v>
      </c>
      <c r="E219" s="7"/>
      <c r="F219" s="7">
        <f t="shared" si="8"/>
        <v>237.70590469904363</v>
      </c>
      <c r="H219" s="7"/>
      <c r="I219" s="7"/>
      <c r="J219" s="7">
        <v>896.65852025049435</v>
      </c>
      <c r="K219" s="7"/>
      <c r="L219" s="7">
        <f t="shared" si="9"/>
        <v>58.078603794326462</v>
      </c>
      <c r="M219" s="7"/>
      <c r="N219" s="7"/>
      <c r="O219" s="7"/>
    </row>
    <row r="220" spans="3:15" x14ac:dyDescent="0.2">
      <c r="C220">
        <v>200</v>
      </c>
      <c r="D220" s="7">
        <v>2942.0583759884244</v>
      </c>
      <c r="E220" s="7"/>
      <c r="F220" s="7">
        <f t="shared" si="8"/>
        <v>237.57856357019543</v>
      </c>
      <c r="H220" s="7"/>
      <c r="I220" s="7"/>
      <c r="J220" s="7">
        <v>1118.3796835316566</v>
      </c>
      <c r="K220" s="7"/>
      <c r="L220" s="7">
        <f t="shared" si="9"/>
        <v>72.439985863641269</v>
      </c>
      <c r="M220" s="7"/>
      <c r="N220" s="7"/>
      <c r="O220" s="7"/>
    </row>
    <row r="221" spans="3:15" x14ac:dyDescent="0.2">
      <c r="C221">
        <v>201</v>
      </c>
      <c r="D221" s="7">
        <v>2940.4986128541714</v>
      </c>
      <c r="E221" s="7"/>
      <c r="F221" s="7">
        <f t="shared" si="8"/>
        <v>237.45260880057907</v>
      </c>
      <c r="H221" s="7"/>
      <c r="I221" s="7"/>
      <c r="J221" s="7">
        <v>1340.0836788085644</v>
      </c>
      <c r="K221" s="7"/>
      <c r="L221" s="7">
        <f t="shared" si="9"/>
        <v>86.800255922425279</v>
      </c>
      <c r="M221" s="7"/>
      <c r="N221" s="7"/>
      <c r="O221" s="7"/>
    </row>
    <row r="222" spans="3:15" x14ac:dyDescent="0.2">
      <c r="C222">
        <v>202</v>
      </c>
      <c r="D222" s="7">
        <v>2938.9559488696223</v>
      </c>
      <c r="E222" s="7"/>
      <c r="F222" s="7">
        <f t="shared" si="8"/>
        <v>237.32803483001754</v>
      </c>
      <c r="H222" s="7"/>
      <c r="I222" s="7"/>
      <c r="J222" s="7">
        <v>1561.7705749357692</v>
      </c>
      <c r="K222" s="7"/>
      <c r="L222" s="7">
        <f t="shared" si="9"/>
        <v>101.15941843054381</v>
      </c>
      <c r="M222" s="7"/>
      <c r="N222" s="7"/>
      <c r="O222" s="7"/>
    </row>
    <row r="223" spans="3:15" x14ac:dyDescent="0.2">
      <c r="C223">
        <v>203</v>
      </c>
      <c r="D223" s="7">
        <v>2937.4303153878436</v>
      </c>
      <c r="E223" s="7"/>
      <c r="F223" s="7">
        <f t="shared" si="8"/>
        <v>237.20483611509951</v>
      </c>
      <c r="H223" s="7"/>
      <c r="I223" s="7"/>
      <c r="J223" s="7">
        <v>1783.4404405602027</v>
      </c>
      <c r="K223" s="7"/>
      <c r="L223" s="7">
        <f t="shared" si="9"/>
        <v>115.51747783441412</v>
      </c>
      <c r="M223" s="7"/>
      <c r="N223" s="7"/>
      <c r="O223" s="7"/>
    </row>
    <row r="224" spans="3:15" x14ac:dyDescent="0.2">
      <c r="C224">
        <v>204</v>
      </c>
      <c r="D224" s="7">
        <v>2935.9216439689931</v>
      </c>
      <c r="E224" s="7"/>
      <c r="F224" s="7">
        <f t="shared" si="8"/>
        <v>237.08300712913675</v>
      </c>
      <c r="H224" s="7"/>
      <c r="I224" s="7"/>
      <c r="J224" s="7">
        <v>2005.093344121708</v>
      </c>
      <c r="K224" s="7"/>
      <c r="L224" s="7">
        <f t="shared" si="9"/>
        <v>129.87443856703996</v>
      </c>
      <c r="M224" s="7"/>
      <c r="N224" s="7"/>
      <c r="O224" s="7"/>
    </row>
    <row r="225" spans="3:15" x14ac:dyDescent="0.2">
      <c r="C225">
        <v>205</v>
      </c>
      <c r="D225" s="7">
        <v>2934.4298663798149</v>
      </c>
      <c r="E225" s="7"/>
      <c r="F225" s="7">
        <f t="shared" si="8"/>
        <v>236.9625423621234</v>
      </c>
      <c r="H225" s="7"/>
      <c r="I225" s="7"/>
      <c r="J225" s="7">
        <v>2226.7293538535409</v>
      </c>
      <c r="K225" s="7"/>
      <c r="L225" s="7">
        <f t="shared" si="9"/>
        <v>144.23030504804382</v>
      </c>
      <c r="M225" s="7"/>
      <c r="N225" s="7"/>
      <c r="O225" s="7"/>
    </row>
    <row r="226" spans="3:15" x14ac:dyDescent="0.2">
      <c r="C226">
        <v>206</v>
      </c>
      <c r="D226" s="7">
        <v>2932.9549145931087</v>
      </c>
      <c r="E226" s="7"/>
      <c r="F226" s="7">
        <f t="shared" si="8"/>
        <v>236.84343632069306</v>
      </c>
      <c r="H226" s="7"/>
      <c r="I226" s="7"/>
      <c r="J226" s="7">
        <v>2448.348537782902</v>
      </c>
      <c r="K226" s="7"/>
      <c r="L226" s="7">
        <f t="shared" si="9"/>
        <v>158.58508168370165</v>
      </c>
      <c r="M226" s="7"/>
      <c r="N226" s="7"/>
      <c r="O226" s="7"/>
    </row>
    <row r="227" spans="3:15" x14ac:dyDescent="0.2">
      <c r="C227">
        <v>207</v>
      </c>
      <c r="D227" s="7">
        <v>2931.4967207872269</v>
      </c>
      <c r="E227" s="7"/>
      <c r="F227" s="7">
        <f t="shared" si="8"/>
        <v>236.72568352807826</v>
      </c>
      <c r="H227" s="7"/>
      <c r="I227" s="7"/>
      <c r="J227" s="7">
        <v>2669.9509637314395</v>
      </c>
      <c r="K227" s="7"/>
      <c r="L227" s="7">
        <f t="shared" si="9"/>
        <v>172.93877286697526</v>
      </c>
      <c r="M227" s="7"/>
      <c r="N227" s="7"/>
      <c r="O227" s="7"/>
    </row>
    <row r="228" spans="3:15" x14ac:dyDescent="0.2">
      <c r="C228">
        <v>208</v>
      </c>
      <c r="D228" s="7">
        <v>2930.0552173455535</v>
      </c>
      <c r="E228" s="7"/>
      <c r="F228" s="7">
        <f t="shared" si="8"/>
        <v>236.60927852406837</v>
      </c>
      <c r="H228" s="7"/>
      <c r="I228" s="7"/>
      <c r="J228" s="7">
        <v>2891.5366993157677</v>
      </c>
      <c r="K228" s="7"/>
      <c r="L228" s="7">
        <f t="shared" si="9"/>
        <v>187.29138297754594</v>
      </c>
      <c r="M228" s="7"/>
      <c r="N228" s="7"/>
      <c r="O228" s="7"/>
    </row>
    <row r="229" spans="3:15" x14ac:dyDescent="0.2">
      <c r="C229">
        <v>209</v>
      </c>
      <c r="D229" s="7">
        <v>2928.6303368559975</v>
      </c>
      <c r="E229" s="7"/>
      <c r="F229" s="7">
        <f t="shared" si="8"/>
        <v>236.49421586496862</v>
      </c>
      <c r="H229" s="7"/>
      <c r="I229" s="7"/>
      <c r="J229" s="7">
        <v>2721.7382881388139</v>
      </c>
      <c r="K229" s="7"/>
      <c r="L229" s="7">
        <f t="shared" si="9"/>
        <v>176.29315519636404</v>
      </c>
      <c r="M229" s="7"/>
      <c r="N229" s="7"/>
      <c r="O229" s="7"/>
    </row>
    <row r="230" spans="3:15" x14ac:dyDescent="0.2">
      <c r="C230">
        <v>210</v>
      </c>
      <c r="D230" s="7">
        <v>2927.2220121104765</v>
      </c>
      <c r="E230" s="7"/>
      <c r="F230" s="7">
        <f t="shared" si="8"/>
        <v>236.38049012355847</v>
      </c>
      <c r="H230" s="7"/>
      <c r="I230" s="7"/>
      <c r="J230" s="7">
        <v>3065.5931962173545</v>
      </c>
      <c r="K230" s="7"/>
      <c r="L230" s="7">
        <f t="shared" si="9"/>
        <v>198.56541661808012</v>
      </c>
      <c r="M230" s="7"/>
      <c r="N230" s="7"/>
      <c r="O230" s="7"/>
    </row>
    <row r="231" spans="3:15" x14ac:dyDescent="0.2">
      <c r="C231">
        <v>211</v>
      </c>
      <c r="D231" s="7">
        <v>2925.8301761044045</v>
      </c>
      <c r="E231" s="7"/>
      <c r="F231" s="7">
        <f t="shared" si="8"/>
        <v>236.26809588905022</v>
      </c>
      <c r="H231" s="7"/>
      <c r="I231" s="7"/>
      <c r="J231" s="7">
        <v>3409.4316155564452</v>
      </c>
      <c r="K231" s="7"/>
      <c r="L231" s="7">
        <f t="shared" si="9"/>
        <v>220.83661002678573</v>
      </c>
      <c r="M231" s="7"/>
      <c r="N231" s="7"/>
      <c r="O231" s="7"/>
    </row>
    <row r="232" spans="3:15" x14ac:dyDescent="0.2">
      <c r="C232">
        <v>212</v>
      </c>
      <c r="D232" s="7">
        <v>2924.4547620361936</v>
      </c>
      <c r="E232" s="7"/>
      <c r="F232" s="7">
        <f t="shared" si="8"/>
        <v>236.15702776704873</v>
      </c>
      <c r="H232" s="7"/>
      <c r="I232" s="7"/>
      <c r="J232" s="7">
        <v>3582.0303212911649</v>
      </c>
      <c r="K232" s="7"/>
      <c r="L232" s="7">
        <f t="shared" si="9"/>
        <v>232.01621923072202</v>
      </c>
      <c r="M232" s="7"/>
      <c r="N232" s="7"/>
      <c r="O232" s="7"/>
    </row>
    <row r="233" spans="3:15" x14ac:dyDescent="0.2">
      <c r="C233">
        <v>213</v>
      </c>
      <c r="D233" s="7">
        <v>2923.0957033067311</v>
      </c>
      <c r="E233" s="7"/>
      <c r="F233" s="7">
        <f t="shared" si="8"/>
        <v>236.04728037950929</v>
      </c>
      <c r="H233" s="7"/>
      <c r="I233" s="7"/>
      <c r="J233" s="7">
        <v>4097.0592550201563</v>
      </c>
      <c r="K233" s="7"/>
      <c r="L233" s="7">
        <f t="shared" si="9"/>
        <v>265.37581009961167</v>
      </c>
      <c r="M233" s="7"/>
      <c r="N233" s="7"/>
      <c r="O233" s="7"/>
    </row>
    <row r="234" spans="3:15" x14ac:dyDescent="0.2">
      <c r="C234">
        <v>214</v>
      </c>
      <c r="D234" s="7">
        <v>2921.7529335188792</v>
      </c>
      <c r="E234" s="7"/>
      <c r="F234" s="7">
        <f t="shared" si="8"/>
        <v>235.93884836469718</v>
      </c>
      <c r="H234" s="7"/>
      <c r="I234" s="7"/>
      <c r="J234" s="7">
        <v>3242.2855664754607</v>
      </c>
      <c r="K234" s="7"/>
      <c r="L234" s="7">
        <f t="shared" si="9"/>
        <v>210.01018174765713</v>
      </c>
      <c r="M234" s="7"/>
      <c r="N234" s="7"/>
      <c r="O234" s="7"/>
    </row>
    <row r="235" spans="3:15" x14ac:dyDescent="0.2">
      <c r="C235">
        <v>215</v>
      </c>
      <c r="D235" s="7">
        <v>2920.4263864769691</v>
      </c>
      <c r="E235" s="7"/>
      <c r="F235" s="7">
        <f t="shared" si="8"/>
        <v>235.83172637714674</v>
      </c>
      <c r="H235" s="7"/>
      <c r="I235" s="7"/>
      <c r="J235" s="7">
        <v>2387.4956551848218</v>
      </c>
      <c r="K235" s="7"/>
      <c r="L235" s="7">
        <f t="shared" si="9"/>
        <v>154.64350261169415</v>
      </c>
      <c r="M235" s="7"/>
      <c r="N235" s="7"/>
      <c r="O235" s="7"/>
    </row>
    <row r="236" spans="3:15" x14ac:dyDescent="0.2">
      <c r="C236">
        <v>216</v>
      </c>
      <c r="D236" s="7">
        <v>2919.1159961862927</v>
      </c>
      <c r="E236" s="7"/>
      <c r="F236" s="7">
        <f t="shared" si="8"/>
        <v>235.72590908762044</v>
      </c>
      <c r="H236" s="7"/>
      <c r="I236" s="7"/>
      <c r="J236" s="7">
        <v>1532.689587142952</v>
      </c>
      <c r="K236" s="7"/>
      <c r="L236" s="7">
        <f t="shared" si="9"/>
        <v>99.275776966349795</v>
      </c>
      <c r="M236" s="7"/>
      <c r="N236" s="7"/>
      <c r="O236" s="7"/>
    </row>
    <row r="237" spans="3:15" x14ac:dyDescent="0.2">
      <c r="C237">
        <v>217</v>
      </c>
      <c r="D237" s="7">
        <v>2910.7959583306606</v>
      </c>
      <c r="E237" s="7"/>
      <c r="F237" s="7">
        <f t="shared" si="8"/>
        <v>235.05404524605862</v>
      </c>
      <c r="H237" s="7"/>
      <c r="I237" s="7"/>
      <c r="J237" s="7">
        <v>0</v>
      </c>
      <c r="K237" s="7"/>
      <c r="L237" s="7">
        <f t="shared" si="9"/>
        <v>0</v>
      </c>
      <c r="M237" s="7"/>
      <c r="N237" s="7"/>
      <c r="O237" s="7"/>
    </row>
    <row r="238" spans="3:15" x14ac:dyDescent="0.2">
      <c r="C238">
        <v>218</v>
      </c>
      <c r="D238" s="7">
        <v>2739.5726666641513</v>
      </c>
      <c r="E238" s="7"/>
      <c r="F238" s="7">
        <f t="shared" si="8"/>
        <v>221.22733670217281</v>
      </c>
      <c r="H238" s="7"/>
      <c r="I238" s="7"/>
      <c r="J238" s="7">
        <v>0</v>
      </c>
      <c r="K238" s="7"/>
      <c r="L238" s="7">
        <f t="shared" si="9"/>
        <v>0</v>
      </c>
      <c r="M238" s="7"/>
      <c r="N238" s="7"/>
      <c r="O238" s="7"/>
    </row>
    <row r="239" spans="3:15" x14ac:dyDescent="0.2">
      <c r="C239">
        <v>219</v>
      </c>
      <c r="D239" s="7">
        <v>2910.7959583306606</v>
      </c>
      <c r="E239" s="7"/>
      <c r="F239" s="7">
        <f t="shared" si="8"/>
        <v>235.05404524605862</v>
      </c>
      <c r="H239" s="7"/>
      <c r="I239" s="7"/>
      <c r="J239" s="7">
        <v>0</v>
      </c>
      <c r="K239" s="7"/>
      <c r="L239" s="7">
        <f t="shared" si="9"/>
        <v>0</v>
      </c>
      <c r="M239" s="7"/>
      <c r="N239" s="7"/>
      <c r="O239" s="7"/>
    </row>
    <row r="240" spans="3:15" x14ac:dyDescent="0.2">
      <c r="C240">
        <v>220</v>
      </c>
      <c r="D240" s="7">
        <v>2914.4432692771284</v>
      </c>
      <c r="E240" s="7"/>
      <c r="F240" s="7">
        <f t="shared" si="8"/>
        <v>235.34857471652316</v>
      </c>
      <c r="H240" s="7"/>
      <c r="I240" s="7"/>
      <c r="J240" s="7">
        <v>167.57598072004203</v>
      </c>
      <c r="K240" s="7"/>
      <c r="L240" s="7">
        <f t="shared" si="9"/>
        <v>10.854275925428196</v>
      </c>
      <c r="M240" s="7"/>
      <c r="N240" s="7"/>
      <c r="O240" s="7"/>
    </row>
    <row r="241" spans="3:15" x14ac:dyDescent="0.2">
      <c r="C241">
        <v>221</v>
      </c>
      <c r="D241" s="7">
        <v>2913.2108000487219</v>
      </c>
      <c r="E241" s="7"/>
      <c r="F241" s="7">
        <f t="shared" si="8"/>
        <v>235.24904974743382</v>
      </c>
      <c r="H241" s="7"/>
      <c r="I241" s="7"/>
      <c r="J241" s="7">
        <v>537.59707815323782</v>
      </c>
      <c r="K241" s="7"/>
      <c r="L241" s="7">
        <f t="shared" si="9"/>
        <v>34.821380712834689</v>
      </c>
      <c r="M241" s="7"/>
      <c r="N241" s="7"/>
      <c r="O241" s="7"/>
    </row>
    <row r="242" spans="3:15" x14ac:dyDescent="0.2">
      <c r="C242">
        <v>222</v>
      </c>
      <c r="D242" s="7">
        <v>2911.9941018433169</v>
      </c>
      <c r="E242" s="7"/>
      <c r="F242" s="7">
        <f t="shared" si="8"/>
        <v>235.15079832785025</v>
      </c>
      <c r="H242" s="7"/>
      <c r="I242" s="7"/>
      <c r="J242" s="7">
        <v>775.89218020457884</v>
      </c>
      <c r="K242" s="7"/>
      <c r="L242" s="7">
        <f t="shared" si="9"/>
        <v>50.256294345621079</v>
      </c>
      <c r="M242" s="7"/>
      <c r="N242" s="7"/>
      <c r="O242" s="7"/>
    </row>
    <row r="243" spans="3:15" x14ac:dyDescent="0.2">
      <c r="C243">
        <v>223</v>
      </c>
      <c r="D243" s="7">
        <v>2910.7931100430005</v>
      </c>
      <c r="E243" s="7"/>
      <c r="F243" s="7">
        <f t="shared" si="8"/>
        <v>235.0538152397146</v>
      </c>
      <c r="H243" s="7"/>
      <c r="I243" s="7"/>
      <c r="J243" s="7">
        <v>1014.1715758508308</v>
      </c>
      <c r="K243" s="7"/>
      <c r="L243" s="7">
        <f t="shared" si="9"/>
        <v>65.690190638965973</v>
      </c>
      <c r="M243" s="7"/>
      <c r="N243" s="7"/>
      <c r="O243" s="7"/>
    </row>
    <row r="244" spans="3:15" x14ac:dyDescent="0.2">
      <c r="C244">
        <v>224</v>
      </c>
      <c r="D244" s="7">
        <v>2909.6077602268469</v>
      </c>
      <c r="E244" s="7"/>
      <c r="F244" s="7">
        <f t="shared" si="8"/>
        <v>234.95809528087614</v>
      </c>
      <c r="H244" s="7"/>
      <c r="I244" s="7"/>
      <c r="J244" s="7">
        <v>1252.4353295129204</v>
      </c>
      <c r="K244" s="7"/>
      <c r="L244" s="7">
        <f t="shared" si="9"/>
        <v>81.123073765558757</v>
      </c>
      <c r="M244" s="7"/>
      <c r="N244" s="7"/>
      <c r="O244" s="7"/>
    </row>
    <row r="245" spans="3:15" x14ac:dyDescent="0.2">
      <c r="C245">
        <v>225</v>
      </c>
      <c r="D245" s="7">
        <v>2908.4379881704313</v>
      </c>
      <c r="E245" s="7"/>
      <c r="F245" s="7">
        <f t="shared" si="8"/>
        <v>234.86363326505213</v>
      </c>
      <c r="H245" s="7"/>
      <c r="I245" s="7"/>
      <c r="J245" s="7">
        <v>1490.6835054152721</v>
      </c>
      <c r="K245" s="7"/>
      <c r="L245" s="7">
        <f t="shared" si="9"/>
        <v>96.554947885360889</v>
      </c>
      <c r="M245" s="7"/>
      <c r="N245" s="7"/>
      <c r="O245" s="7"/>
    </row>
    <row r="246" spans="3:15" x14ac:dyDescent="0.2">
      <c r="C246">
        <v>226</v>
      </c>
      <c r="D246" s="7">
        <v>2907.2837298453283</v>
      </c>
      <c r="E246" s="7"/>
      <c r="F246" s="7">
        <f t="shared" si="8"/>
        <v>234.77042402178728</v>
      </c>
      <c r="H246" s="7"/>
      <c r="I246" s="7"/>
      <c r="J246" s="7">
        <v>1728.9161675863111</v>
      </c>
      <c r="K246" s="7"/>
      <c r="L246" s="7">
        <f t="shared" si="9"/>
        <v>111.98581714563855</v>
      </c>
      <c r="M246" s="7"/>
      <c r="N246" s="7"/>
      <c r="O246" s="7"/>
    </row>
    <row r="247" spans="3:15" x14ac:dyDescent="0.2">
      <c r="C247">
        <v>227</v>
      </c>
      <c r="D247" s="7">
        <v>2906.1449214186191</v>
      </c>
      <c r="E247" s="7"/>
      <c r="F247" s="7">
        <f t="shared" si="8"/>
        <v>234.67846239641392</v>
      </c>
      <c r="H247" s="7"/>
      <c r="I247" s="7"/>
      <c r="J247" s="7">
        <v>1967.1333798589571</v>
      </c>
      <c r="K247" s="7"/>
      <c r="L247" s="7">
        <f t="shared" si="9"/>
        <v>127.41568568099454</v>
      </c>
      <c r="M247" s="7"/>
      <c r="N247" s="7"/>
      <c r="O247" s="7"/>
    </row>
    <row r="248" spans="3:15" x14ac:dyDescent="0.2">
      <c r="C248">
        <v>228</v>
      </c>
      <c r="D248" s="7">
        <v>2905.0214992523966</v>
      </c>
      <c r="E248" s="7"/>
      <c r="F248" s="7">
        <f t="shared" si="8"/>
        <v>234.58774325001207</v>
      </c>
      <c r="H248" s="7"/>
      <c r="I248" s="7"/>
      <c r="J248" s="7">
        <v>2205.3352058711157</v>
      </c>
      <c r="K248" s="7"/>
      <c r="L248" s="7">
        <f t="shared" si="9"/>
        <v>142.84455761340021</v>
      </c>
      <c r="M248" s="7"/>
      <c r="N248" s="7"/>
      <c r="O248" s="7"/>
    </row>
    <row r="249" spans="3:15" x14ac:dyDescent="0.2">
      <c r="C249">
        <v>229</v>
      </c>
      <c r="D249" s="7">
        <v>2903.9133999032797</v>
      </c>
      <c r="E249" s="7"/>
      <c r="F249" s="7">
        <f t="shared" si="8"/>
        <v>234.49826145937024</v>
      </c>
      <c r="H249" s="7"/>
      <c r="I249" s="7"/>
      <c r="J249" s="7">
        <v>2443.5217090661677</v>
      </c>
      <c r="K249" s="7"/>
      <c r="L249" s="7">
        <f t="shared" si="9"/>
        <v>158.27243705222705</v>
      </c>
      <c r="M249" s="7"/>
      <c r="N249" s="7"/>
      <c r="O249" s="7"/>
    </row>
    <row r="250" spans="3:15" x14ac:dyDescent="0.2">
      <c r="C250">
        <v>230</v>
      </c>
      <c r="D250" s="7">
        <v>2902.8205601219206</v>
      </c>
      <c r="E250" s="7"/>
      <c r="F250" s="7">
        <f t="shared" si="8"/>
        <v>234.41001191694556</v>
      </c>
      <c r="H250" s="7"/>
      <c r="I250" s="7"/>
      <c r="J250" s="7">
        <v>2681.6929526934637</v>
      </c>
      <c r="K250" s="7"/>
      <c r="L250" s="7">
        <f t="shared" si="9"/>
        <v>173.6993280942788</v>
      </c>
      <c r="M250" s="7"/>
      <c r="N250" s="7"/>
      <c r="O250" s="7"/>
    </row>
    <row r="251" spans="3:15" x14ac:dyDescent="0.2">
      <c r="C251">
        <v>231</v>
      </c>
      <c r="D251" s="7">
        <v>2901.7429168525114</v>
      </c>
      <c r="E251" s="7"/>
      <c r="F251" s="7">
        <f t="shared" si="8"/>
        <v>234.32298953082403</v>
      </c>
      <c r="H251" s="7"/>
      <c r="I251" s="7"/>
      <c r="J251" s="7">
        <v>2919.8489998088098</v>
      </c>
      <c r="K251" s="7"/>
      <c r="L251" s="7">
        <f t="shared" si="9"/>
        <v>189.12523482382286</v>
      </c>
      <c r="M251" s="7"/>
      <c r="N251" s="7"/>
      <c r="O251" s="7"/>
    </row>
    <row r="252" spans="3:15" x14ac:dyDescent="0.2">
      <c r="C252">
        <v>232</v>
      </c>
      <c r="D252" s="7">
        <v>2900.6804072322921</v>
      </c>
      <c r="E252" s="7"/>
      <c r="F252" s="7">
        <f t="shared" si="8"/>
        <v>234.23718922468075</v>
      </c>
      <c r="H252" s="7"/>
      <c r="I252" s="7"/>
      <c r="J252" s="7">
        <v>2749.6882177625193</v>
      </c>
      <c r="K252" s="7"/>
      <c r="L252" s="7">
        <f t="shared" si="9"/>
        <v>178.10353546045945</v>
      </c>
      <c r="M252" s="7"/>
      <c r="N252" s="7"/>
      <c r="O252" s="7"/>
    </row>
    <row r="253" spans="3:15" x14ac:dyDescent="0.2">
      <c r="C253">
        <v>233</v>
      </c>
      <c r="D253" s="7">
        <v>2899.632968591075</v>
      </c>
      <c r="E253" s="7"/>
      <c r="F253" s="7">
        <f t="shared" si="8"/>
        <v>234.1526059377415</v>
      </c>
      <c r="H253" s="7"/>
      <c r="I253" s="7"/>
      <c r="J253" s="7">
        <v>3058.9375814034538</v>
      </c>
      <c r="K253" s="7"/>
      <c r="L253" s="7">
        <f t="shared" si="9"/>
        <v>198.13431736785921</v>
      </c>
      <c r="M253" s="7"/>
      <c r="N253" s="7"/>
      <c r="O253" s="7"/>
    </row>
    <row r="254" spans="3:15" x14ac:dyDescent="0.2">
      <c r="C254">
        <v>234</v>
      </c>
      <c r="D254" s="7">
        <v>2898.6005384507489</v>
      </c>
      <c r="E254" s="7"/>
      <c r="F254" s="7">
        <f t="shared" si="8"/>
        <v>234.06923462474271</v>
      </c>
      <c r="H254" s="7"/>
      <c r="I254" s="7"/>
      <c r="J254" s="7">
        <v>3368.1719365434974</v>
      </c>
      <c r="K254" s="7"/>
      <c r="L254" s="7">
        <f t="shared" si="9"/>
        <v>218.16412714065351</v>
      </c>
      <c r="M254" s="7"/>
      <c r="N254" s="7"/>
      <c r="O254" s="7"/>
    </row>
    <row r="255" spans="3:15" x14ac:dyDescent="0.2">
      <c r="C255">
        <v>235</v>
      </c>
      <c r="D255" s="7">
        <v>2897.5830545247954</v>
      </c>
      <c r="E255" s="7"/>
      <c r="F255" s="7">
        <f t="shared" si="8"/>
        <v>233.98707025589241</v>
      </c>
      <c r="H255" s="7"/>
      <c r="I255" s="7"/>
      <c r="J255" s="7">
        <v>3951.3486121355827</v>
      </c>
      <c r="K255" s="7"/>
      <c r="L255" s="7">
        <f t="shared" si="9"/>
        <v>255.93780164311971</v>
      </c>
      <c r="M255" s="7"/>
      <c r="N255" s="7"/>
      <c r="O255" s="7"/>
    </row>
    <row r="256" spans="3:15" x14ac:dyDescent="0.2">
      <c r="C256">
        <v>236</v>
      </c>
      <c r="D256" s="7">
        <v>2896.5804547178018</v>
      </c>
      <c r="E256" s="7"/>
      <c r="F256" s="7">
        <f t="shared" si="8"/>
        <v>233.90610781683094</v>
      </c>
      <c r="H256" s="7"/>
      <c r="I256" s="7"/>
      <c r="J256" s="7">
        <v>3952.3512119425764</v>
      </c>
      <c r="K256" s="7"/>
      <c r="L256" s="7">
        <f t="shared" si="9"/>
        <v>256.00274230407319</v>
      </c>
      <c r="M256" s="7"/>
      <c r="N256" s="7"/>
      <c r="O256" s="7"/>
    </row>
    <row r="257" spans="3:15" x14ac:dyDescent="0.2">
      <c r="C257">
        <v>237</v>
      </c>
      <c r="D257" s="7">
        <v>2895.5926771249847</v>
      </c>
      <c r="E257" s="7"/>
      <c r="F257" s="7">
        <f t="shared" si="8"/>
        <v>233.82634230859233</v>
      </c>
      <c r="H257" s="7"/>
      <c r="I257" s="7"/>
      <c r="J257" s="7">
        <v>4295.7855728684117</v>
      </c>
      <c r="K257" s="7"/>
      <c r="L257" s="7">
        <f t="shared" si="9"/>
        <v>278.24776393393188</v>
      </c>
      <c r="M257" s="7"/>
      <c r="N257" s="7"/>
      <c r="O257" s="7"/>
    </row>
    <row r="258" spans="3:15" x14ac:dyDescent="0.2">
      <c r="C258">
        <v>238</v>
      </c>
      <c r="D258" s="7">
        <v>2894.6196600316948</v>
      </c>
      <c r="E258" s="7"/>
      <c r="F258" s="7">
        <f t="shared" si="8"/>
        <v>233.74776874756455</v>
      </c>
      <c r="H258" s="7"/>
      <c r="I258" s="7"/>
      <c r="J258" s="7">
        <v>3406.3974732958536</v>
      </c>
      <c r="K258" s="7"/>
      <c r="L258" s="7">
        <f t="shared" si="9"/>
        <v>220.64008175852226</v>
      </c>
      <c r="M258" s="7"/>
      <c r="N258" s="7"/>
      <c r="O258" s="7"/>
    </row>
    <row r="259" spans="3:15" x14ac:dyDescent="0.2">
      <c r="C259">
        <v>239</v>
      </c>
      <c r="D259" s="7">
        <v>2893.6613419129517</v>
      </c>
      <c r="E259" s="7"/>
      <c r="F259" s="7">
        <f t="shared" si="8"/>
        <v>233.67038216545168</v>
      </c>
      <c r="H259" s="7"/>
      <c r="I259" s="7"/>
      <c r="J259" s="7">
        <v>2516.9946747487475</v>
      </c>
      <c r="K259" s="7"/>
      <c r="L259" s="7">
        <f t="shared" si="9"/>
        <v>163.03144749722966</v>
      </c>
      <c r="M259" s="7"/>
      <c r="N259" s="7"/>
      <c r="O259" s="7"/>
    </row>
    <row r="260" spans="3:15" x14ac:dyDescent="0.2">
      <c r="C260">
        <v>240</v>
      </c>
      <c r="D260" s="7">
        <v>2892.7176614329437</v>
      </c>
      <c r="E260" s="7"/>
      <c r="F260" s="7">
        <f t="shared" si="8"/>
        <v>233.59417760923372</v>
      </c>
      <c r="H260" s="7"/>
      <c r="I260" s="7"/>
      <c r="J260" s="7">
        <v>1627.5772385629052</v>
      </c>
      <c r="K260" s="7"/>
      <c r="L260" s="7">
        <f t="shared" si="9"/>
        <v>105.42186512291363</v>
      </c>
      <c r="M260" s="7"/>
      <c r="N260" s="7"/>
      <c r="O260" s="7"/>
    </row>
    <row r="261" spans="3:15" x14ac:dyDescent="0.2">
      <c r="C261">
        <v>241</v>
      </c>
      <c r="D261" s="7">
        <v>2891.7885574445654</v>
      </c>
      <c r="E261" s="7"/>
      <c r="F261" s="7">
        <f t="shared" si="8"/>
        <v>233.51915014112916</v>
      </c>
      <c r="H261" s="7"/>
      <c r="I261" s="7"/>
      <c r="J261" s="7">
        <v>19.007400886095184</v>
      </c>
      <c r="K261" s="7"/>
      <c r="L261" s="7">
        <f t="shared" si="9"/>
        <v>1.2311524178848545</v>
      </c>
      <c r="M261" s="7"/>
      <c r="N261" s="7"/>
      <c r="O261" s="7"/>
    </row>
    <row r="262" spans="3:15" x14ac:dyDescent="0.2">
      <c r="C262">
        <v>242</v>
      </c>
      <c r="D262" s="7">
        <v>2739.5726666641513</v>
      </c>
      <c r="E262" s="7"/>
      <c r="F262" s="7">
        <f t="shared" si="8"/>
        <v>221.22733670217281</v>
      </c>
      <c r="H262" s="7"/>
      <c r="I262" s="7"/>
      <c r="J262" s="7">
        <v>0</v>
      </c>
      <c r="K262" s="7"/>
      <c r="L262" s="7">
        <f t="shared" si="9"/>
        <v>0</v>
      </c>
      <c r="M262" s="7"/>
      <c r="N262" s="7"/>
      <c r="O262" s="7"/>
    </row>
    <row r="263" spans="3:15" x14ac:dyDescent="0.2">
      <c r="C263">
        <v>243</v>
      </c>
      <c r="D263" s="7">
        <v>2888.509065176042</v>
      </c>
      <c r="E263" s="7"/>
      <c r="F263" s="7">
        <f t="shared" si="8"/>
        <v>233.25432294777559</v>
      </c>
      <c r="H263" s="7"/>
      <c r="I263" s="7"/>
      <c r="J263" s="7">
        <v>22.28689315461861</v>
      </c>
      <c r="K263" s="7"/>
      <c r="L263" s="7">
        <f t="shared" si="9"/>
        <v>1.4435725620183413</v>
      </c>
      <c r="M263" s="7"/>
      <c r="N263" s="7"/>
      <c r="O263" s="7"/>
    </row>
    <row r="264" spans="3:15" x14ac:dyDescent="0.2">
      <c r="C264">
        <v>244</v>
      </c>
      <c r="D264" s="7">
        <v>2886.7437917228635</v>
      </c>
      <c r="E264" s="7"/>
      <c r="F264" s="7">
        <f t="shared" si="8"/>
        <v>233.11177270650995</v>
      </c>
      <c r="H264" s="7"/>
      <c r="I264" s="7"/>
      <c r="J264" s="7">
        <v>195.27545827430686</v>
      </c>
      <c r="K264" s="7"/>
      <c r="L264" s="7">
        <f t="shared" si="9"/>
        <v>12.648433841570631</v>
      </c>
      <c r="M264" s="7"/>
      <c r="N264" s="7"/>
      <c r="O264" s="7"/>
    </row>
    <row r="265" spans="3:15" x14ac:dyDescent="0.2">
      <c r="C265">
        <v>245</v>
      </c>
      <c r="D265" s="7">
        <v>2884.9945216426436</v>
      </c>
      <c r="E265" s="7"/>
      <c r="F265" s="7">
        <f t="shared" si="8"/>
        <v>232.97051477758956</v>
      </c>
      <c r="H265" s="7"/>
      <c r="I265" s="7"/>
      <c r="J265" s="7">
        <v>539.47131168754549</v>
      </c>
      <c r="K265" s="7"/>
      <c r="L265" s="7">
        <f t="shared" si="9"/>
        <v>34.94277906504874</v>
      </c>
      <c r="M265" s="7"/>
      <c r="N265" s="7"/>
      <c r="O265" s="7"/>
    </row>
    <row r="266" spans="3:15" x14ac:dyDescent="0.2">
      <c r="C266">
        <v>246</v>
      </c>
      <c r="D266" s="7">
        <v>2883.2611926182935</v>
      </c>
      <c r="E266" s="7"/>
      <c r="F266" s="7">
        <f t="shared" si="8"/>
        <v>232.83054412875387</v>
      </c>
      <c r="H266" s="7"/>
      <c r="I266" s="7"/>
      <c r="J266" s="7">
        <v>769.50236293390753</v>
      </c>
      <c r="K266" s="7"/>
      <c r="L266" s="7">
        <f t="shared" si="9"/>
        <v>49.842411404456605</v>
      </c>
      <c r="M266" s="7"/>
      <c r="N266" s="7"/>
      <c r="O266" s="7"/>
    </row>
    <row r="267" spans="3:15" x14ac:dyDescent="0.2">
      <c r="C267">
        <v>247</v>
      </c>
      <c r="D267" s="7">
        <v>2881.5437425176865</v>
      </c>
      <c r="E267" s="7"/>
      <c r="F267" s="7">
        <f t="shared" si="8"/>
        <v>232.69185574267837</v>
      </c>
      <c r="H267" s="7"/>
      <c r="I267" s="7"/>
      <c r="J267" s="7">
        <v>999.51753525652748</v>
      </c>
      <c r="K267" s="7"/>
      <c r="L267" s="7">
        <f t="shared" si="9"/>
        <v>64.741015229998965</v>
      </c>
      <c r="M267" s="7"/>
      <c r="N267" s="7"/>
      <c r="O267" s="7"/>
    </row>
    <row r="268" spans="3:15" x14ac:dyDescent="0.2">
      <c r="C268">
        <v>248</v>
      </c>
      <c r="D268" s="7">
        <v>2879.8421093931925</v>
      </c>
      <c r="E268" s="7"/>
      <c r="F268" s="7">
        <f t="shared" si="8"/>
        <v>232.55444461693722</v>
      </c>
      <c r="H268" s="7"/>
      <c r="I268" s="7"/>
      <c r="J268" s="7">
        <v>1229.5168906030335</v>
      </c>
      <c r="K268" s="7"/>
      <c r="L268" s="7">
        <f t="shared" si="9"/>
        <v>79.638594554164058</v>
      </c>
      <c r="M268" s="7"/>
      <c r="N268" s="7"/>
      <c r="O268" s="7"/>
    </row>
    <row r="269" spans="3:15" x14ac:dyDescent="0.2">
      <c r="C269">
        <v>249</v>
      </c>
      <c r="D269" s="7">
        <v>2878.1562314812404</v>
      </c>
      <c r="E269" s="7"/>
      <c r="F269" s="7">
        <f t="shared" si="8"/>
        <v>232.41830576396777</v>
      </c>
      <c r="H269" s="7"/>
      <c r="I269" s="7"/>
      <c r="J269" s="7">
        <v>1459.5004907369989</v>
      </c>
      <c r="K269" s="7"/>
      <c r="L269" s="7">
        <f t="shared" si="9"/>
        <v>94.535153377518441</v>
      </c>
      <c r="M269" s="7"/>
      <c r="N269" s="7"/>
      <c r="O269" s="7"/>
    </row>
    <row r="270" spans="3:15" x14ac:dyDescent="0.2">
      <c r="C270">
        <v>250</v>
      </c>
      <c r="D270" s="7">
        <v>2876.4860472018499</v>
      </c>
      <c r="E270" s="7"/>
      <c r="F270" s="7">
        <f t="shared" si="8"/>
        <v>232.2834342110327</v>
      </c>
      <c r="H270" s="7"/>
      <c r="I270" s="7"/>
      <c r="J270" s="7">
        <v>1689.4683972384018</v>
      </c>
      <c r="K270" s="7"/>
      <c r="L270" s="7">
        <f t="shared" si="9"/>
        <v>109.4306956887368</v>
      </c>
      <c r="M270" s="7"/>
      <c r="N270" s="7"/>
      <c r="O270" s="7"/>
    </row>
    <row r="271" spans="3:15" x14ac:dyDescent="0.2">
      <c r="C271">
        <v>251</v>
      </c>
      <c r="D271" s="7">
        <v>2874.8314951581933</v>
      </c>
      <c r="E271" s="7"/>
      <c r="F271" s="7">
        <f t="shared" si="8"/>
        <v>232.14982500018488</v>
      </c>
      <c r="H271" s="7"/>
      <c r="I271" s="7"/>
      <c r="J271" s="7">
        <v>1919.4206715040709</v>
      </c>
      <c r="K271" s="7"/>
      <c r="L271" s="7">
        <f t="shared" si="9"/>
        <v>124.32522546463086</v>
      </c>
      <c r="M271" s="7"/>
      <c r="N271" s="7"/>
      <c r="O271" s="7"/>
    </row>
    <row r="272" spans="3:15" x14ac:dyDescent="0.2">
      <c r="C272">
        <v>252</v>
      </c>
      <c r="D272" s="7">
        <v>2873.1925141361289</v>
      </c>
      <c r="E272" s="7"/>
      <c r="F272" s="7">
        <f t="shared" si="8"/>
        <v>232.01747318822939</v>
      </c>
      <c r="H272" s="7"/>
      <c r="I272" s="7"/>
      <c r="J272" s="7">
        <v>2149.3573747481478</v>
      </c>
      <c r="K272" s="7"/>
      <c r="L272" s="7">
        <f t="shared" si="9"/>
        <v>139.21874667017923</v>
      </c>
      <c r="M272" s="7"/>
      <c r="N272" s="7"/>
      <c r="O272" s="7"/>
    </row>
    <row r="273" spans="3:15" x14ac:dyDescent="0.2">
      <c r="C273">
        <v>253</v>
      </c>
      <c r="D273" s="7">
        <v>2871.5690431037551</v>
      </c>
      <c r="E273" s="7"/>
      <c r="F273" s="7">
        <f t="shared" si="8"/>
        <v>231.88637384668775</v>
      </c>
      <c r="H273" s="7"/>
      <c r="I273" s="7"/>
      <c r="J273" s="7">
        <v>2379.278568002534</v>
      </c>
      <c r="K273" s="7"/>
      <c r="L273" s="7">
        <f t="shared" si="9"/>
        <v>154.11126325855645</v>
      </c>
      <c r="M273" s="7"/>
      <c r="N273" s="7"/>
      <c r="O273" s="7"/>
    </row>
    <row r="274" spans="3:15" x14ac:dyDescent="0.2">
      <c r="C274">
        <v>254</v>
      </c>
      <c r="D274" s="7">
        <v>2869.9610212109724</v>
      </c>
      <c r="E274" s="7"/>
      <c r="F274" s="7">
        <f t="shared" si="8"/>
        <v>231.75652206176235</v>
      </c>
      <c r="H274" s="7"/>
      <c r="I274" s="7"/>
      <c r="J274" s="7">
        <v>2609.1843121173301</v>
      </c>
      <c r="K274" s="7"/>
      <c r="L274" s="7">
        <f t="shared" si="9"/>
        <v>169.00277917116142</v>
      </c>
      <c r="M274" s="7"/>
      <c r="N274" s="7"/>
      <c r="O274" s="7"/>
    </row>
    <row r="275" spans="3:15" x14ac:dyDescent="0.2">
      <c r="C275">
        <v>255</v>
      </c>
      <c r="D275" s="7">
        <v>2868.3683877890171</v>
      </c>
      <c r="E275" s="7"/>
      <c r="F275" s="7">
        <f t="shared" si="8"/>
        <v>231.62791293429905</v>
      </c>
      <c r="H275" s="7"/>
      <c r="I275" s="7"/>
      <c r="J275" s="7">
        <v>2439.5536538727747</v>
      </c>
      <c r="K275" s="7"/>
      <c r="L275" s="7">
        <f t="shared" si="9"/>
        <v>158.01541712746604</v>
      </c>
      <c r="M275" s="7"/>
      <c r="N275" s="7"/>
      <c r="O275" s="7"/>
    </row>
    <row r="276" spans="3:15" x14ac:dyDescent="0.2">
      <c r="C276">
        <v>256</v>
      </c>
      <c r="D276" s="7">
        <v>2866.791082350021</v>
      </c>
      <c r="E276" s="7"/>
      <c r="F276" s="7">
        <f t="shared" si="8"/>
        <v>231.50054157975131</v>
      </c>
      <c r="H276" s="7"/>
      <c r="I276" s="7"/>
      <c r="J276" s="7">
        <v>2840.6519732002939</v>
      </c>
      <c r="K276" s="7"/>
      <c r="L276" s="7">
        <f t="shared" si="9"/>
        <v>183.99546398441819</v>
      </c>
      <c r="M276" s="7"/>
      <c r="N276" s="7"/>
      <c r="O276" s="7"/>
    </row>
    <row r="277" spans="3:15" x14ac:dyDescent="0.2">
      <c r="C277">
        <v>257</v>
      </c>
      <c r="D277" s="7">
        <v>2865.2290445865647</v>
      </c>
      <c r="E277" s="7"/>
      <c r="F277" s="7">
        <f t="shared" si="8"/>
        <v>231.37440312814439</v>
      </c>
      <c r="H277" s="7"/>
      <c r="I277" s="7"/>
      <c r="J277" s="7">
        <v>3241.7350248522725</v>
      </c>
      <c r="K277" s="7"/>
      <c r="L277" s="7">
        <f t="shared" si="9"/>
        <v>209.97452191943569</v>
      </c>
      <c r="M277" s="7"/>
      <c r="N277" s="7"/>
      <c r="O277" s="7"/>
    </row>
    <row r="278" spans="3:15" x14ac:dyDescent="0.2">
      <c r="C278">
        <v>258</v>
      </c>
      <c r="D278" s="7">
        <v>2863.6822143712338</v>
      </c>
      <c r="E278" s="7"/>
      <c r="F278" s="7">
        <f t="shared" ref="F278:F341" si="10">D278*(1-($C$2/($D$8-$D$6)*LN($D$8/$D$6)))</f>
        <v>231.24949272403938</v>
      </c>
      <c r="H278" s="7"/>
      <c r="I278" s="7"/>
      <c r="J278" s="7">
        <v>3642.8028689561247</v>
      </c>
      <c r="K278" s="7"/>
      <c r="L278" s="7">
        <f t="shared" ref="L278:L341" si="11">J278*(1-$C$2/($D$10-$D$9)*LN($D$10/$D$9))</f>
        <v>235.95259482710733</v>
      </c>
      <c r="M278" s="7"/>
      <c r="N278" s="7"/>
      <c r="O278" s="7"/>
    </row>
    <row r="279" spans="3:15" x14ac:dyDescent="0.2">
      <c r="C279">
        <v>259</v>
      </c>
      <c r="D279" s="7">
        <v>2862.1505317561678</v>
      </c>
      <c r="E279" s="7"/>
      <c r="F279" s="7">
        <f t="shared" si="10"/>
        <v>231.12580552649675</v>
      </c>
      <c r="H279" s="7"/>
      <c r="I279" s="7"/>
      <c r="J279" s="7">
        <v>3173.4704994882904</v>
      </c>
      <c r="K279" s="7"/>
      <c r="L279" s="7">
        <f t="shared" si="11"/>
        <v>205.55287395392605</v>
      </c>
      <c r="M279" s="7"/>
      <c r="N279" s="7"/>
      <c r="O279" s="7"/>
    </row>
    <row r="280" spans="3:15" x14ac:dyDescent="0.2">
      <c r="C280">
        <v>260</v>
      </c>
      <c r="D280" s="7">
        <v>2860.6339369726238</v>
      </c>
      <c r="E280" s="7"/>
      <c r="F280" s="7">
        <f t="shared" si="10"/>
        <v>231.00333670904121</v>
      </c>
      <c r="H280" s="7"/>
      <c r="I280" s="7"/>
      <c r="J280" s="7">
        <v>2704.1230421889331</v>
      </c>
      <c r="K280" s="7"/>
      <c r="L280" s="7">
        <f t="shared" si="11"/>
        <v>175.1521758077146</v>
      </c>
      <c r="M280" s="7"/>
      <c r="N280" s="7"/>
      <c r="O280" s="7"/>
    </row>
    <row r="281" spans="3:15" x14ac:dyDescent="0.2">
      <c r="C281">
        <v>261</v>
      </c>
      <c r="D281" s="7">
        <v>2859.132370430521</v>
      </c>
      <c r="E281" s="7"/>
      <c r="F281" s="7">
        <f t="shared" si="10"/>
        <v>230.88208145962489</v>
      </c>
      <c r="H281" s="7"/>
      <c r="I281" s="7"/>
      <c r="J281" s="7">
        <v>2234.7605566481348</v>
      </c>
      <c r="K281" s="7"/>
      <c r="L281" s="7">
        <f t="shared" si="11"/>
        <v>144.75050424825753</v>
      </c>
      <c r="M281" s="7"/>
      <c r="N281" s="7"/>
      <c r="O281" s="7"/>
    </row>
    <row r="282" spans="3:15" x14ac:dyDescent="0.2">
      <c r="C282">
        <v>262</v>
      </c>
      <c r="D282" s="7">
        <v>2857.6457727180064</v>
      </c>
      <c r="E282" s="7"/>
      <c r="F282" s="7">
        <f t="shared" si="10"/>
        <v>230.76203498059223</v>
      </c>
      <c r="H282" s="7"/>
      <c r="I282" s="7"/>
      <c r="J282" s="7">
        <v>1765.383102277749</v>
      </c>
      <c r="K282" s="7"/>
      <c r="L282" s="7">
        <f t="shared" si="11"/>
        <v>114.34786312379522</v>
      </c>
      <c r="M282" s="7"/>
      <c r="N282" s="7"/>
      <c r="O282" s="7"/>
    </row>
    <row r="283" spans="3:15" x14ac:dyDescent="0.2">
      <c r="C283">
        <v>263</v>
      </c>
      <c r="D283" s="7">
        <v>2856.1740846010198</v>
      </c>
      <c r="E283" s="7"/>
      <c r="F283" s="7">
        <f t="shared" si="10"/>
        <v>230.6431924886449</v>
      </c>
      <c r="H283" s="7"/>
      <c r="I283" s="7"/>
      <c r="J283" s="7">
        <v>1295.9907383118343</v>
      </c>
      <c r="K283" s="7"/>
      <c r="L283" s="7">
        <f t="shared" si="11"/>
        <v>83.944256271051884</v>
      </c>
      <c r="M283" s="7"/>
      <c r="N283" s="7"/>
      <c r="O283" s="7"/>
    </row>
    <row r="284" spans="3:15" x14ac:dyDescent="0.2">
      <c r="C284">
        <v>264</v>
      </c>
      <c r="D284" s="7">
        <v>2854.7172470228393</v>
      </c>
      <c r="E284" s="7"/>
      <c r="F284" s="7">
        <f t="shared" si="10"/>
        <v>230.52554921480504</v>
      </c>
      <c r="H284" s="7"/>
      <c r="I284" s="7"/>
      <c r="J284" s="7">
        <v>569.7485863073498</v>
      </c>
      <c r="K284" s="7"/>
      <c r="L284" s="7">
        <f t="shared" si="11"/>
        <v>36.903906737291656</v>
      </c>
      <c r="M284" s="7"/>
      <c r="N284" s="7"/>
      <c r="O284" s="7"/>
    </row>
    <row r="285" spans="3:15" x14ac:dyDescent="0.2">
      <c r="C285">
        <v>265</v>
      </c>
      <c r="D285" s="7">
        <v>2853.2752011036464</v>
      </c>
      <c r="E285" s="7"/>
      <c r="F285" s="7">
        <f t="shared" si="10"/>
        <v>230.40910040438027</v>
      </c>
      <c r="H285" s="7"/>
      <c r="I285" s="7"/>
      <c r="J285" s="7">
        <v>57.520757227014201</v>
      </c>
      <c r="K285" s="7"/>
      <c r="L285" s="7">
        <f t="shared" si="11"/>
        <v>3.7257497625786451</v>
      </c>
      <c r="M285" s="7"/>
      <c r="N285" s="7"/>
      <c r="O285" s="7"/>
    </row>
    <row r="286" spans="3:15" x14ac:dyDescent="0.2">
      <c r="C286">
        <v>266</v>
      </c>
      <c r="D286" s="7">
        <v>2739.5726666641513</v>
      </c>
      <c r="E286" s="7"/>
      <c r="F286" s="7">
        <f t="shared" si="10"/>
        <v>221.22733670217281</v>
      </c>
      <c r="H286" s="7"/>
      <c r="I286" s="7"/>
      <c r="J286" s="7">
        <v>0</v>
      </c>
      <c r="K286" s="7"/>
      <c r="L286" s="7">
        <f t="shared" si="11"/>
        <v>0</v>
      </c>
      <c r="M286" s="7"/>
      <c r="N286" s="7"/>
      <c r="O286" s="7"/>
    </row>
    <row r="287" spans="3:15" x14ac:dyDescent="0.2">
      <c r="C287">
        <v>267</v>
      </c>
      <c r="D287" s="7">
        <v>2850.6004333336105</v>
      </c>
      <c r="E287" s="7"/>
      <c r="F287" s="7">
        <f t="shared" si="10"/>
        <v>230.19310622497332</v>
      </c>
      <c r="H287" s="7"/>
      <c r="I287" s="7"/>
      <c r="J287" s="7">
        <v>60.195524997050143</v>
      </c>
      <c r="K287" s="7"/>
      <c r="L287" s="7">
        <f t="shared" si="11"/>
        <v>3.899000530902748</v>
      </c>
      <c r="M287" s="7"/>
      <c r="N287" s="7"/>
      <c r="O287" s="7"/>
    </row>
    <row r="288" spans="3:15" x14ac:dyDescent="0.2">
      <c r="C288">
        <v>268</v>
      </c>
      <c r="D288" s="7">
        <v>2849.2016519582944</v>
      </c>
      <c r="E288" s="7"/>
      <c r="F288" s="7">
        <f t="shared" si="10"/>
        <v>230.080151134548</v>
      </c>
      <c r="H288" s="7"/>
      <c r="I288" s="7"/>
      <c r="J288" s="7">
        <v>232.81759803887599</v>
      </c>
      <c r="K288" s="7"/>
      <c r="L288" s="7">
        <f t="shared" si="11"/>
        <v>15.080123288260452</v>
      </c>
      <c r="M288" s="7"/>
      <c r="N288" s="7"/>
      <c r="O288" s="7"/>
    </row>
    <row r="289" spans="3:15" x14ac:dyDescent="0.2">
      <c r="C289">
        <v>269</v>
      </c>
      <c r="D289" s="7">
        <v>2847.8174309232636</v>
      </c>
      <c r="E289" s="7"/>
      <c r="F289" s="7">
        <f t="shared" si="10"/>
        <v>229.96837182797466</v>
      </c>
      <c r="H289" s="7"/>
      <c r="I289" s="7"/>
      <c r="J289" s="7">
        <v>545.51689483119617</v>
      </c>
      <c r="K289" s="7"/>
      <c r="L289" s="7">
        <f t="shared" si="11"/>
        <v>35.334365181921477</v>
      </c>
      <c r="M289" s="7"/>
      <c r="N289" s="7"/>
      <c r="O289" s="7"/>
    </row>
    <row r="290" spans="3:15" x14ac:dyDescent="0.2">
      <c r="C290">
        <v>270</v>
      </c>
      <c r="D290" s="7">
        <v>2846.4477122202479</v>
      </c>
      <c r="E290" s="7"/>
      <c r="F290" s="7">
        <f t="shared" si="10"/>
        <v>229.85776362094057</v>
      </c>
      <c r="H290" s="7"/>
      <c r="I290" s="7"/>
      <c r="J290" s="7">
        <v>764.80716656431468</v>
      </c>
      <c r="K290" s="7"/>
      <c r="L290" s="7">
        <f t="shared" si="11"/>
        <v>49.53829289832791</v>
      </c>
      <c r="M290" s="7"/>
      <c r="N290" s="7"/>
      <c r="O290" s="7"/>
    </row>
    <row r="291" spans="3:15" x14ac:dyDescent="0.2">
      <c r="C291">
        <v>271</v>
      </c>
      <c r="D291" s="7">
        <v>2845.0924380152796</v>
      </c>
      <c r="E291" s="7"/>
      <c r="F291" s="7">
        <f t="shared" si="10"/>
        <v>229.74832184320837</v>
      </c>
      <c r="H291" s="7"/>
      <c r="I291" s="7"/>
      <c r="J291" s="7">
        <v>984.08299379938626</v>
      </c>
      <c r="K291" s="7"/>
      <c r="L291" s="7">
        <f t="shared" si="11"/>
        <v>63.741285011870907</v>
      </c>
      <c r="M291" s="7"/>
      <c r="N291" s="7"/>
      <c r="O291" s="7"/>
    </row>
    <row r="292" spans="3:15" x14ac:dyDescent="0.2">
      <c r="C292">
        <v>272</v>
      </c>
      <c r="D292" s="7">
        <v>2843.7515506482546</v>
      </c>
      <c r="E292" s="7"/>
      <c r="F292" s="7">
        <f t="shared" si="10"/>
        <v>229.64004183858057</v>
      </c>
      <c r="H292" s="7"/>
      <c r="I292" s="7"/>
      <c r="J292" s="7">
        <v>1203.3444341965146</v>
      </c>
      <c r="K292" s="7"/>
      <c r="L292" s="7">
        <f t="shared" si="11"/>
        <v>77.943345257326015</v>
      </c>
      <c r="M292" s="7"/>
      <c r="N292" s="7"/>
      <c r="O292" s="7"/>
    </row>
    <row r="293" spans="3:15" x14ac:dyDescent="0.2">
      <c r="C293">
        <v>273</v>
      </c>
      <c r="D293" s="7">
        <v>2842.4249926324983</v>
      </c>
      <c r="E293" s="7"/>
      <c r="F293" s="7">
        <f t="shared" si="10"/>
        <v>229.53291896486465</v>
      </c>
      <c r="H293" s="7"/>
      <c r="I293" s="7"/>
      <c r="J293" s="7">
        <v>1422.5915452423733</v>
      </c>
      <c r="K293" s="7"/>
      <c r="L293" s="7">
        <f t="shared" si="11"/>
        <v>92.144477358235306</v>
      </c>
      <c r="M293" s="7"/>
      <c r="N293" s="7"/>
      <c r="O293" s="7"/>
    </row>
    <row r="294" spans="3:15" x14ac:dyDescent="0.2">
      <c r="C294">
        <v>274</v>
      </c>
      <c r="D294" s="7">
        <v>2841.1127066543427</v>
      </c>
      <c r="E294" s="7"/>
      <c r="F294" s="7">
        <f t="shared" si="10"/>
        <v>229.42694859383869</v>
      </c>
      <c r="H294" s="7"/>
      <c r="I294" s="7"/>
      <c r="J294" s="7">
        <v>1641.8243842506322</v>
      </c>
      <c r="K294" s="7"/>
      <c r="L294" s="7">
        <f t="shared" si="11"/>
        <v>106.34468502693504</v>
      </c>
      <c r="M294" s="7"/>
      <c r="N294" s="7"/>
      <c r="O294" s="7"/>
    </row>
    <row r="295" spans="3:15" x14ac:dyDescent="0.2">
      <c r="C295">
        <v>275</v>
      </c>
      <c r="D295" s="7">
        <v>2839.8146355726776</v>
      </c>
      <c r="E295" s="7"/>
      <c r="F295" s="7">
        <f t="shared" si="10"/>
        <v>229.32212611121531</v>
      </c>
      <c r="H295" s="7"/>
      <c r="I295" s="7"/>
      <c r="J295" s="7">
        <v>1861.0430083624005</v>
      </c>
      <c r="K295" s="7"/>
      <c r="L295" s="7">
        <f t="shared" si="11"/>
        <v>120.54397196458433</v>
      </c>
      <c r="M295" s="7"/>
      <c r="N295" s="7"/>
      <c r="O295" s="7"/>
    </row>
    <row r="296" spans="3:15" x14ac:dyDescent="0.2">
      <c r="C296">
        <v>276</v>
      </c>
      <c r="D296" s="7">
        <v>2838.530722418544</v>
      </c>
      <c r="E296" s="7"/>
      <c r="F296" s="7">
        <f t="shared" si="10"/>
        <v>229.21844691660877</v>
      </c>
      <c r="H296" s="7"/>
      <c r="I296" s="7"/>
      <c r="J296" s="7">
        <v>2080.2474745466375</v>
      </c>
      <c r="K296" s="7"/>
      <c r="L296" s="7">
        <f t="shared" si="11"/>
        <v>134.7423418611917</v>
      </c>
      <c r="M296" s="7"/>
      <c r="N296" s="7"/>
      <c r="O296" s="7"/>
    </row>
    <row r="297" spans="3:15" x14ac:dyDescent="0.2">
      <c r="C297">
        <v>277</v>
      </c>
      <c r="D297" s="7">
        <v>2837.2609103946838</v>
      </c>
      <c r="E297" s="7"/>
      <c r="F297" s="7">
        <f t="shared" si="10"/>
        <v>229.11590642349856</v>
      </c>
      <c r="H297" s="7"/>
      <c r="I297" s="7"/>
      <c r="J297" s="7">
        <v>2299.4378396006</v>
      </c>
      <c r="K297" s="7"/>
      <c r="L297" s="7">
        <f t="shared" si="11"/>
        <v>148.93979839564417</v>
      </c>
      <c r="M297" s="7"/>
      <c r="N297" s="7"/>
      <c r="O297" s="7"/>
    </row>
    <row r="298" spans="3:15" x14ac:dyDescent="0.2">
      <c r="C298">
        <v>278</v>
      </c>
      <c r="D298" s="7">
        <v>2836.0051428751244</v>
      </c>
      <c r="E298" s="7"/>
      <c r="F298" s="7">
        <f t="shared" si="10"/>
        <v>229.01450005919594</v>
      </c>
      <c r="H298" s="7"/>
      <c r="I298" s="7"/>
      <c r="J298" s="7">
        <v>2202.8517261678685</v>
      </c>
      <c r="K298" s="7"/>
      <c r="L298" s="7">
        <f t="shared" si="11"/>
        <v>142.68369700653747</v>
      </c>
      <c r="M298" s="7"/>
      <c r="N298" s="7"/>
      <c r="O298" s="7"/>
    </row>
    <row r="299" spans="3:15" x14ac:dyDescent="0.2">
      <c r="C299">
        <v>279</v>
      </c>
      <c r="D299" s="7">
        <v>2834.7633634047484</v>
      </c>
      <c r="E299" s="7"/>
      <c r="F299" s="7">
        <f t="shared" si="10"/>
        <v>228.91422326480918</v>
      </c>
      <c r="H299" s="7"/>
      <c r="I299" s="7"/>
      <c r="J299" s="7">
        <v>2106.2516246859536</v>
      </c>
      <c r="K299" s="7"/>
      <c r="L299" s="7">
        <f t="shared" si="11"/>
        <v>136.42668957979433</v>
      </c>
      <c r="M299" s="7"/>
      <c r="N299" s="7"/>
      <c r="O299" s="7"/>
    </row>
    <row r="300" spans="3:15" x14ac:dyDescent="0.2">
      <c r="C300">
        <v>280</v>
      </c>
      <c r="D300" s="7">
        <v>2833.535515698868</v>
      </c>
      <c r="E300" s="7"/>
      <c r="F300" s="7">
        <f t="shared" si="10"/>
        <v>228.81507149520908</v>
      </c>
      <c r="H300" s="7"/>
      <c r="I300" s="7"/>
      <c r="J300" s="7">
        <v>2009.637591439543</v>
      </c>
      <c r="K300" s="7"/>
      <c r="L300" s="7">
        <f t="shared" si="11"/>
        <v>130.16877976110146</v>
      </c>
      <c r="M300" s="7"/>
      <c r="N300" s="7"/>
      <c r="O300" s="7"/>
    </row>
    <row r="301" spans="3:15" x14ac:dyDescent="0.2">
      <c r="C301">
        <v>281</v>
      </c>
      <c r="D301" s="7">
        <v>2832.3215436427899</v>
      </c>
      <c r="E301" s="7"/>
      <c r="F301" s="7">
        <f t="shared" si="10"/>
        <v>228.71704021899401</v>
      </c>
      <c r="H301" s="7"/>
      <c r="I301" s="7"/>
      <c r="J301" s="7">
        <v>1913.0096825433293</v>
      </c>
      <c r="K301" s="7"/>
      <c r="L301" s="7">
        <f t="shared" si="11"/>
        <v>123.90997118513469</v>
      </c>
      <c r="M301" s="7"/>
      <c r="N301" s="7"/>
      <c r="O301" s="7"/>
    </row>
    <row r="302" spans="3:15" x14ac:dyDescent="0.2">
      <c r="C302">
        <v>282</v>
      </c>
      <c r="D302" s="7">
        <v>2831.1213912914054</v>
      </c>
      <c r="E302" s="7"/>
      <c r="F302" s="7">
        <f t="shared" si="10"/>
        <v>228.62012491845667</v>
      </c>
      <c r="H302" s="7"/>
      <c r="I302" s="7"/>
      <c r="J302" s="7">
        <v>1816.367953942422</v>
      </c>
      <c r="K302" s="7"/>
      <c r="L302" s="7">
        <f t="shared" si="11"/>
        <v>117.65026747558549</v>
      </c>
      <c r="M302" s="7"/>
      <c r="N302" s="7"/>
      <c r="O302" s="7"/>
    </row>
    <row r="303" spans="3:15" x14ac:dyDescent="0.2">
      <c r="C303">
        <v>283</v>
      </c>
      <c r="D303" s="7">
        <v>2829.9350028687577</v>
      </c>
      <c r="E303" s="7"/>
      <c r="F303" s="7">
        <f t="shared" si="10"/>
        <v>228.5243210895492</v>
      </c>
      <c r="H303" s="7"/>
      <c r="I303" s="7"/>
      <c r="J303" s="7">
        <v>1719.7124614127797</v>
      </c>
      <c r="K303" s="7"/>
      <c r="L303" s="7">
        <f t="shared" si="11"/>
        <v>111.38967224518905</v>
      </c>
      <c r="M303" s="7"/>
      <c r="N303" s="7"/>
      <c r="O303" s="7"/>
    </row>
    <row r="304" spans="3:15" x14ac:dyDescent="0.2">
      <c r="C304">
        <v>284</v>
      </c>
      <c r="D304" s="7">
        <v>2828.7623227676199</v>
      </c>
      <c r="E304" s="7"/>
      <c r="F304" s="7">
        <f t="shared" si="10"/>
        <v>228.42962424184915</v>
      </c>
      <c r="H304" s="7"/>
      <c r="I304" s="7"/>
      <c r="J304" s="7">
        <v>1623.0432605616256</v>
      </c>
      <c r="K304" s="7"/>
      <c r="L304" s="7">
        <f t="shared" si="11"/>
        <v>105.1281890957512</v>
      </c>
      <c r="M304" s="7"/>
      <c r="N304" s="7"/>
      <c r="O304" s="7"/>
    </row>
    <row r="305" spans="3:15" x14ac:dyDescent="0.2">
      <c r="C305">
        <v>285</v>
      </c>
      <c r="D305" s="7">
        <v>2827.6032955490741</v>
      </c>
      <c r="E305" s="7"/>
      <c r="F305" s="7">
        <f t="shared" si="10"/>
        <v>228.33602989852537</v>
      </c>
      <c r="H305" s="7"/>
      <c r="I305" s="7"/>
      <c r="J305" s="7">
        <v>1966.6488711131901</v>
      </c>
      <c r="K305" s="7"/>
      <c r="L305" s="7">
        <f t="shared" si="11"/>
        <v>127.38430295184541</v>
      </c>
      <c r="M305" s="7"/>
      <c r="N305" s="7"/>
      <c r="O305" s="7"/>
    </row>
    <row r="306" spans="3:15" x14ac:dyDescent="0.2">
      <c r="C306">
        <v>286</v>
      </c>
      <c r="D306" s="7">
        <v>2826.4578659420845</v>
      </c>
      <c r="E306" s="7"/>
      <c r="F306" s="7">
        <f t="shared" si="10"/>
        <v>228.24353359630365</v>
      </c>
      <c r="H306" s="7"/>
      <c r="I306" s="7"/>
      <c r="J306" s="7">
        <v>1454.1244257206513</v>
      </c>
      <c r="K306" s="7"/>
      <c r="L306" s="7">
        <f t="shared" si="11"/>
        <v>94.186933466587604</v>
      </c>
      <c r="M306" s="7"/>
      <c r="N306" s="7"/>
      <c r="O306" s="7"/>
    </row>
    <row r="307" spans="3:15" x14ac:dyDescent="0.2">
      <c r="C307">
        <v>287</v>
      </c>
      <c r="D307" s="7">
        <v>2825.3259788430919</v>
      </c>
      <c r="E307" s="7"/>
      <c r="F307" s="7">
        <f t="shared" si="10"/>
        <v>228.15213088543393</v>
      </c>
      <c r="H307" s="7"/>
      <c r="I307" s="7"/>
      <c r="J307" s="7">
        <v>941.58643782011632</v>
      </c>
      <c r="K307" s="7"/>
      <c r="L307" s="7">
        <f t="shared" si="11"/>
        <v>60.988686802405475</v>
      </c>
      <c r="M307" s="7"/>
      <c r="N307" s="7"/>
      <c r="O307" s="7"/>
    </row>
    <row r="308" spans="3:15" x14ac:dyDescent="0.2">
      <c r="C308">
        <v>288</v>
      </c>
      <c r="D308" s="7">
        <v>2824.2075793155755</v>
      </c>
      <c r="E308" s="7"/>
      <c r="F308" s="7">
        <f t="shared" si="10"/>
        <v>228.0618173296549</v>
      </c>
      <c r="H308" s="7"/>
      <c r="I308" s="7"/>
      <c r="J308" s="7">
        <v>429.03496234810427</v>
      </c>
      <c r="K308" s="7"/>
      <c r="L308" s="7">
        <f t="shared" si="11"/>
        <v>27.789566517661807</v>
      </c>
      <c r="M308" s="7"/>
      <c r="N308" s="7"/>
      <c r="O308" s="7"/>
    </row>
    <row r="309" spans="3:15" x14ac:dyDescent="0.2">
      <c r="C309">
        <v>289</v>
      </c>
      <c r="D309" s="7">
        <v>2739.5726666641513</v>
      </c>
      <c r="E309" s="7"/>
      <c r="F309" s="7">
        <f t="shared" si="10"/>
        <v>221.22733670217281</v>
      </c>
      <c r="H309" s="7"/>
      <c r="I309" s="7"/>
      <c r="J309" s="7">
        <v>0</v>
      </c>
      <c r="K309" s="7"/>
      <c r="L309" s="7">
        <f t="shared" si="11"/>
        <v>0</v>
      </c>
      <c r="M309" s="7"/>
      <c r="N309" s="7"/>
      <c r="O309" s="7"/>
    </row>
    <row r="310" spans="3:15" x14ac:dyDescent="0.2">
      <c r="C310">
        <v>290</v>
      </c>
      <c r="D310" s="7">
        <v>2739.5726666641513</v>
      </c>
      <c r="E310" s="7"/>
      <c r="F310" s="7">
        <f t="shared" si="10"/>
        <v>221.22733670217281</v>
      </c>
      <c r="H310" s="7"/>
      <c r="I310" s="7"/>
      <c r="J310" s="7">
        <v>0</v>
      </c>
      <c r="K310" s="7"/>
      <c r="L310" s="7">
        <f t="shared" si="11"/>
        <v>0</v>
      </c>
      <c r="M310" s="7"/>
      <c r="N310" s="7"/>
      <c r="O310" s="7"/>
    </row>
    <row r="311" spans="3:15" x14ac:dyDescent="0.2">
      <c r="C311">
        <v>291</v>
      </c>
      <c r="D311" s="7">
        <v>2821.1724723754774</v>
      </c>
      <c r="E311" s="7"/>
      <c r="F311" s="7">
        <f t="shared" si="10"/>
        <v>227.81672486208339</v>
      </c>
      <c r="H311" s="7"/>
      <c r="I311" s="7"/>
      <c r="J311" s="7">
        <v>114.0839561932562</v>
      </c>
      <c r="K311" s="7"/>
      <c r="L311" s="7">
        <f t="shared" si="11"/>
        <v>7.389476307197083</v>
      </c>
      <c r="M311" s="7"/>
      <c r="N311" s="7"/>
      <c r="O311" s="7"/>
    </row>
    <row r="312" spans="3:15" x14ac:dyDescent="0.2">
      <c r="C312">
        <v>292</v>
      </c>
      <c r="D312" s="7">
        <v>2820.1063751086995</v>
      </c>
      <c r="E312" s="7"/>
      <c r="F312" s="7">
        <f t="shared" si="10"/>
        <v>227.73063484451802</v>
      </c>
      <c r="H312" s="7"/>
      <c r="I312" s="7"/>
      <c r="J312" s="7">
        <v>310.83381536461638</v>
      </c>
      <c r="K312" s="7"/>
      <c r="L312" s="7">
        <f t="shared" si="11"/>
        <v>20.133410435220171</v>
      </c>
      <c r="M312" s="7"/>
      <c r="N312" s="7"/>
      <c r="O312" s="7"/>
    </row>
    <row r="313" spans="3:15" x14ac:dyDescent="0.2">
      <c r="C313">
        <v>293</v>
      </c>
      <c r="D313" s="7">
        <v>2819.0534967662124</v>
      </c>
      <c r="E313" s="7"/>
      <c r="F313" s="7">
        <f t="shared" si="10"/>
        <v>227.64561228811203</v>
      </c>
      <c r="H313" s="7"/>
      <c r="I313" s="7"/>
      <c r="J313" s="7">
        <v>507.57045561168616</v>
      </c>
      <c r="K313" s="7"/>
      <c r="L313" s="7">
        <f t="shared" si="11"/>
        <v>32.876488343568646</v>
      </c>
      <c r="M313" s="7"/>
      <c r="N313" s="7"/>
      <c r="O313" s="7"/>
    </row>
    <row r="314" spans="3:15" x14ac:dyDescent="0.2">
      <c r="C314">
        <v>294</v>
      </c>
      <c r="D314" s="7">
        <v>2818.0137833957151</v>
      </c>
      <c r="E314" s="7"/>
      <c r="F314" s="7">
        <f t="shared" si="10"/>
        <v>227.56165283608229</v>
      </c>
      <c r="H314" s="7"/>
      <c r="I314" s="7"/>
      <c r="J314" s="7">
        <v>704.29393088676534</v>
      </c>
      <c r="K314" s="7"/>
      <c r="L314" s="7">
        <f t="shared" si="11"/>
        <v>45.618713526855196</v>
      </c>
      <c r="M314" s="7"/>
      <c r="N314" s="7"/>
      <c r="O314" s="7"/>
    </row>
    <row r="315" spans="3:15" x14ac:dyDescent="0.2">
      <c r="C315">
        <v>295</v>
      </c>
      <c r="D315" s="7">
        <v>2816.9871812090578</v>
      </c>
      <c r="E315" s="7"/>
      <c r="F315" s="7">
        <f t="shared" si="10"/>
        <v>227.47875214490136</v>
      </c>
      <c r="H315" s="7"/>
      <c r="I315" s="7"/>
      <c r="J315" s="7">
        <v>901.00429497800496</v>
      </c>
      <c r="K315" s="7"/>
      <c r="L315" s="7">
        <f t="shared" si="11"/>
        <v>58.360089469060227</v>
      </c>
      <c r="M315" s="7"/>
      <c r="N315" s="7"/>
      <c r="O315" s="7"/>
    </row>
    <row r="316" spans="3:15" x14ac:dyDescent="0.2">
      <c r="C316">
        <v>296</v>
      </c>
      <c r="D316" s="7">
        <v>2816.4145994122737</v>
      </c>
      <c r="E316" s="7"/>
      <c r="F316" s="7">
        <f t="shared" si="10"/>
        <v>227.43251473441467</v>
      </c>
      <c r="H316" s="7"/>
      <c r="I316" s="7"/>
      <c r="J316" s="7">
        <v>1097.2606386793714</v>
      </c>
      <c r="K316" s="7"/>
      <c r="L316" s="7">
        <f t="shared" si="11"/>
        <v>71.072057482000702</v>
      </c>
      <c r="M316" s="7"/>
      <c r="N316" s="7"/>
      <c r="O316" s="7"/>
    </row>
    <row r="317" spans="3:15" x14ac:dyDescent="0.2">
      <c r="C317">
        <v>297</v>
      </c>
      <c r="D317" s="7">
        <v>2816.2947319728587</v>
      </c>
      <c r="E317" s="7"/>
      <c r="F317" s="7">
        <f t="shared" si="10"/>
        <v>227.42283513923482</v>
      </c>
      <c r="H317" s="7"/>
      <c r="I317" s="7"/>
      <c r="J317" s="7">
        <v>1293.0642680233682</v>
      </c>
      <c r="K317" s="7"/>
      <c r="L317" s="7">
        <f t="shared" si="11"/>
        <v>83.754702160360765</v>
      </c>
      <c r="M317" s="7"/>
      <c r="N317" s="7"/>
      <c r="O317" s="7"/>
    </row>
    <row r="318" spans="3:15" x14ac:dyDescent="0.2">
      <c r="C318">
        <v>298</v>
      </c>
      <c r="D318" s="7">
        <v>2816.1861469822279</v>
      </c>
      <c r="E318" s="7"/>
      <c r="F318" s="7">
        <f t="shared" si="10"/>
        <v>227.41406662997957</v>
      </c>
      <c r="H318" s="7"/>
      <c r="I318" s="7"/>
      <c r="J318" s="7">
        <v>1488.8566149185817</v>
      </c>
      <c r="K318" s="7"/>
      <c r="L318" s="7">
        <f t="shared" si="11"/>
        <v>96.436616048952018</v>
      </c>
      <c r="M318" s="7"/>
      <c r="N318" s="7"/>
      <c r="O318" s="7"/>
    </row>
    <row r="319" spans="3:15" x14ac:dyDescent="0.2">
      <c r="C319">
        <v>299</v>
      </c>
      <c r="D319" s="7">
        <v>2816.0887933981599</v>
      </c>
      <c r="E319" s="7"/>
      <c r="F319" s="7">
        <f t="shared" si="10"/>
        <v>227.40620508486202</v>
      </c>
      <c r="H319" s="7"/>
      <c r="I319" s="7"/>
      <c r="J319" s="7">
        <v>1684.6377304072325</v>
      </c>
      <c r="K319" s="7"/>
      <c r="L319" s="7">
        <f t="shared" si="11"/>
        <v>109.11780245389474</v>
      </c>
      <c r="M319" s="7"/>
      <c r="N319" s="7"/>
      <c r="O319" s="7"/>
    </row>
    <row r="320" spans="3:15" x14ac:dyDescent="0.2">
      <c r="C320">
        <v>300</v>
      </c>
      <c r="D320" s="7">
        <v>2816.0026203414609</v>
      </c>
      <c r="E320" s="7"/>
      <c r="F320" s="7">
        <f t="shared" si="10"/>
        <v>227.39924639526018</v>
      </c>
      <c r="H320" s="7"/>
      <c r="I320" s="7"/>
      <c r="J320" s="7">
        <v>1880.4076653685133</v>
      </c>
      <c r="K320" s="7"/>
      <c r="L320" s="7">
        <f t="shared" si="11"/>
        <v>121.7982646707495</v>
      </c>
      <c r="M320" s="7"/>
      <c r="N320" s="7"/>
      <c r="O320" s="7"/>
    </row>
    <row r="321" spans="3:15" x14ac:dyDescent="0.2">
      <c r="C321">
        <v>301</v>
      </c>
      <c r="D321" s="7">
        <v>2815.9275770955501</v>
      </c>
      <c r="E321" s="7"/>
      <c r="F321" s="7">
        <f t="shared" si="10"/>
        <v>227.39318646568344</v>
      </c>
      <c r="H321" s="7"/>
      <c r="I321" s="7"/>
      <c r="J321" s="7">
        <v>1978.3245895667142</v>
      </c>
      <c r="K321" s="7"/>
      <c r="L321" s="7">
        <f t="shared" si="11"/>
        <v>128.14056568817327</v>
      </c>
      <c r="M321" s="7"/>
      <c r="N321" s="7"/>
      <c r="O321" s="7"/>
    </row>
    <row r="322" spans="3:15" x14ac:dyDescent="0.2">
      <c r="C322">
        <v>302</v>
      </c>
      <c r="D322" s="7">
        <v>2815.863613106028</v>
      </c>
      <c r="E322" s="7"/>
      <c r="F322" s="7">
        <f t="shared" si="10"/>
        <v>227.38802121373774</v>
      </c>
      <c r="H322" s="7"/>
      <c r="I322" s="7"/>
      <c r="J322" s="7">
        <v>1978.3885535562363</v>
      </c>
      <c r="K322" s="7"/>
      <c r="L322" s="7">
        <f t="shared" si="11"/>
        <v>128.14470878068917</v>
      </c>
      <c r="M322" s="7"/>
      <c r="N322" s="7"/>
      <c r="O322" s="7"/>
    </row>
    <row r="323" spans="3:15" x14ac:dyDescent="0.2">
      <c r="C323">
        <v>303</v>
      </c>
      <c r="D323" s="7">
        <v>2815.8106779802524</v>
      </c>
      <c r="E323" s="7"/>
      <c r="F323" s="7">
        <f t="shared" si="10"/>
        <v>227.38374657009138</v>
      </c>
      <c r="H323" s="7"/>
      <c r="I323" s="7"/>
      <c r="J323" s="7">
        <v>2467.6508934434692</v>
      </c>
      <c r="K323" s="7"/>
      <c r="L323" s="7">
        <f t="shared" si="11"/>
        <v>159.83533899056812</v>
      </c>
      <c r="M323" s="7"/>
      <c r="N323" s="7"/>
      <c r="O323" s="7"/>
    </row>
    <row r="324" spans="3:15" x14ac:dyDescent="0.2">
      <c r="C324">
        <v>304</v>
      </c>
      <c r="D324" s="7">
        <v>2815.7687214869138</v>
      </c>
      <c r="E324" s="7"/>
      <c r="F324" s="7">
        <f t="shared" si="10"/>
        <v>227.3803584784406</v>
      </c>
      <c r="H324" s="7"/>
      <c r="I324" s="7"/>
      <c r="J324" s="7">
        <v>2663.3766118413887</v>
      </c>
      <c r="K324" s="7"/>
      <c r="L324" s="7">
        <f t="shared" si="11"/>
        <v>172.5129372004385</v>
      </c>
      <c r="M324" s="7"/>
      <c r="N324" s="7"/>
      <c r="O324" s="7"/>
    </row>
    <row r="325" spans="3:15" x14ac:dyDescent="0.2">
      <c r="C325">
        <v>305</v>
      </c>
      <c r="D325" s="7">
        <v>2815.7376935556267</v>
      </c>
      <c r="E325" s="7"/>
      <c r="F325" s="7">
        <f t="shared" si="10"/>
        <v>227.37785289547668</v>
      </c>
      <c r="H325" s="7"/>
      <c r="I325" s="7"/>
      <c r="J325" s="7">
        <v>2389.4503731062605</v>
      </c>
      <c r="K325" s="7"/>
      <c r="L325" s="7">
        <f t="shared" si="11"/>
        <v>154.77011412000525</v>
      </c>
      <c r="M325" s="7"/>
      <c r="N325" s="7"/>
      <c r="O325" s="7"/>
    </row>
    <row r="326" spans="3:15" x14ac:dyDescent="0.2">
      <c r="C326">
        <v>306</v>
      </c>
      <c r="D326" s="7">
        <v>2815.7175442764837</v>
      </c>
      <c r="E326" s="7"/>
      <c r="F326" s="7">
        <f t="shared" si="10"/>
        <v>227.37622579084993</v>
      </c>
      <c r="H326" s="7"/>
      <c r="I326" s="7"/>
      <c r="J326" s="7">
        <v>2115.5132557189891</v>
      </c>
      <c r="K326" s="7"/>
      <c r="L326" s="7">
        <f t="shared" si="11"/>
        <v>137.02658640462639</v>
      </c>
      <c r="M326" s="7"/>
      <c r="N326" s="7"/>
      <c r="O326" s="7"/>
    </row>
    <row r="327" spans="3:15" x14ac:dyDescent="0.2">
      <c r="C327">
        <v>307</v>
      </c>
      <c r="D327" s="7">
        <v>2815.7082238996609</v>
      </c>
      <c r="E327" s="7"/>
      <c r="F327" s="7">
        <f t="shared" si="10"/>
        <v>227.37547314713774</v>
      </c>
      <c r="H327" s="7"/>
      <c r="I327" s="7"/>
      <c r="J327" s="7">
        <v>1978.5439427626034</v>
      </c>
      <c r="K327" s="7"/>
      <c r="L327" s="7">
        <f t="shared" si="11"/>
        <v>128.15477369162983</v>
      </c>
      <c r="M327" s="7"/>
      <c r="N327" s="7"/>
      <c r="O327" s="7"/>
    </row>
    <row r="328" spans="3:15" x14ac:dyDescent="0.2">
      <c r="C328">
        <v>308</v>
      </c>
      <c r="D328" s="7">
        <v>2815.7096828349786</v>
      </c>
      <c r="E328" s="7"/>
      <c r="F328" s="7">
        <f t="shared" si="10"/>
        <v>227.3755909598093</v>
      </c>
      <c r="H328" s="7"/>
      <c r="I328" s="7"/>
      <c r="J328" s="7">
        <v>1567.6065838276627</v>
      </c>
      <c r="K328" s="7"/>
      <c r="L328" s="7">
        <f t="shared" si="11"/>
        <v>101.53742994832625</v>
      </c>
      <c r="M328" s="7"/>
      <c r="N328" s="7"/>
      <c r="O328" s="7"/>
    </row>
    <row r="329" spans="3:15" x14ac:dyDescent="0.2">
      <c r="C329">
        <v>309</v>
      </c>
      <c r="D329" s="7">
        <v>2815.7218716514981</v>
      </c>
      <c r="E329" s="7"/>
      <c r="F329" s="7">
        <f t="shared" si="10"/>
        <v>227.37657523719275</v>
      </c>
      <c r="H329" s="7"/>
      <c r="I329" s="7"/>
      <c r="J329" s="7">
        <v>1293.637128344727</v>
      </c>
      <c r="K329" s="7"/>
      <c r="L329" s="7">
        <f t="shared" si="11"/>
        <v>83.791807621227179</v>
      </c>
      <c r="M329" s="7"/>
      <c r="N329" s="7"/>
      <c r="O329" s="7"/>
    </row>
    <row r="330" spans="3:15" x14ac:dyDescent="0.2">
      <c r="C330">
        <v>310</v>
      </c>
      <c r="D330" s="7">
        <v>2815.7447410770919</v>
      </c>
      <c r="E330" s="7"/>
      <c r="F330" s="7">
        <f t="shared" si="10"/>
        <v>227.37842200044076</v>
      </c>
      <c r="H330" s="7"/>
      <c r="I330" s="7"/>
      <c r="J330" s="7">
        <v>1019.6569922527196</v>
      </c>
      <c r="K330" s="7"/>
      <c r="L330" s="7">
        <f t="shared" si="11"/>
        <v>66.045493486880929</v>
      </c>
      <c r="M330" s="7"/>
      <c r="N330" s="7"/>
      <c r="O330" s="7"/>
    </row>
    <row r="331" spans="3:15" x14ac:dyDescent="0.2">
      <c r="C331">
        <v>311</v>
      </c>
      <c r="D331" s="7">
        <v>2815.7782419980317</v>
      </c>
      <c r="E331" s="7"/>
      <c r="F331" s="7">
        <f t="shared" si="10"/>
        <v>227.38112728349705</v>
      </c>
      <c r="H331" s="7"/>
      <c r="I331" s="7"/>
      <c r="J331" s="7">
        <v>266.24100799913867</v>
      </c>
      <c r="K331" s="7"/>
      <c r="L331" s="7">
        <f t="shared" si="11"/>
        <v>17.245033274277365</v>
      </c>
      <c r="M331" s="7"/>
      <c r="N331" s="7"/>
      <c r="O331" s="7"/>
    </row>
    <row r="332" spans="3:15" x14ac:dyDescent="0.2">
      <c r="C332">
        <v>312</v>
      </c>
      <c r="D332" s="7">
        <v>2815.822325458576</v>
      </c>
      <c r="E332" s="7"/>
      <c r="F332" s="7">
        <f t="shared" si="10"/>
        <v>227.38468713306318</v>
      </c>
      <c r="H332" s="7"/>
      <c r="I332" s="7"/>
      <c r="J332" s="7">
        <v>94.973632872084636</v>
      </c>
      <c r="K332" s="7"/>
      <c r="L332" s="7">
        <f t="shared" si="11"/>
        <v>6.1516573700149175</v>
      </c>
      <c r="M332" s="7"/>
      <c r="N332" s="7"/>
      <c r="O332" s="7"/>
    </row>
    <row r="333" spans="3:15" x14ac:dyDescent="0.2">
      <c r="C333">
        <v>313</v>
      </c>
      <c r="D333" s="7">
        <v>2739.5726666641513</v>
      </c>
      <c r="E333" s="7"/>
      <c r="F333" s="7">
        <f t="shared" si="10"/>
        <v>221.22733670217281</v>
      </c>
      <c r="H333" s="7"/>
      <c r="I333" s="7"/>
      <c r="J333" s="7">
        <v>0</v>
      </c>
      <c r="K333" s="7"/>
      <c r="L333" s="7">
        <f t="shared" si="11"/>
        <v>0</v>
      </c>
      <c r="M333" s="7"/>
      <c r="N333" s="7"/>
      <c r="O333" s="7"/>
    </row>
    <row r="334" spans="3:15" x14ac:dyDescent="0.2">
      <c r="C334">
        <v>314</v>
      </c>
      <c r="D334" s="7">
        <v>2739.5726666641513</v>
      </c>
      <c r="E334" s="7"/>
      <c r="F334" s="7">
        <f t="shared" si="10"/>
        <v>221.22733670217281</v>
      </c>
      <c r="H334" s="7"/>
      <c r="I334" s="7"/>
      <c r="J334" s="7">
        <v>0</v>
      </c>
      <c r="K334" s="7"/>
      <c r="L334" s="7">
        <f t="shared" si="11"/>
        <v>0</v>
      </c>
      <c r="M334" s="7"/>
      <c r="N334" s="7"/>
      <c r="O334" s="7"/>
    </row>
    <row r="335" spans="3:15" x14ac:dyDescent="0.2">
      <c r="C335">
        <v>315</v>
      </c>
      <c r="D335" s="7">
        <v>2816.2648148492913</v>
      </c>
      <c r="E335" s="7"/>
      <c r="F335" s="7">
        <f t="shared" si="10"/>
        <v>227.42041925676921</v>
      </c>
      <c r="H335" s="7"/>
      <c r="I335" s="7"/>
      <c r="J335" s="7">
        <v>94.531143481370236</v>
      </c>
      <c r="K335" s="7"/>
      <c r="L335" s="7">
        <f t="shared" si="11"/>
        <v>6.1229963296900953</v>
      </c>
      <c r="M335" s="7"/>
      <c r="N335" s="7"/>
      <c r="O335" s="7"/>
    </row>
    <row r="336" spans="3:15" x14ac:dyDescent="0.2">
      <c r="C336">
        <v>316</v>
      </c>
      <c r="D336" s="7">
        <v>2816.3496054043453</v>
      </c>
      <c r="E336" s="7"/>
      <c r="F336" s="7">
        <f t="shared" si="10"/>
        <v>227.42726630590954</v>
      </c>
      <c r="H336" s="7"/>
      <c r="I336" s="7"/>
      <c r="J336" s="7">
        <v>265.66964459282508</v>
      </c>
      <c r="K336" s="7"/>
      <c r="L336" s="7">
        <f t="shared" si="11"/>
        <v>17.208024771989788</v>
      </c>
      <c r="M336" s="7"/>
      <c r="N336" s="7"/>
      <c r="O336" s="7"/>
    </row>
    <row r="337" spans="3:15" x14ac:dyDescent="0.2">
      <c r="C337">
        <v>317</v>
      </c>
      <c r="D337" s="7">
        <v>2816.4447397315098</v>
      </c>
      <c r="E337" s="7"/>
      <c r="F337" s="7">
        <f t="shared" si="10"/>
        <v>227.43494864048807</v>
      </c>
      <c r="H337" s="7"/>
      <c r="I337" s="7"/>
      <c r="J337" s="7">
        <v>436.79780193216993</v>
      </c>
      <c r="K337" s="7"/>
      <c r="L337" s="7">
        <f t="shared" si="11"/>
        <v>28.292383224735435</v>
      </c>
      <c r="M337" s="7"/>
      <c r="N337" s="7"/>
      <c r="O337" s="7"/>
    </row>
    <row r="338" spans="3:15" x14ac:dyDescent="0.2">
      <c r="C338">
        <v>318</v>
      </c>
      <c r="D338" s="7">
        <v>2816.5501698046596</v>
      </c>
      <c r="E338" s="7"/>
      <c r="F338" s="7">
        <f t="shared" si="10"/>
        <v>227.44346238227527</v>
      </c>
      <c r="H338" s="7"/>
      <c r="I338" s="7"/>
      <c r="J338" s="7">
        <v>607.91566352552945</v>
      </c>
      <c r="K338" s="7"/>
      <c r="L338" s="7">
        <f t="shared" si="11"/>
        <v>39.376074798687938</v>
      </c>
      <c r="M338" s="7"/>
      <c r="N338" s="7"/>
      <c r="O338" s="7"/>
    </row>
    <row r="339" spans="3:15" x14ac:dyDescent="0.2">
      <c r="C339">
        <v>319</v>
      </c>
      <c r="D339" s="7">
        <v>2816.6658477527949</v>
      </c>
      <c r="E339" s="7"/>
      <c r="F339" s="7">
        <f t="shared" si="10"/>
        <v>227.4528036655683</v>
      </c>
      <c r="H339" s="7"/>
      <c r="I339" s="7"/>
      <c r="J339" s="7">
        <v>779.02327724390352</v>
      </c>
      <c r="K339" s="7"/>
      <c r="L339" s="7">
        <f t="shared" si="11"/>
        <v>50.459102594560406</v>
      </c>
      <c r="M339" s="7"/>
      <c r="N339" s="7"/>
      <c r="O339" s="7"/>
    </row>
    <row r="340" spans="3:15" x14ac:dyDescent="0.2">
      <c r="C340">
        <v>320</v>
      </c>
      <c r="D340" s="7">
        <v>2816.7917258596144</v>
      </c>
      <c r="E340" s="7"/>
      <c r="F340" s="7">
        <f t="shared" si="10"/>
        <v>227.46296863715662</v>
      </c>
      <c r="H340" s="7"/>
      <c r="I340" s="7"/>
      <c r="J340" s="7">
        <v>950.12069080359379</v>
      </c>
      <c r="K340" s="7"/>
      <c r="L340" s="7">
        <f t="shared" si="11"/>
        <v>61.541469703045806</v>
      </c>
      <c r="M340" s="7"/>
      <c r="N340" s="7"/>
      <c r="O340" s="7"/>
    </row>
    <row r="341" spans="3:15" x14ac:dyDescent="0.2">
      <c r="C341">
        <v>321</v>
      </c>
      <c r="D341" s="7">
        <v>2816.9277565631305</v>
      </c>
      <c r="E341" s="7"/>
      <c r="F341" s="7">
        <f t="shared" si="10"/>
        <v>227.47395345629093</v>
      </c>
      <c r="H341" s="7"/>
      <c r="I341" s="7"/>
      <c r="J341" s="7">
        <v>1121.207951766587</v>
      </c>
      <c r="K341" s="7"/>
      <c r="L341" s="7">
        <f t="shared" si="11"/>
        <v>72.623179204841776</v>
      </c>
      <c r="M341" s="7"/>
      <c r="N341" s="7"/>
      <c r="O341" s="7"/>
    </row>
    <row r="342" spans="3:15" x14ac:dyDescent="0.2">
      <c r="C342">
        <v>322</v>
      </c>
      <c r="D342" s="7">
        <v>2817.0738924552479</v>
      </c>
      <c r="E342" s="7"/>
      <c r="F342" s="7">
        <f t="shared" ref="F342:F405" si="12">D342*(1-($C$2/($D$8-$D$6)*LN($D$8/$D$6)))</f>
        <v>227.4857542946491</v>
      </c>
      <c r="H342" s="7"/>
      <c r="I342" s="7"/>
      <c r="J342" s="7">
        <v>1292.285107540979</v>
      </c>
      <c r="K342" s="7"/>
      <c r="L342" s="7">
        <f t="shared" ref="L342:L405" si="13">J342*(1-$C$2/($D$10-$D$9)*LN($D$10/$D$9))</f>
        <v>83.704234170678092</v>
      </c>
      <c r="M342" s="7"/>
      <c r="N342" s="7"/>
      <c r="O342" s="7"/>
    </row>
    <row r="343" spans="3:15" x14ac:dyDescent="0.2">
      <c r="C343">
        <v>323</v>
      </c>
      <c r="D343" s="7">
        <v>2817.2300862813568</v>
      </c>
      <c r="E343" s="7"/>
      <c r="F343" s="7">
        <f t="shared" si="12"/>
        <v>227.49836733630332</v>
      </c>
      <c r="H343" s="7"/>
      <c r="I343" s="7"/>
      <c r="J343" s="7">
        <v>1463.3522053813799</v>
      </c>
      <c r="K343" s="7"/>
      <c r="L343" s="7">
        <f t="shared" si="13"/>
        <v>94.784637661342913</v>
      </c>
      <c r="M343" s="7"/>
      <c r="N343" s="7"/>
      <c r="O343" s="7"/>
    </row>
    <row r="344" spans="3:15" x14ac:dyDescent="0.2">
      <c r="C344">
        <v>324</v>
      </c>
      <c r="D344" s="7">
        <v>2817.3962909399415</v>
      </c>
      <c r="E344" s="7"/>
      <c r="F344" s="7">
        <f t="shared" si="12"/>
        <v>227.51178877768854</v>
      </c>
      <c r="H344" s="7"/>
      <c r="I344" s="7"/>
      <c r="J344" s="7">
        <v>1634.4092923893058</v>
      </c>
      <c r="K344" s="7"/>
      <c r="L344" s="7">
        <f t="shared" si="13"/>
        <v>105.86439272770814</v>
      </c>
      <c r="M344" s="7"/>
      <c r="N344" s="7"/>
      <c r="O344" s="7"/>
    </row>
    <row r="345" spans="3:15" x14ac:dyDescent="0.2">
      <c r="C345">
        <v>325</v>
      </c>
      <c r="D345" s="7">
        <v>2817.5724594821577</v>
      </c>
      <c r="E345" s="7"/>
      <c r="F345" s="7">
        <f t="shared" si="12"/>
        <v>227.52601482756828</v>
      </c>
      <c r="H345" s="7"/>
      <c r="I345" s="7"/>
      <c r="J345" s="7">
        <v>1805.4564155135986</v>
      </c>
      <c r="K345" s="7"/>
      <c r="L345" s="7">
        <f t="shared" si="13"/>
        <v>116.94350241075662</v>
      </c>
      <c r="M345" s="7"/>
      <c r="N345" s="7"/>
      <c r="O345" s="7"/>
    </row>
    <row r="346" spans="3:15" x14ac:dyDescent="0.2">
      <c r="C346">
        <v>326</v>
      </c>
      <c r="D346" s="7">
        <v>2817.7585451114446</v>
      </c>
      <c r="E346" s="7"/>
      <c r="F346" s="7">
        <f t="shared" si="12"/>
        <v>227.54104170700342</v>
      </c>
      <c r="H346" s="7"/>
      <c r="I346" s="7"/>
      <c r="J346" s="7">
        <v>1976.4936215508214</v>
      </c>
      <c r="K346" s="7"/>
      <c r="L346" s="7">
        <f t="shared" si="13"/>
        <v>128.02196974160779</v>
      </c>
      <c r="M346" s="7"/>
      <c r="N346" s="7"/>
      <c r="O346" s="7"/>
    </row>
    <row r="347" spans="3:15" x14ac:dyDescent="0.2">
      <c r="C347">
        <v>327</v>
      </c>
      <c r="D347" s="7">
        <v>2817.9545011831187</v>
      </c>
      <c r="E347" s="7"/>
      <c r="F347" s="7">
        <f t="shared" si="12"/>
        <v>227.55686564931915</v>
      </c>
      <c r="H347" s="7"/>
      <c r="I347" s="7"/>
      <c r="J347" s="7">
        <v>1805.0743738126366</v>
      </c>
      <c r="K347" s="7"/>
      <c r="L347" s="7">
        <f t="shared" si="13"/>
        <v>116.9187567042452</v>
      </c>
      <c r="M347" s="7"/>
      <c r="N347" s="7"/>
      <c r="O347" s="7"/>
    </row>
    <row r="348" spans="3:15" x14ac:dyDescent="0.2">
      <c r="C348">
        <v>328</v>
      </c>
      <c r="D348" s="7">
        <v>2818.160281203965</v>
      </c>
      <c r="E348" s="7"/>
      <c r="F348" s="7">
        <f t="shared" si="12"/>
        <v>227.57348290007226</v>
      </c>
      <c r="H348" s="7"/>
      <c r="I348" s="7"/>
      <c r="J348" s="7">
        <v>1976.0918854582992</v>
      </c>
      <c r="K348" s="7"/>
      <c r="L348" s="7">
        <f t="shared" si="13"/>
        <v>127.9959483847361</v>
      </c>
      <c r="M348" s="7"/>
      <c r="N348" s="7"/>
      <c r="O348" s="7"/>
    </row>
    <row r="349" spans="3:15" x14ac:dyDescent="0.2">
      <c r="C349">
        <v>329</v>
      </c>
      <c r="D349" s="7">
        <v>2818.3758388318411</v>
      </c>
      <c r="E349" s="7"/>
      <c r="F349" s="7">
        <f t="shared" si="12"/>
        <v>227.590889717019</v>
      </c>
      <c r="H349" s="7"/>
      <c r="I349" s="7"/>
      <c r="J349" s="7">
        <v>2660.7694944964614</v>
      </c>
      <c r="K349" s="7"/>
      <c r="L349" s="7">
        <f t="shared" si="13"/>
        <v>172.34406830341507</v>
      </c>
      <c r="M349" s="7"/>
      <c r="N349" s="7"/>
      <c r="O349" s="7"/>
    </row>
    <row r="350" spans="3:15" x14ac:dyDescent="0.2">
      <c r="C350">
        <v>330</v>
      </c>
      <c r="D350" s="7">
        <v>2818.6011278752803</v>
      </c>
      <c r="E350" s="7"/>
      <c r="F350" s="7">
        <f t="shared" si="12"/>
        <v>227.60908237008297</v>
      </c>
      <c r="H350" s="7"/>
      <c r="I350" s="7"/>
      <c r="J350" s="7">
        <v>2489.3209137865115</v>
      </c>
      <c r="K350" s="7"/>
      <c r="L350" s="7">
        <f t="shared" si="13"/>
        <v>161.23895530301553</v>
      </c>
      <c r="M350" s="7"/>
      <c r="N350" s="7"/>
      <c r="O350" s="7"/>
    </row>
    <row r="351" spans="3:15" x14ac:dyDescent="0.2">
      <c r="C351">
        <v>331</v>
      </c>
      <c r="D351" s="7">
        <v>2818.8361022930912</v>
      </c>
      <c r="E351" s="7"/>
      <c r="F351" s="7">
        <f t="shared" si="12"/>
        <v>227.62805714132304</v>
      </c>
      <c r="H351" s="7"/>
      <c r="I351" s="7"/>
      <c r="J351" s="7">
        <v>2831.5325227017202</v>
      </c>
      <c r="K351" s="7"/>
      <c r="L351" s="7">
        <f t="shared" si="13"/>
        <v>183.40477651492236</v>
      </c>
      <c r="M351" s="7"/>
      <c r="N351" s="7"/>
      <c r="O351" s="7"/>
    </row>
    <row r="352" spans="3:15" x14ac:dyDescent="0.2">
      <c r="C352">
        <v>332</v>
      </c>
      <c r="D352" s="7">
        <v>2819.0807161939529</v>
      </c>
      <c r="E352" s="7"/>
      <c r="F352" s="7">
        <f t="shared" si="12"/>
        <v>227.64781032490032</v>
      </c>
      <c r="H352" s="7"/>
      <c r="I352" s="7"/>
      <c r="J352" s="7">
        <v>2454.5966671345386</v>
      </c>
      <c r="K352" s="7"/>
      <c r="L352" s="7">
        <f t="shared" si="13"/>
        <v>158.98978717734715</v>
      </c>
      <c r="M352" s="7"/>
      <c r="N352" s="7"/>
      <c r="O352" s="7"/>
    </row>
    <row r="353" spans="3:15" x14ac:dyDescent="0.2">
      <c r="C353">
        <v>333</v>
      </c>
      <c r="D353" s="7">
        <v>2819.334923836032</v>
      </c>
      <c r="E353" s="7"/>
      <c r="F353" s="7">
        <f t="shared" si="12"/>
        <v>227.66833822704757</v>
      </c>
      <c r="H353" s="7"/>
      <c r="I353" s="7"/>
      <c r="J353" s="7">
        <v>2077.6512178261387</v>
      </c>
      <c r="K353" s="7"/>
      <c r="L353" s="7">
        <f t="shared" si="13"/>
        <v>134.57417643141795</v>
      </c>
      <c r="M353" s="7"/>
      <c r="N353" s="7"/>
      <c r="O353" s="7"/>
    </row>
    <row r="354" spans="3:15" x14ac:dyDescent="0.2">
      <c r="C354">
        <v>334</v>
      </c>
      <c r="D354" s="7">
        <v>2819.598679626572</v>
      </c>
      <c r="E354" s="7"/>
      <c r="F354" s="7">
        <f t="shared" si="12"/>
        <v>227.68963716603574</v>
      </c>
      <c r="H354" s="7"/>
      <c r="I354" s="7"/>
      <c r="J354" s="7">
        <v>1700.6962203692769</v>
      </c>
      <c r="K354" s="7"/>
      <c r="L354" s="7">
        <f t="shared" si="13"/>
        <v>110.15794723028095</v>
      </c>
      <c r="M354" s="7"/>
      <c r="N354" s="7"/>
      <c r="O354" s="7"/>
    </row>
    <row r="355" spans="3:15" x14ac:dyDescent="0.2">
      <c r="C355">
        <v>335</v>
      </c>
      <c r="D355" s="7">
        <v>2819.8719381215069</v>
      </c>
      <c r="E355" s="7"/>
      <c r="F355" s="7">
        <f t="shared" si="12"/>
        <v>227.711703472143</v>
      </c>
      <c r="H355" s="7"/>
      <c r="I355" s="7"/>
      <c r="J355" s="7">
        <v>1323.7317202080221</v>
      </c>
      <c r="K355" s="7"/>
      <c r="L355" s="7">
        <f t="shared" si="13"/>
        <v>85.741102517451424</v>
      </c>
      <c r="M355" s="7"/>
      <c r="N355" s="7"/>
      <c r="O355" s="7"/>
    </row>
    <row r="356" spans="3:15" x14ac:dyDescent="0.2">
      <c r="C356">
        <v>336</v>
      </c>
      <c r="D356" s="7">
        <v>2820.154654025062</v>
      </c>
      <c r="E356" s="7"/>
      <c r="F356" s="7">
        <f t="shared" si="12"/>
        <v>227.73453348762237</v>
      </c>
      <c r="H356" s="7"/>
      <c r="I356" s="7"/>
      <c r="J356" s="7">
        <v>946.75776263814623</v>
      </c>
      <c r="K356" s="7"/>
      <c r="L356" s="7">
        <f t="shared" si="13"/>
        <v>61.32364522683914</v>
      </c>
      <c r="M356" s="7"/>
      <c r="N356" s="7"/>
      <c r="O356" s="7"/>
    </row>
    <row r="357" spans="3:15" x14ac:dyDescent="0.2">
      <c r="C357">
        <v>337</v>
      </c>
      <c r="D357" s="7">
        <v>2820.4467821893654</v>
      </c>
      <c r="E357" s="7"/>
      <c r="F357" s="7">
        <f t="shared" si="12"/>
        <v>227.75812356667043</v>
      </c>
      <c r="H357" s="7"/>
      <c r="I357" s="7"/>
      <c r="J357" s="7">
        <v>90.349176141295175</v>
      </c>
      <c r="K357" s="7"/>
      <c r="L357" s="7">
        <f t="shared" si="13"/>
        <v>5.8521208305567347</v>
      </c>
      <c r="M357" s="7"/>
      <c r="N357" s="7"/>
      <c r="O357" s="7"/>
    </row>
    <row r="358" spans="3:15" x14ac:dyDescent="0.2">
      <c r="C358">
        <v>338</v>
      </c>
      <c r="D358" s="7">
        <v>2739.5726666641513</v>
      </c>
      <c r="E358" s="7"/>
      <c r="F358" s="7">
        <f t="shared" si="12"/>
        <v>221.22733670217281</v>
      </c>
      <c r="H358" s="7"/>
      <c r="I358" s="7"/>
      <c r="J358" s="7">
        <v>0</v>
      </c>
      <c r="K358" s="7"/>
      <c r="L358" s="7">
        <f t="shared" si="13"/>
        <v>0</v>
      </c>
      <c r="M358" s="7"/>
      <c r="N358" s="7"/>
      <c r="O358" s="7"/>
    </row>
    <row r="359" spans="3:15" x14ac:dyDescent="0.2">
      <c r="C359">
        <v>339</v>
      </c>
      <c r="D359" s="7">
        <v>2821.1452934828731</v>
      </c>
      <c r="E359" s="7"/>
      <c r="F359" s="7">
        <f t="shared" si="12"/>
        <v>227.8145300986086</v>
      </c>
      <c r="H359" s="7"/>
      <c r="I359" s="7"/>
      <c r="J359" s="7">
        <v>89.650664847787539</v>
      </c>
      <c r="K359" s="7"/>
      <c r="L359" s="7">
        <f t="shared" si="13"/>
        <v>5.806876671553864</v>
      </c>
      <c r="M359" s="7"/>
      <c r="N359" s="7"/>
      <c r="O359" s="7"/>
    </row>
    <row r="360" spans="3:15" x14ac:dyDescent="0.2">
      <c r="C360">
        <v>340</v>
      </c>
      <c r="D360" s="7">
        <v>2821.4649929908819</v>
      </c>
      <c r="E360" s="7"/>
      <c r="F360" s="7">
        <f t="shared" si="12"/>
        <v>227.84034663253829</v>
      </c>
      <c r="H360" s="7"/>
      <c r="I360" s="7"/>
      <c r="J360" s="7">
        <v>260.55425700628848</v>
      </c>
      <c r="K360" s="7"/>
      <c r="L360" s="7">
        <f t="shared" si="13"/>
        <v>16.876689528769351</v>
      </c>
      <c r="M360" s="7"/>
      <c r="N360" s="7"/>
      <c r="O360" s="7"/>
    </row>
    <row r="361" spans="3:15" x14ac:dyDescent="0.2">
      <c r="C361">
        <v>341</v>
      </c>
      <c r="D361" s="7">
        <v>2821.7939269127055</v>
      </c>
      <c r="E361" s="7"/>
      <c r="F361" s="7">
        <f t="shared" si="12"/>
        <v>227.8669088684525</v>
      </c>
      <c r="H361" s="7"/>
      <c r="I361" s="7"/>
      <c r="J361" s="7">
        <v>688.28355225073801</v>
      </c>
      <c r="K361" s="7"/>
      <c r="L361" s="7">
        <f t="shared" si="13"/>
        <v>44.581685030054416</v>
      </c>
      <c r="M361" s="7"/>
      <c r="N361" s="7"/>
      <c r="O361" s="7"/>
    </row>
    <row r="362" spans="3:15" x14ac:dyDescent="0.2">
      <c r="C362">
        <v>342</v>
      </c>
      <c r="D362" s="7">
        <v>2822.1320508307526</v>
      </c>
      <c r="E362" s="7"/>
      <c r="F362" s="7">
        <f t="shared" si="12"/>
        <v>227.89421321951974</v>
      </c>
      <c r="H362" s="7"/>
      <c r="I362" s="7"/>
      <c r="J362" s="7">
        <v>944.78036583245466</v>
      </c>
      <c r="K362" s="7"/>
      <c r="L362" s="7">
        <f t="shared" si="13"/>
        <v>61.195564755814516</v>
      </c>
      <c r="M362" s="7"/>
      <c r="N362" s="7"/>
      <c r="O362" s="7"/>
    </row>
    <row r="363" spans="3:15" x14ac:dyDescent="0.2">
      <c r="C363">
        <v>343</v>
      </c>
      <c r="D363" s="7">
        <v>2822.4793204729895</v>
      </c>
      <c r="E363" s="7"/>
      <c r="F363" s="7">
        <f t="shared" si="12"/>
        <v>227.92225611066274</v>
      </c>
      <c r="H363" s="7"/>
      <c r="I363" s="7"/>
      <c r="J363" s="7">
        <v>1201.2680336899816</v>
      </c>
      <c r="K363" s="7"/>
      <c r="L363" s="7">
        <f t="shared" si="13"/>
        <v>77.808852092298622</v>
      </c>
      <c r="M363" s="7"/>
      <c r="N363" s="7"/>
      <c r="O363" s="7"/>
    </row>
    <row r="364" spans="3:15" x14ac:dyDescent="0.2">
      <c r="C364">
        <v>344</v>
      </c>
      <c r="D364" s="7">
        <v>2822.8356917125675</v>
      </c>
      <c r="E364" s="7"/>
      <c r="F364" s="7">
        <f t="shared" si="12"/>
        <v>227.95103397852822</v>
      </c>
      <c r="H364" s="7"/>
      <c r="I364" s="7"/>
      <c r="J364" s="7">
        <v>1457.7465999501674</v>
      </c>
      <c r="K364" s="7"/>
      <c r="L364" s="7">
        <f t="shared" si="13"/>
        <v>94.421549897702675</v>
      </c>
      <c r="M364" s="7"/>
      <c r="N364" s="7"/>
      <c r="O364" s="7"/>
    </row>
    <row r="365" spans="3:15" x14ac:dyDescent="0.2">
      <c r="C365">
        <v>345</v>
      </c>
      <c r="D365" s="7">
        <v>2823.2011205674157</v>
      </c>
      <c r="E365" s="7"/>
      <c r="F365" s="7">
        <f t="shared" si="12"/>
        <v>227.98054327145405</v>
      </c>
      <c r="H365" s="7"/>
      <c r="I365" s="7"/>
      <c r="J365" s="7">
        <v>1714.2161085950834</v>
      </c>
      <c r="K365" s="7"/>
      <c r="L365" s="7">
        <f t="shared" si="13"/>
        <v>111.0336610208451</v>
      </c>
      <c r="M365" s="7"/>
      <c r="N365" s="7"/>
      <c r="O365" s="7"/>
    </row>
    <row r="366" spans="3:15" x14ac:dyDescent="0.2">
      <c r="C366">
        <v>346</v>
      </c>
      <c r="D366" s="7">
        <v>2823.5755631998773</v>
      </c>
      <c r="E366" s="7"/>
      <c r="F366" s="7">
        <f t="shared" si="12"/>
        <v>228.01078044943995</v>
      </c>
      <c r="H366" s="7"/>
      <c r="I366" s="7"/>
      <c r="J366" s="7">
        <v>1970.6766034623861</v>
      </c>
      <c r="K366" s="7"/>
      <c r="L366" s="7">
        <f t="shared" si="13"/>
        <v>127.64518830119022</v>
      </c>
      <c r="M366" s="7"/>
      <c r="N366" s="7"/>
      <c r="O366" s="7"/>
    </row>
    <row r="367" spans="3:15" x14ac:dyDescent="0.2">
      <c r="C367">
        <v>347</v>
      </c>
      <c r="D367" s="7">
        <v>2823.95897591631</v>
      </c>
      <c r="E367" s="7"/>
      <c r="F367" s="7">
        <f t="shared" si="12"/>
        <v>228.04174198411513</v>
      </c>
      <c r="H367" s="7"/>
      <c r="I367" s="7"/>
      <c r="J367" s="7">
        <v>2227.1281282457176</v>
      </c>
      <c r="K367" s="7"/>
      <c r="L367" s="7">
        <f t="shared" si="13"/>
        <v>144.25613456887422</v>
      </c>
      <c r="M367" s="7"/>
      <c r="N367" s="7"/>
      <c r="O367" s="7"/>
    </row>
    <row r="368" spans="3:15" x14ac:dyDescent="0.2">
      <c r="C368">
        <v>348</v>
      </c>
      <c r="D368" s="7">
        <v>2824.351315166703</v>
      </c>
      <c r="E368" s="7"/>
      <c r="F368" s="7">
        <f t="shared" si="12"/>
        <v>228.07342435870748</v>
      </c>
      <c r="H368" s="7"/>
      <c r="I368" s="7"/>
      <c r="J368" s="7">
        <v>2483.5707264950879</v>
      </c>
      <c r="K368" s="7"/>
      <c r="L368" s="7">
        <f t="shared" si="13"/>
        <v>160.86650264472991</v>
      </c>
      <c r="M368" s="7"/>
      <c r="N368" s="7"/>
      <c r="O368" s="7"/>
    </row>
    <row r="369" spans="3:15" x14ac:dyDescent="0.2">
      <c r="C369">
        <v>349</v>
      </c>
      <c r="D369" s="7">
        <v>2824.7525375442974</v>
      </c>
      <c r="E369" s="7"/>
      <c r="F369" s="7">
        <f t="shared" si="12"/>
        <v>228.10582406801271</v>
      </c>
      <c r="H369" s="7"/>
      <c r="I369" s="7"/>
      <c r="J369" s="7">
        <v>2740.0044416172595</v>
      </c>
      <c r="K369" s="7"/>
      <c r="L369" s="7">
        <f t="shared" si="13"/>
        <v>177.47629534031162</v>
      </c>
      <c r="M369" s="7"/>
      <c r="N369" s="7"/>
      <c r="O369" s="7"/>
    </row>
    <row r="370" spans="3:15" x14ac:dyDescent="0.2">
      <c r="C370">
        <v>350</v>
      </c>
      <c r="D370" s="7">
        <v>2825.162599785207</v>
      </c>
      <c r="E370" s="7"/>
      <c r="F370" s="7">
        <f t="shared" si="12"/>
        <v>228.138937618364</v>
      </c>
      <c r="H370" s="7"/>
      <c r="I370" s="7"/>
      <c r="J370" s="7">
        <v>2996.4293168761142</v>
      </c>
      <c r="K370" s="7"/>
      <c r="L370" s="7">
        <f t="shared" si="13"/>
        <v>194.08551545791906</v>
      </c>
      <c r="M370" s="7"/>
      <c r="N370" s="7"/>
      <c r="O370" s="7"/>
    </row>
    <row r="371" spans="3:15" x14ac:dyDescent="0.2">
      <c r="C371">
        <v>351</v>
      </c>
      <c r="D371" s="7">
        <v>2825.5814587680275</v>
      </c>
      <c r="E371" s="7"/>
      <c r="F371" s="7">
        <f t="shared" si="12"/>
        <v>228.17276152760016</v>
      </c>
      <c r="H371" s="7"/>
      <c r="I371" s="7"/>
      <c r="J371" s="7">
        <v>2824.7871662267839</v>
      </c>
      <c r="K371" s="7"/>
      <c r="L371" s="7">
        <f t="shared" si="13"/>
        <v>182.96786449400065</v>
      </c>
      <c r="M371" s="7"/>
      <c r="N371" s="7"/>
      <c r="O371" s="7"/>
    </row>
    <row r="372" spans="3:15" x14ac:dyDescent="0.2">
      <c r="C372">
        <v>352</v>
      </c>
      <c r="D372" s="7">
        <v>2826.009071513462</v>
      </c>
      <c r="E372" s="7"/>
      <c r="F372" s="7">
        <f t="shared" si="12"/>
        <v>228.20729232503567</v>
      </c>
      <c r="H372" s="7"/>
      <c r="I372" s="7"/>
      <c r="J372" s="7">
        <v>3052.6572757033618</v>
      </c>
      <c r="K372" s="7"/>
      <c r="L372" s="7">
        <f t="shared" si="13"/>
        <v>197.72752773922667</v>
      </c>
      <c r="M372" s="7"/>
      <c r="N372" s="7"/>
      <c r="O372" s="7"/>
    </row>
    <row r="373" spans="3:15" x14ac:dyDescent="0.2">
      <c r="C373">
        <v>353</v>
      </c>
      <c r="D373" s="7">
        <v>2826.4453951839391</v>
      </c>
      <c r="E373" s="7"/>
      <c r="F373" s="7">
        <f t="shared" si="12"/>
        <v>228.24252655142956</v>
      </c>
      <c r="H373" s="7"/>
      <c r="I373" s="7"/>
      <c r="J373" s="7">
        <v>3851.2629798099292</v>
      </c>
      <c r="K373" s="7"/>
      <c r="L373" s="7">
        <f t="shared" si="13"/>
        <v>249.45502848693272</v>
      </c>
      <c r="M373" s="7"/>
      <c r="N373" s="7"/>
      <c r="O373" s="7"/>
    </row>
    <row r="374" spans="3:15" x14ac:dyDescent="0.2">
      <c r="C374">
        <v>354</v>
      </c>
      <c r="D374" s="7">
        <v>2826.8903870832396</v>
      </c>
      <c r="E374" s="7"/>
      <c r="F374" s="7">
        <f t="shared" si="12"/>
        <v>228.27846075895548</v>
      </c>
      <c r="H374" s="7"/>
      <c r="I374" s="7"/>
      <c r="J374" s="7">
        <v>3679.5946962441189</v>
      </c>
      <c r="K374" s="7"/>
      <c r="L374" s="7">
        <f t="shared" si="13"/>
        <v>238.33568483480812</v>
      </c>
      <c r="M374" s="7"/>
      <c r="N374" s="7"/>
      <c r="O374" s="7"/>
    </row>
    <row r="375" spans="3:15" x14ac:dyDescent="0.2">
      <c r="C375">
        <v>355</v>
      </c>
      <c r="D375" s="7">
        <v>2827.3440046561077</v>
      </c>
      <c r="E375" s="7"/>
      <c r="F375" s="7">
        <f t="shared" si="12"/>
        <v>228.31509151117024</v>
      </c>
      <c r="H375" s="7"/>
      <c r="I375" s="7"/>
      <c r="J375" s="7">
        <v>4021.5876620042704</v>
      </c>
      <c r="K375" s="7"/>
      <c r="L375" s="7">
        <f t="shared" si="13"/>
        <v>260.48734403421173</v>
      </c>
      <c r="M375" s="7"/>
      <c r="N375" s="7"/>
      <c r="O375" s="7"/>
    </row>
    <row r="376" spans="3:15" x14ac:dyDescent="0.2">
      <c r="C376">
        <v>356</v>
      </c>
      <c r="D376" s="7">
        <v>2827.8062054878797</v>
      </c>
      <c r="E376" s="7"/>
      <c r="F376" s="7">
        <f t="shared" si="12"/>
        <v>228.35241538298379</v>
      </c>
      <c r="H376" s="7"/>
      <c r="I376" s="7"/>
      <c r="J376" s="7">
        <v>3678.6788778394789</v>
      </c>
      <c r="K376" s="7"/>
      <c r="L376" s="7">
        <f t="shared" si="13"/>
        <v>238.27636520189392</v>
      </c>
      <c r="M376" s="7"/>
      <c r="N376" s="7"/>
      <c r="O376" s="7"/>
    </row>
    <row r="377" spans="3:15" x14ac:dyDescent="0.2">
      <c r="C377">
        <v>357</v>
      </c>
      <c r="D377" s="7">
        <v>2828.2769473041085</v>
      </c>
      <c r="E377" s="7"/>
      <c r="F377" s="7">
        <f t="shared" si="12"/>
        <v>228.3904289606289</v>
      </c>
      <c r="H377" s="7"/>
      <c r="I377" s="7"/>
      <c r="J377" s="7">
        <v>4191.8780110227781</v>
      </c>
      <c r="K377" s="7"/>
      <c r="L377" s="7">
        <f t="shared" si="13"/>
        <v>271.51743574390798</v>
      </c>
      <c r="M377" s="7"/>
      <c r="N377" s="7"/>
      <c r="O377" s="7"/>
    </row>
    <row r="378" spans="3:15" x14ac:dyDescent="0.2">
      <c r="C378">
        <v>358</v>
      </c>
      <c r="D378" s="7">
        <v>2828.7561879701889</v>
      </c>
      <c r="E378" s="7"/>
      <c r="F378" s="7">
        <f t="shared" si="12"/>
        <v>228.42912884163093</v>
      </c>
      <c r="H378" s="7"/>
      <c r="I378" s="7"/>
      <c r="J378" s="7">
        <v>3335.282312024151</v>
      </c>
      <c r="K378" s="7"/>
      <c r="L378" s="7">
        <f t="shared" si="13"/>
        <v>216.03379164697009</v>
      </c>
      <c r="M378" s="7"/>
      <c r="N378" s="7"/>
      <c r="O378" s="7"/>
    </row>
    <row r="379" spans="3:15" x14ac:dyDescent="0.2">
      <c r="C379">
        <v>359</v>
      </c>
      <c r="D379" s="7">
        <v>2829.2438854909742</v>
      </c>
      <c r="E379" s="7"/>
      <c r="F379" s="7">
        <f t="shared" si="12"/>
        <v>228.46851163477689</v>
      </c>
      <c r="H379" s="7"/>
      <c r="I379" s="7"/>
      <c r="J379" s="7">
        <v>2478.6781561708167</v>
      </c>
      <c r="K379" s="7"/>
      <c r="L379" s="7">
        <f t="shared" si="13"/>
        <v>160.54959978039327</v>
      </c>
      <c r="M379" s="7"/>
      <c r="N379" s="7"/>
      <c r="O379" s="7"/>
    </row>
    <row r="380" spans="3:15" x14ac:dyDescent="0.2">
      <c r="C380">
        <v>360</v>
      </c>
      <c r="D380" s="7">
        <v>2829.7399980104165</v>
      </c>
      <c r="E380" s="7"/>
      <c r="F380" s="7">
        <f t="shared" si="12"/>
        <v>228.50857396008635</v>
      </c>
      <c r="H380" s="7"/>
      <c r="I380" s="7"/>
      <c r="J380" s="7">
        <v>1622.0655853188282</v>
      </c>
      <c r="K380" s="7"/>
      <c r="L380" s="7">
        <f t="shared" si="13"/>
        <v>105.06486285528889</v>
      </c>
      <c r="M380" s="7"/>
      <c r="N380" s="7"/>
      <c r="O380" s="7"/>
    </row>
    <row r="381" spans="3:15" x14ac:dyDescent="0.2">
      <c r="C381">
        <v>361</v>
      </c>
      <c r="D381" s="7">
        <v>2830.2444838111769</v>
      </c>
      <c r="E381" s="7"/>
      <c r="F381" s="7">
        <f t="shared" si="12"/>
        <v>228.54931244878</v>
      </c>
      <c r="H381" s="7"/>
      <c r="I381" s="7"/>
      <c r="J381" s="7">
        <v>80.551474519483691</v>
      </c>
      <c r="K381" s="7"/>
      <c r="L381" s="7">
        <f t="shared" si="13"/>
        <v>5.21750149918714</v>
      </c>
      <c r="M381" s="7"/>
      <c r="N381" s="7"/>
      <c r="O381" s="7"/>
    </row>
    <row r="382" spans="3:15" x14ac:dyDescent="0.2">
      <c r="C382">
        <v>362</v>
      </c>
      <c r="D382" s="7">
        <v>2739.5726666641513</v>
      </c>
      <c r="E382" s="7"/>
      <c r="F382" s="7">
        <f t="shared" si="12"/>
        <v>221.22733670217281</v>
      </c>
      <c r="H382" s="7"/>
      <c r="I382" s="7"/>
      <c r="J382" s="7">
        <v>0</v>
      </c>
      <c r="K382" s="7"/>
      <c r="L382" s="7">
        <f t="shared" si="13"/>
        <v>0</v>
      </c>
      <c r="M382" s="7"/>
      <c r="N382" s="7"/>
      <c r="O382" s="7"/>
    </row>
    <row r="383" spans="3:15" x14ac:dyDescent="0.2">
      <c r="C383">
        <v>363</v>
      </c>
      <c r="D383" s="7">
        <v>2831.3781838697428</v>
      </c>
      <c r="E383" s="7"/>
      <c r="F383" s="7">
        <f t="shared" si="12"/>
        <v>228.64086156066432</v>
      </c>
      <c r="H383" s="7"/>
      <c r="I383" s="7"/>
      <c r="J383" s="7">
        <v>113.66243279421951</v>
      </c>
      <c r="K383" s="7"/>
      <c r="L383" s="7">
        <f t="shared" si="13"/>
        <v>7.3621732816530328</v>
      </c>
      <c r="M383" s="7"/>
      <c r="N383" s="7"/>
      <c r="O383" s="7"/>
    </row>
    <row r="384" spans="3:15" x14ac:dyDescent="0.2">
      <c r="C384">
        <v>364</v>
      </c>
      <c r="D384" s="7">
        <v>2831.9070821727937</v>
      </c>
      <c r="E384" s="7"/>
      <c r="F384" s="7">
        <f t="shared" si="12"/>
        <v>228.68357141990404</v>
      </c>
      <c r="H384" s="7"/>
      <c r="I384" s="7"/>
      <c r="J384" s="7">
        <v>250.11216782437668</v>
      </c>
      <c r="K384" s="7"/>
      <c r="L384" s="7">
        <f t="shared" si="13"/>
        <v>16.200331755230486</v>
      </c>
      <c r="M384" s="7"/>
      <c r="N384" s="7"/>
      <c r="O384" s="7"/>
    </row>
    <row r="385" spans="3:15" x14ac:dyDescent="0.2">
      <c r="C385">
        <v>365</v>
      </c>
      <c r="D385" s="7">
        <v>2832.4441897416264</v>
      </c>
      <c r="E385" s="7"/>
      <c r="F385" s="7">
        <f t="shared" si="12"/>
        <v>228.72694419786365</v>
      </c>
      <c r="H385" s="7"/>
      <c r="I385" s="7"/>
      <c r="J385" s="7">
        <v>567.56117335048975</v>
      </c>
      <c r="K385" s="7"/>
      <c r="L385" s="7">
        <f t="shared" si="13"/>
        <v>36.762223044350712</v>
      </c>
      <c r="M385" s="7"/>
      <c r="N385" s="7"/>
      <c r="O385" s="7"/>
    </row>
    <row r="386" spans="3:15" x14ac:dyDescent="0.2">
      <c r="C386">
        <v>366</v>
      </c>
      <c r="D386" s="7">
        <v>2832.9894655430567</v>
      </c>
      <c r="E386" s="7"/>
      <c r="F386" s="7">
        <f t="shared" si="12"/>
        <v>228.77097658101101</v>
      </c>
      <c r="H386" s="7"/>
      <c r="I386" s="7"/>
      <c r="J386" s="7">
        <v>787.16012969171425</v>
      </c>
      <c r="K386" s="7"/>
      <c r="L386" s="7">
        <f t="shared" si="13"/>
        <v>50.986144962169064</v>
      </c>
      <c r="M386" s="7"/>
      <c r="N386" s="7"/>
      <c r="O386" s="7"/>
    </row>
    <row r="387" spans="3:15" x14ac:dyDescent="0.2">
      <c r="C387">
        <v>367</v>
      </c>
      <c r="D387" s="7">
        <v>2833.5428686804039</v>
      </c>
      <c r="E387" s="7"/>
      <c r="F387" s="7">
        <f t="shared" si="12"/>
        <v>228.81566526683696</v>
      </c>
      <c r="H387" s="7"/>
      <c r="I387" s="7"/>
      <c r="J387" s="7">
        <v>1006.7509586970218</v>
      </c>
      <c r="K387" s="7"/>
      <c r="L387" s="7">
        <f t="shared" si="13"/>
        <v>65.209540454027064</v>
      </c>
      <c r="M387" s="7"/>
      <c r="N387" s="7"/>
      <c r="O387" s="7"/>
    </row>
    <row r="388" spans="3:15" x14ac:dyDescent="0.2">
      <c r="C388">
        <v>368</v>
      </c>
      <c r="D388" s="7">
        <v>2834.1043583931205</v>
      </c>
      <c r="E388" s="7"/>
      <c r="F388" s="7">
        <f t="shared" si="12"/>
        <v>228.8610069638255</v>
      </c>
      <c r="H388" s="7"/>
      <c r="I388" s="7"/>
      <c r="J388" s="7">
        <v>1226.3337011269605</v>
      </c>
      <c r="K388" s="7"/>
      <c r="L388" s="7">
        <f t="shared" si="13"/>
        <v>79.43241216007776</v>
      </c>
      <c r="M388" s="7"/>
      <c r="N388" s="7"/>
      <c r="O388" s="7"/>
    </row>
    <row r="389" spans="3:15" x14ac:dyDescent="0.2">
      <c r="C389">
        <v>369</v>
      </c>
      <c r="D389" s="7">
        <v>2834.6738940564337</v>
      </c>
      <c r="E389" s="7"/>
      <c r="F389" s="7">
        <f t="shared" si="12"/>
        <v>228.90699839142474</v>
      </c>
      <c r="H389" s="7"/>
      <c r="I389" s="7"/>
      <c r="J389" s="7">
        <v>1445.9083976063021</v>
      </c>
      <c r="K389" s="7"/>
      <c r="L389" s="7">
        <f t="shared" si="13"/>
        <v>93.65476271167968</v>
      </c>
      <c r="M389" s="7"/>
      <c r="N389" s="7"/>
      <c r="O389" s="7"/>
    </row>
    <row r="390" spans="3:15" x14ac:dyDescent="0.2">
      <c r="C390">
        <v>370</v>
      </c>
      <c r="D390" s="7">
        <v>2835.2514351809741</v>
      </c>
      <c r="E390" s="7"/>
      <c r="F390" s="7">
        <f t="shared" si="12"/>
        <v>228.95363628001689</v>
      </c>
      <c r="H390" s="7"/>
      <c r="I390" s="7"/>
      <c r="J390" s="7">
        <v>1665.4750886244174</v>
      </c>
      <c r="K390" s="7"/>
      <c r="L390" s="7">
        <f t="shared" si="13"/>
        <v>107.87659473142106</v>
      </c>
      <c r="M390" s="7"/>
      <c r="N390" s="7"/>
      <c r="O390" s="7"/>
    </row>
    <row r="391" spans="3:15" x14ac:dyDescent="0.2">
      <c r="C391">
        <v>371</v>
      </c>
      <c r="D391" s="7">
        <v>2835.8369414124104</v>
      </c>
      <c r="E391" s="7"/>
      <c r="F391" s="7">
        <f t="shared" si="12"/>
        <v>229.00091737088897</v>
      </c>
      <c r="H391" s="7"/>
      <c r="I391" s="7"/>
      <c r="J391" s="7">
        <v>1885.0338145356359</v>
      </c>
      <c r="K391" s="7"/>
      <c r="L391" s="7">
        <f t="shared" si="13"/>
        <v>122.0979108331433</v>
      </c>
      <c r="M391" s="7"/>
      <c r="N391" s="7"/>
      <c r="O391" s="7"/>
    </row>
    <row r="392" spans="3:15" x14ac:dyDescent="0.2">
      <c r="C392">
        <v>372</v>
      </c>
      <c r="D392" s="7">
        <v>2836.4303725310901</v>
      </c>
      <c r="E392" s="7"/>
      <c r="F392" s="7">
        <f t="shared" si="12"/>
        <v>229.04883841620352</v>
      </c>
      <c r="H392" s="7"/>
      <c r="I392" s="7"/>
      <c r="J392" s="7">
        <v>2104.5846155596109</v>
      </c>
      <c r="K392" s="7"/>
      <c r="L392" s="7">
        <f t="shared" si="13"/>
        <v>136.31871362196443</v>
      </c>
      <c r="M392" s="7"/>
      <c r="N392" s="7"/>
      <c r="O392" s="7"/>
    </row>
    <row r="393" spans="3:15" x14ac:dyDescent="0.2">
      <c r="C393">
        <v>373</v>
      </c>
      <c r="D393" s="7">
        <v>2837.0316884516742</v>
      </c>
      <c r="E393" s="7"/>
      <c r="F393" s="7">
        <f t="shared" si="12"/>
        <v>229.09739617896926</v>
      </c>
      <c r="H393" s="7"/>
      <c r="I393" s="7"/>
      <c r="J393" s="7">
        <v>2324.1275317816817</v>
      </c>
      <c r="K393" s="7"/>
      <c r="L393" s="7">
        <f t="shared" si="13"/>
        <v>150.53900569430269</v>
      </c>
      <c r="M393" s="7"/>
      <c r="N393" s="7"/>
      <c r="O393" s="7"/>
    </row>
    <row r="394" spans="3:15" x14ac:dyDescent="0.2">
      <c r="C394">
        <v>374</v>
      </c>
      <c r="D394" s="7">
        <v>2837.6408492227697</v>
      </c>
      <c r="E394" s="7"/>
      <c r="F394" s="7">
        <f t="shared" si="12"/>
        <v>229.14658743301146</v>
      </c>
      <c r="H394" s="7"/>
      <c r="I394" s="7"/>
      <c r="J394" s="7">
        <v>2543.662603153241</v>
      </c>
      <c r="K394" s="7"/>
      <c r="L394" s="7">
        <f t="shared" si="13"/>
        <v>164.75878963790029</v>
      </c>
      <c r="M394" s="7"/>
      <c r="N394" s="7"/>
      <c r="O394" s="7"/>
    </row>
    <row r="395" spans="3:15" x14ac:dyDescent="0.2">
      <c r="C395">
        <v>375</v>
      </c>
      <c r="D395" s="7">
        <v>2838.2578150265758</v>
      </c>
      <c r="E395" s="7"/>
      <c r="F395" s="7">
        <f t="shared" si="12"/>
        <v>229.19640896294317</v>
      </c>
      <c r="H395" s="7"/>
      <c r="I395" s="7"/>
      <c r="J395" s="7">
        <v>2763.1898694920906</v>
      </c>
      <c r="K395" s="7"/>
      <c r="L395" s="7">
        <f t="shared" si="13"/>
        <v>178.97806803184648</v>
      </c>
      <c r="M395" s="7"/>
      <c r="N395" s="7"/>
      <c r="O395" s="7"/>
    </row>
    <row r="396" spans="3:15" x14ac:dyDescent="0.2">
      <c r="C396">
        <v>376</v>
      </c>
      <c r="D396" s="7">
        <v>2838.8825461785182</v>
      </c>
      <c r="E396" s="7"/>
      <c r="F396" s="7">
        <f t="shared" si="12"/>
        <v>229.24685756413592</v>
      </c>
      <c r="H396" s="7"/>
      <c r="I396" s="7"/>
      <c r="J396" s="7">
        <v>2982.709370482803</v>
      </c>
      <c r="K396" s="7"/>
      <c r="L396" s="7">
        <f t="shared" si="13"/>
        <v>193.19684344660095</v>
      </c>
      <c r="M396" s="7"/>
      <c r="N396" s="7"/>
      <c r="O396" s="7"/>
    </row>
    <row r="397" spans="3:15" x14ac:dyDescent="0.2">
      <c r="C397">
        <v>377</v>
      </c>
      <c r="D397" s="7">
        <v>2839.5150031268854</v>
      </c>
      <c r="E397" s="7"/>
      <c r="F397" s="7">
        <f t="shared" si="12"/>
        <v>229.29793004269018</v>
      </c>
      <c r="H397" s="7"/>
      <c r="I397" s="7"/>
      <c r="J397" s="7">
        <v>2810.853621867926</v>
      </c>
      <c r="K397" s="7"/>
      <c r="L397" s="7">
        <f t="shared" si="13"/>
        <v>182.06535725853414</v>
      </c>
      <c r="M397" s="7"/>
      <c r="N397" s="7"/>
      <c r="O397" s="7"/>
    </row>
    <row r="398" spans="3:15" x14ac:dyDescent="0.2">
      <c r="C398">
        <v>378</v>
      </c>
      <c r="D398" s="7">
        <v>2840.1551464524832</v>
      </c>
      <c r="E398" s="7"/>
      <c r="F398" s="7">
        <f t="shared" si="12"/>
        <v>229.34962321540758</v>
      </c>
      <c r="H398" s="7"/>
      <c r="I398" s="7"/>
      <c r="J398" s="7">
        <v>3152.6600618753478</v>
      </c>
      <c r="K398" s="7"/>
      <c r="L398" s="7">
        <f t="shared" si="13"/>
        <v>204.20493476234731</v>
      </c>
      <c r="M398" s="7"/>
      <c r="N398" s="7"/>
      <c r="O398" s="7"/>
    </row>
    <row r="399" spans="3:15" x14ac:dyDescent="0.2">
      <c r="C399">
        <v>379</v>
      </c>
      <c r="D399" s="7">
        <v>2840.8029368682596</v>
      </c>
      <c r="E399" s="7"/>
      <c r="F399" s="7">
        <f t="shared" si="12"/>
        <v>229.40193390976046</v>
      </c>
      <c r="H399" s="7"/>
      <c r="I399" s="7"/>
      <c r="J399" s="7">
        <v>3494.45885479259</v>
      </c>
      <c r="K399" s="7"/>
      <c r="L399" s="7">
        <f t="shared" si="13"/>
        <v>226.3440169468046</v>
      </c>
      <c r="M399" s="7"/>
      <c r="N399" s="7"/>
      <c r="O399" s="7"/>
    </row>
    <row r="400" spans="3:15" x14ac:dyDescent="0.2">
      <c r="C400">
        <v>380</v>
      </c>
      <c r="D400" s="7">
        <v>2841.4583352189611</v>
      </c>
      <c r="E400" s="7"/>
      <c r="F400" s="7">
        <f t="shared" si="12"/>
        <v>229.45485896386433</v>
      </c>
      <c r="H400" s="7"/>
      <c r="I400" s="7"/>
      <c r="J400" s="7">
        <v>3665.0267481083974</v>
      </c>
      <c r="K400" s="7"/>
      <c r="L400" s="7">
        <f t="shared" si="13"/>
        <v>237.39208582943147</v>
      </c>
      <c r="M400" s="7"/>
      <c r="N400" s="7"/>
      <c r="O400" s="7"/>
    </row>
    <row r="401" spans="3:15" x14ac:dyDescent="0.2">
      <c r="C401">
        <v>381</v>
      </c>
      <c r="D401" s="7">
        <v>2842.1213024807676</v>
      </c>
      <c r="E401" s="7"/>
      <c r="F401" s="7">
        <f t="shared" si="12"/>
        <v>229.50839522644821</v>
      </c>
      <c r="H401" s="7"/>
      <c r="I401" s="7"/>
      <c r="J401" s="7">
        <v>4178.0336558461195</v>
      </c>
      <c r="K401" s="7"/>
      <c r="L401" s="7">
        <f t="shared" si="13"/>
        <v>270.62070549383634</v>
      </c>
      <c r="M401" s="7"/>
      <c r="N401" s="7"/>
      <c r="O401" s="7"/>
    </row>
    <row r="402" spans="3:15" x14ac:dyDescent="0.2">
      <c r="C402">
        <v>382</v>
      </c>
      <c r="D402" s="7">
        <v>2842.7917997609347</v>
      </c>
      <c r="E402" s="7"/>
      <c r="F402" s="7">
        <f t="shared" si="12"/>
        <v>229.56253955682587</v>
      </c>
      <c r="H402" s="7"/>
      <c r="I402" s="7"/>
      <c r="J402" s="7">
        <v>3321.2467002334051</v>
      </c>
      <c r="K402" s="7"/>
      <c r="L402" s="7">
        <f t="shared" si="13"/>
        <v>215.12467327269982</v>
      </c>
      <c r="M402" s="7"/>
      <c r="N402" s="7"/>
      <c r="O402" s="7"/>
    </row>
    <row r="403" spans="3:15" x14ac:dyDescent="0.2">
      <c r="C403">
        <v>383</v>
      </c>
      <c r="D403" s="7">
        <v>2843.4697882974478</v>
      </c>
      <c r="E403" s="7"/>
      <c r="F403" s="7">
        <f t="shared" si="12"/>
        <v>229.61728882486776</v>
      </c>
      <c r="H403" s="7"/>
      <c r="I403" s="7"/>
      <c r="J403" s="7">
        <v>2464.4522533643431</v>
      </c>
      <c r="K403" s="7"/>
      <c r="L403" s="7">
        <f t="shared" si="13"/>
        <v>159.62815582591776</v>
      </c>
      <c r="M403" s="7"/>
      <c r="N403" s="7"/>
      <c r="O403" s="7"/>
    </row>
    <row r="404" spans="3:15" x14ac:dyDescent="0.2">
      <c r="C404">
        <v>384</v>
      </c>
      <c r="D404" s="7">
        <v>2844.1552294586641</v>
      </c>
      <c r="E404" s="7"/>
      <c r="F404" s="7">
        <f t="shared" si="12"/>
        <v>229.67263991097218</v>
      </c>
      <c r="H404" s="7"/>
      <c r="I404" s="7"/>
      <c r="J404" s="7">
        <v>1607.6503538705806</v>
      </c>
      <c r="K404" s="7"/>
      <c r="L404" s="7">
        <f t="shared" si="13"/>
        <v>104.13115565574944</v>
      </c>
      <c r="M404" s="7"/>
      <c r="N404" s="7"/>
      <c r="O404" s="7"/>
    </row>
    <row r="405" spans="3:15" x14ac:dyDescent="0.2">
      <c r="C405">
        <v>385</v>
      </c>
      <c r="D405" s="7">
        <v>2844.8480847429532</v>
      </c>
      <c r="E405" s="7"/>
      <c r="F405" s="7">
        <f t="shared" si="12"/>
        <v>229.72858970603639</v>
      </c>
      <c r="H405" s="7"/>
      <c r="I405" s="7"/>
      <c r="J405" s="7">
        <v>65.947873587707363</v>
      </c>
      <c r="K405" s="7"/>
      <c r="L405" s="7">
        <f t="shared" si="13"/>
        <v>4.2715931814363097</v>
      </c>
      <c r="M405" s="7"/>
      <c r="N405" s="7"/>
      <c r="O405" s="7"/>
    </row>
    <row r="406" spans="3:15" x14ac:dyDescent="0.2">
      <c r="C406">
        <v>386</v>
      </c>
      <c r="D406" s="7">
        <v>2739.5726666641513</v>
      </c>
      <c r="E406" s="7"/>
      <c r="F406" s="7">
        <f t="shared" ref="F406:F469" si="14">D406*(1-($C$2/($D$8-$D$6)*LN($D$8/$D$6)))</f>
        <v>221.22733670217281</v>
      </c>
      <c r="H406" s="7"/>
      <c r="I406" s="7"/>
      <c r="J406" s="7">
        <v>0</v>
      </c>
      <c r="K406" s="7"/>
      <c r="L406" s="7">
        <f t="shared" ref="L406:L469" si="15">J406*(1-$C$2/($D$10-$D$9)*LN($D$10/$D$9))</f>
        <v>0</v>
      </c>
      <c r="M406" s="7"/>
      <c r="N406" s="7"/>
      <c r="O406" s="7"/>
    </row>
    <row r="407" spans="3:15" x14ac:dyDescent="0.2">
      <c r="C407">
        <v>387</v>
      </c>
      <c r="D407" s="7">
        <v>2846.4029462591038</v>
      </c>
      <c r="E407" s="7"/>
      <c r="F407" s="7">
        <f t="shared" si="14"/>
        <v>229.85414865774601</v>
      </c>
      <c r="H407" s="7"/>
      <c r="I407" s="7"/>
      <c r="J407" s="7">
        <v>64.393012071556768</v>
      </c>
      <c r="K407" s="7"/>
      <c r="L407" s="7">
        <f t="shared" si="15"/>
        <v>4.1708812783961999</v>
      </c>
      <c r="M407" s="7"/>
      <c r="N407" s="7"/>
      <c r="O407" s="7"/>
    </row>
    <row r="408" spans="3:15" x14ac:dyDescent="0.2">
      <c r="C408">
        <v>388</v>
      </c>
      <c r="D408" s="7">
        <v>2847.1171385442572</v>
      </c>
      <c r="E408" s="7"/>
      <c r="F408" s="7">
        <f t="shared" si="14"/>
        <v>229.91182146893306</v>
      </c>
      <c r="H408" s="7"/>
      <c r="I408" s="7"/>
      <c r="J408" s="7">
        <v>234.90211145291323</v>
      </c>
      <c r="K408" s="7"/>
      <c r="L408" s="7">
        <f t="shared" si="15"/>
        <v>15.215141944687213</v>
      </c>
      <c r="M408" s="7"/>
      <c r="N408" s="7"/>
      <c r="O408" s="7"/>
    </row>
    <row r="409" spans="3:15" x14ac:dyDescent="0.2">
      <c r="C409">
        <v>389</v>
      </c>
      <c r="D409" s="7">
        <v>2847.8385944116399</v>
      </c>
      <c r="E409" s="7"/>
      <c r="F409" s="7">
        <f t="shared" si="14"/>
        <v>229.97008083253064</v>
      </c>
      <c r="H409" s="7"/>
      <c r="I409" s="7"/>
      <c r="J409" s="7">
        <v>602.96928379031988</v>
      </c>
      <c r="K409" s="7"/>
      <c r="L409" s="7">
        <f t="shared" si="15"/>
        <v>39.055686576896136</v>
      </c>
      <c r="M409" s="7"/>
      <c r="N409" s="7"/>
      <c r="O409" s="7"/>
    </row>
    <row r="410" spans="3:15" x14ac:dyDescent="0.2">
      <c r="C410">
        <v>390</v>
      </c>
      <c r="D410" s="7">
        <v>2848.5672759987247</v>
      </c>
      <c r="E410" s="7"/>
      <c r="F410" s="7">
        <f t="shared" si="14"/>
        <v>230.02892369104515</v>
      </c>
      <c r="H410" s="7"/>
      <c r="I410" s="7"/>
      <c r="J410" s="7">
        <v>839.31900604917109</v>
      </c>
      <c r="K410" s="7"/>
      <c r="L410" s="7">
        <f t="shared" si="15"/>
        <v>54.364593553139585</v>
      </c>
      <c r="M410" s="7"/>
      <c r="N410" s="7"/>
      <c r="O410" s="7"/>
    </row>
    <row r="411" spans="3:15" x14ac:dyDescent="0.2">
      <c r="C411">
        <v>391</v>
      </c>
      <c r="D411" s="7">
        <v>2849.3031455709111</v>
      </c>
      <c r="E411" s="7"/>
      <c r="F411" s="7">
        <f t="shared" si="14"/>
        <v>230.08834699731327</v>
      </c>
      <c r="H411" s="7"/>
      <c r="I411" s="7"/>
      <c r="J411" s="7">
        <v>1075.6615403229202</v>
      </c>
      <c r="K411" s="7"/>
      <c r="L411" s="7">
        <f t="shared" si="15"/>
        <v>69.673034947303137</v>
      </c>
      <c r="M411" s="7"/>
      <c r="N411" s="7"/>
      <c r="O411" s="7"/>
    </row>
    <row r="412" spans="3:15" x14ac:dyDescent="0.2">
      <c r="C412">
        <v>392</v>
      </c>
      <c r="D412" s="7">
        <v>2850.0461655211725</v>
      </c>
      <c r="E412" s="7"/>
      <c r="F412" s="7">
        <f t="shared" si="14"/>
        <v>230.14834771447369</v>
      </c>
      <c r="H412" s="7"/>
      <c r="I412" s="7"/>
      <c r="J412" s="7">
        <v>1311.9969242185948</v>
      </c>
      <c r="K412" s="7"/>
      <c r="L412" s="7">
        <f t="shared" si="15"/>
        <v>84.981013195279147</v>
      </c>
      <c r="M412" s="7"/>
      <c r="N412" s="7"/>
      <c r="O412" s="7"/>
    </row>
    <row r="413" spans="3:15" x14ac:dyDescent="0.2">
      <c r="C413">
        <v>393</v>
      </c>
      <c r="D413" s="7">
        <v>2850.7962983697175</v>
      </c>
      <c r="E413" s="7"/>
      <c r="F413" s="7">
        <f t="shared" si="14"/>
        <v>230.20892281593959</v>
      </c>
      <c r="H413" s="7"/>
      <c r="I413" s="7"/>
      <c r="J413" s="7">
        <v>1548.3251952159858</v>
      </c>
      <c r="K413" s="7"/>
      <c r="L413" s="7">
        <f t="shared" si="15"/>
        <v>100.2885307247186</v>
      </c>
      <c r="M413" s="7"/>
      <c r="N413" s="7"/>
      <c r="O413" s="7"/>
    </row>
    <row r="414" spans="3:15" x14ac:dyDescent="0.2">
      <c r="C414">
        <v>394</v>
      </c>
      <c r="D414" s="7">
        <v>2851.5535067636288</v>
      </c>
      <c r="E414" s="7"/>
      <c r="F414" s="7">
        <f t="shared" si="14"/>
        <v>230.27006928536963</v>
      </c>
      <c r="H414" s="7"/>
      <c r="I414" s="7"/>
      <c r="J414" s="7">
        <v>1784.6463906680106</v>
      </c>
      <c r="K414" s="7"/>
      <c r="L414" s="7">
        <f t="shared" si="15"/>
        <v>115.59558995505458</v>
      </c>
      <c r="M414" s="7"/>
      <c r="N414" s="7"/>
      <c r="O414" s="7"/>
    </row>
    <row r="415" spans="3:15" x14ac:dyDescent="0.2">
      <c r="C415">
        <v>395</v>
      </c>
      <c r="D415" s="7">
        <v>2852.3177534765396</v>
      </c>
      <c r="E415" s="7"/>
      <c r="F415" s="7">
        <f t="shared" si="14"/>
        <v>230.33178411664164</v>
      </c>
      <c r="H415" s="7"/>
      <c r="I415" s="7"/>
      <c r="J415" s="7">
        <v>2020.9605478010367</v>
      </c>
      <c r="K415" s="7"/>
      <c r="L415" s="7">
        <f t="shared" si="15"/>
        <v>130.90219329752324</v>
      </c>
      <c r="M415" s="7"/>
      <c r="N415" s="7"/>
      <c r="O415" s="7"/>
    </row>
    <row r="416" spans="3:15" x14ac:dyDescent="0.2">
      <c r="C416">
        <v>396</v>
      </c>
      <c r="D416" s="7">
        <v>2853.0890014082606</v>
      </c>
      <c r="E416" s="7"/>
      <c r="F416" s="7">
        <f t="shared" si="14"/>
        <v>230.39406431382272</v>
      </c>
      <c r="H416" s="7"/>
      <c r="I416" s="7"/>
      <c r="J416" s="7">
        <v>2257.2677037152516</v>
      </c>
      <c r="K416" s="7"/>
      <c r="L416" s="7">
        <f t="shared" si="15"/>
        <v>146.2083431551878</v>
      </c>
      <c r="M416" s="7"/>
      <c r="N416" s="7"/>
      <c r="O416" s="7"/>
    </row>
    <row r="417" spans="3:15" x14ac:dyDescent="0.2">
      <c r="C417">
        <v>397</v>
      </c>
      <c r="D417" s="7">
        <v>2853.867213584459</v>
      </c>
      <c r="E417" s="7"/>
      <c r="F417" s="7">
        <f t="shared" si="14"/>
        <v>230.45690689114309</v>
      </c>
      <c r="H417" s="7"/>
      <c r="I417" s="7"/>
      <c r="J417" s="7">
        <v>2493.5678953849883</v>
      </c>
      <c r="K417" s="7"/>
      <c r="L417" s="7">
        <f t="shared" si="15"/>
        <v>161.51404192295956</v>
      </c>
      <c r="M417" s="7"/>
      <c r="N417" s="7"/>
      <c r="O417" s="7"/>
    </row>
    <row r="418" spans="3:15" x14ac:dyDescent="0.2">
      <c r="C418">
        <v>398</v>
      </c>
      <c r="D418" s="7">
        <v>2854.0351221394103</v>
      </c>
      <c r="E418" s="7"/>
      <c r="F418" s="7">
        <f t="shared" si="14"/>
        <v>230.47046592641649</v>
      </c>
      <c r="H418" s="7"/>
      <c r="I418" s="7"/>
      <c r="J418" s="7">
        <v>2730.478390675974</v>
      </c>
      <c r="K418" s="7"/>
      <c r="L418" s="7">
        <f t="shared" si="15"/>
        <v>176.85927143896183</v>
      </c>
      <c r="M418" s="7"/>
      <c r="N418" s="7"/>
      <c r="O418" s="7"/>
    </row>
    <row r="419" spans="3:15" x14ac:dyDescent="0.2">
      <c r="C419">
        <v>399</v>
      </c>
      <c r="D419" s="7">
        <v>2853.9468131314998</v>
      </c>
      <c r="E419" s="7"/>
      <c r="F419" s="7">
        <f t="shared" si="14"/>
        <v>230.46333475341839</v>
      </c>
      <c r="H419" s="7"/>
      <c r="I419" s="7"/>
      <c r="J419" s="7">
        <v>2967.6451035298214</v>
      </c>
      <c r="K419" s="7"/>
      <c r="L419" s="7">
        <f t="shared" si="15"/>
        <v>192.22109674698808</v>
      </c>
      <c r="M419" s="7"/>
      <c r="N419" s="7"/>
      <c r="O419" s="7"/>
    </row>
    <row r="420" spans="3:15" x14ac:dyDescent="0.2">
      <c r="C420">
        <v>400</v>
      </c>
      <c r="D420" s="7">
        <v>2853.8670261295269</v>
      </c>
      <c r="E420" s="7"/>
      <c r="F420" s="7">
        <f t="shared" si="14"/>
        <v>230.45689175368904</v>
      </c>
      <c r="H420" s="7"/>
      <c r="I420" s="7"/>
      <c r="J420" s="7">
        <v>2796.5015988652844</v>
      </c>
      <c r="K420" s="7"/>
      <c r="L420" s="7">
        <f t="shared" si="15"/>
        <v>181.13574421321937</v>
      </c>
      <c r="M420" s="7"/>
      <c r="N420" s="7"/>
      <c r="O420" s="7"/>
    </row>
    <row r="421" spans="3:15" x14ac:dyDescent="0.2">
      <c r="C421">
        <v>401</v>
      </c>
      <c r="D421" s="7">
        <v>2853.7957225655191</v>
      </c>
      <c r="E421" s="7"/>
      <c r="F421" s="7">
        <f t="shared" si="14"/>
        <v>230.45113381276823</v>
      </c>
      <c r="H421" s="7"/>
      <c r="I421" s="7"/>
      <c r="J421" s="7">
        <v>3104.7748274290097</v>
      </c>
      <c r="K421" s="7"/>
      <c r="L421" s="7">
        <f t="shared" si="15"/>
        <v>201.10329964017131</v>
      </c>
      <c r="M421" s="7"/>
      <c r="N421" s="7"/>
      <c r="O421" s="7"/>
    </row>
    <row r="422" spans="3:15" x14ac:dyDescent="0.2">
      <c r="C422">
        <v>402</v>
      </c>
      <c r="D422" s="7">
        <v>2853.7328639947063</v>
      </c>
      <c r="E422" s="7"/>
      <c r="F422" s="7">
        <f t="shared" si="14"/>
        <v>230.44605782614485</v>
      </c>
      <c r="H422" s="7"/>
      <c r="I422" s="7"/>
      <c r="J422" s="7">
        <v>3413.0396109995399</v>
      </c>
      <c r="K422" s="7"/>
      <c r="L422" s="7">
        <f t="shared" si="15"/>
        <v>221.07030806578132</v>
      </c>
      <c r="M422" s="7"/>
      <c r="N422" s="7"/>
      <c r="O422" s="7"/>
    </row>
    <row r="423" spans="3:15" x14ac:dyDescent="0.2">
      <c r="C423">
        <v>403</v>
      </c>
      <c r="D423" s="7">
        <v>2853.6784120952084</v>
      </c>
      <c r="E423" s="7"/>
      <c r="F423" s="7">
        <f t="shared" si="14"/>
        <v>230.44166069923128</v>
      </c>
      <c r="H423" s="7"/>
      <c r="I423" s="7"/>
      <c r="J423" s="7">
        <v>3995.2532545651698</v>
      </c>
      <c r="K423" s="7"/>
      <c r="L423" s="7">
        <f t="shared" si="15"/>
        <v>258.78160480208282</v>
      </c>
      <c r="M423" s="7"/>
      <c r="N423" s="7"/>
      <c r="O423" s="7"/>
    </row>
    <row r="424" spans="3:15" x14ac:dyDescent="0.2">
      <c r="C424">
        <v>404</v>
      </c>
      <c r="D424" s="7">
        <v>2853.6323286677143</v>
      </c>
      <c r="E424" s="7"/>
      <c r="F424" s="7">
        <f t="shared" si="14"/>
        <v>230.4379393473377</v>
      </c>
      <c r="H424" s="7"/>
      <c r="I424" s="7"/>
      <c r="J424" s="7">
        <v>3995.2993379926638</v>
      </c>
      <c r="K424" s="7"/>
      <c r="L424" s="7">
        <f t="shared" si="15"/>
        <v>258.78458973008662</v>
      </c>
      <c r="M424" s="7"/>
      <c r="N424" s="7"/>
      <c r="O424" s="7"/>
    </row>
    <row r="425" spans="3:15" x14ac:dyDescent="0.2">
      <c r="C425">
        <v>405</v>
      </c>
      <c r="D425" s="7">
        <v>2853.5945756351543</v>
      </c>
      <c r="E425" s="7"/>
      <c r="F425" s="7">
        <f t="shared" si="14"/>
        <v>230.43489069564566</v>
      </c>
      <c r="H425" s="7"/>
      <c r="I425" s="7"/>
      <c r="J425" s="7">
        <v>4337.7836743582429</v>
      </c>
      <c r="K425" s="7"/>
      <c r="L425" s="7">
        <f t="shared" si="15"/>
        <v>280.96807611683556</v>
      </c>
      <c r="M425" s="7"/>
      <c r="N425" s="7"/>
      <c r="O425" s="7"/>
    </row>
    <row r="426" spans="3:15" x14ac:dyDescent="0.2">
      <c r="C426">
        <v>406</v>
      </c>
      <c r="D426" s="7">
        <v>2853.5651150423892</v>
      </c>
      <c r="E426" s="7"/>
      <c r="F426" s="7">
        <f t="shared" si="14"/>
        <v>230.43251167918285</v>
      </c>
      <c r="H426" s="7"/>
      <c r="I426" s="7"/>
      <c r="J426" s="7">
        <v>3447.4520182851593</v>
      </c>
      <c r="K426" s="7"/>
      <c r="L426" s="7">
        <f t="shared" si="15"/>
        <v>223.29927764919881</v>
      </c>
      <c r="M426" s="7"/>
      <c r="N426" s="7"/>
      <c r="O426" s="7"/>
    </row>
    <row r="427" spans="3:15" x14ac:dyDescent="0.2">
      <c r="C427">
        <v>407</v>
      </c>
      <c r="D427" s="7">
        <v>2853.5439090558802</v>
      </c>
      <c r="E427" s="7"/>
      <c r="F427" s="7">
        <f t="shared" si="14"/>
        <v>230.43079924279647</v>
      </c>
      <c r="H427" s="7"/>
      <c r="I427" s="7"/>
      <c r="J427" s="7">
        <v>2557.1121076058189</v>
      </c>
      <c r="K427" s="7"/>
      <c r="L427" s="7">
        <f t="shared" si="15"/>
        <v>165.62994451201345</v>
      </c>
      <c r="M427" s="7"/>
      <c r="N427" s="7"/>
      <c r="O427" s="7"/>
    </row>
    <row r="428" spans="3:15" x14ac:dyDescent="0.2">
      <c r="C428">
        <v>408</v>
      </c>
      <c r="D428" s="7">
        <v>2853.5309199633839</v>
      </c>
      <c r="E428" s="7"/>
      <c r="F428" s="7">
        <f t="shared" si="14"/>
        <v>230.42975034112868</v>
      </c>
      <c r="H428" s="7"/>
      <c r="I428" s="7"/>
      <c r="J428" s="7">
        <v>1666.763980032465</v>
      </c>
      <c r="K428" s="7"/>
      <c r="L428" s="7">
        <f t="shared" si="15"/>
        <v>107.96007914798692</v>
      </c>
      <c r="M428" s="7"/>
      <c r="N428" s="7"/>
      <c r="O428" s="7"/>
    </row>
    <row r="429" spans="3:15" x14ac:dyDescent="0.2">
      <c r="C429">
        <v>409</v>
      </c>
      <c r="D429" s="7">
        <v>2853.5261101736251</v>
      </c>
      <c r="E429" s="7"/>
      <c r="F429" s="7">
        <f t="shared" si="14"/>
        <v>230.42936193859006</v>
      </c>
      <c r="H429" s="7"/>
      <c r="I429" s="7"/>
      <c r="J429" s="7">
        <v>57.26984815703554</v>
      </c>
      <c r="K429" s="7"/>
      <c r="L429" s="7">
        <f t="shared" si="15"/>
        <v>3.7094978136654482</v>
      </c>
      <c r="M429" s="7"/>
      <c r="N429" s="7"/>
      <c r="O429" s="7"/>
    </row>
    <row r="430" spans="3:15" x14ac:dyDescent="0.2">
      <c r="C430">
        <v>410</v>
      </c>
      <c r="D430" s="7">
        <v>2739.5726666641513</v>
      </c>
      <c r="E430" s="7"/>
      <c r="F430" s="7">
        <f t="shared" si="14"/>
        <v>221.22733670217281</v>
      </c>
      <c r="H430" s="7"/>
      <c r="I430" s="7"/>
      <c r="J430" s="7">
        <v>0</v>
      </c>
      <c r="K430" s="7"/>
      <c r="L430" s="7">
        <f t="shared" si="15"/>
        <v>0</v>
      </c>
      <c r="M430" s="7"/>
      <c r="N430" s="7"/>
      <c r="O430" s="7"/>
    </row>
    <row r="431" spans="3:15" x14ac:dyDescent="0.2">
      <c r="C431">
        <v>411</v>
      </c>
      <c r="D431" s="7">
        <v>2853.7109825380753</v>
      </c>
      <c r="E431" s="7"/>
      <c r="F431" s="7">
        <f t="shared" si="14"/>
        <v>230.44429084385868</v>
      </c>
      <c r="H431" s="7"/>
      <c r="I431" s="7"/>
      <c r="J431" s="7">
        <v>57.084975792585283</v>
      </c>
      <c r="K431" s="7"/>
      <c r="L431" s="7">
        <f t="shared" si="15"/>
        <v>3.6975232117797412</v>
      </c>
      <c r="M431" s="7"/>
      <c r="N431" s="7"/>
      <c r="O431" s="7"/>
    </row>
    <row r="432" spans="3:15" x14ac:dyDescent="0.2">
      <c r="C432">
        <v>412</v>
      </c>
      <c r="D432" s="7">
        <v>2853.7297047964698</v>
      </c>
      <c r="E432" s="7"/>
      <c r="F432" s="7">
        <f t="shared" si="14"/>
        <v>230.44580271299509</v>
      </c>
      <c r="H432" s="7"/>
      <c r="I432" s="7"/>
      <c r="J432" s="7">
        <v>228.28954520070056</v>
      </c>
      <c r="K432" s="7"/>
      <c r="L432" s="7">
        <f t="shared" si="15"/>
        <v>14.786831047336117</v>
      </c>
      <c r="M432" s="7"/>
      <c r="N432" s="7"/>
      <c r="O432" s="7"/>
    </row>
    <row r="433" spans="3:15" x14ac:dyDescent="0.2">
      <c r="C433">
        <v>413</v>
      </c>
      <c r="D433" s="7">
        <v>2853.7564597088294</v>
      </c>
      <c r="E433" s="7"/>
      <c r="F433" s="7">
        <f t="shared" si="14"/>
        <v>230.44796323900596</v>
      </c>
      <c r="H433" s="7"/>
      <c r="I433" s="7"/>
      <c r="J433" s="7">
        <v>570.70937362135965</v>
      </c>
      <c r="K433" s="7"/>
      <c r="L433" s="7">
        <f t="shared" si="15"/>
        <v>36.966139108345693</v>
      </c>
      <c r="M433" s="7"/>
      <c r="N433" s="7"/>
      <c r="O433" s="7"/>
    </row>
    <row r="434" spans="3:15" x14ac:dyDescent="0.2">
      <c r="C434">
        <v>414</v>
      </c>
      <c r="D434" s="7">
        <v>2853.7912102773948</v>
      </c>
      <c r="E434" s="7"/>
      <c r="F434" s="7">
        <f t="shared" si="14"/>
        <v>230.45076943422984</v>
      </c>
      <c r="H434" s="7"/>
      <c r="I434" s="7"/>
      <c r="J434" s="7">
        <v>798.97234527480623</v>
      </c>
      <c r="K434" s="7"/>
      <c r="L434" s="7">
        <f t="shared" si="15"/>
        <v>51.751248926822086</v>
      </c>
      <c r="M434" s="7"/>
      <c r="N434" s="7"/>
      <c r="O434" s="7"/>
    </row>
    <row r="435" spans="3:15" x14ac:dyDescent="0.2">
      <c r="C435">
        <v>415</v>
      </c>
      <c r="D435" s="7">
        <v>2853.8339196234974</v>
      </c>
      <c r="E435" s="7"/>
      <c r="F435" s="7">
        <f t="shared" si="14"/>
        <v>230.45421832062206</v>
      </c>
      <c r="H435" s="7"/>
      <c r="I435" s="7"/>
      <c r="J435" s="7">
        <v>1027.2273581507166</v>
      </c>
      <c r="K435" s="7"/>
      <c r="L435" s="7">
        <f t="shared" si="15"/>
        <v>66.535843237246326</v>
      </c>
      <c r="M435" s="7"/>
      <c r="N435" s="7"/>
      <c r="O435" s="7"/>
    </row>
    <row r="436" spans="3:15" x14ac:dyDescent="0.2">
      <c r="C436">
        <v>416</v>
      </c>
      <c r="D436" s="7">
        <v>2853.8845509872517</v>
      </c>
      <c r="E436" s="7"/>
      <c r="F436" s="7">
        <f t="shared" si="14"/>
        <v>230.45830692973007</v>
      </c>
      <c r="H436" s="7"/>
      <c r="I436" s="7"/>
      <c r="J436" s="7">
        <v>1255.4744490089743</v>
      </c>
      <c r="K436" s="7"/>
      <c r="L436" s="7">
        <f t="shared" si="15"/>
        <v>81.319924420639381</v>
      </c>
      <c r="M436" s="7"/>
      <c r="N436" s="7"/>
      <c r="O436" s="7"/>
    </row>
    <row r="437" spans="3:15" x14ac:dyDescent="0.2">
      <c r="C437">
        <v>417</v>
      </c>
      <c r="D437" s="7">
        <v>2853.9430677272376</v>
      </c>
      <c r="E437" s="7"/>
      <c r="F437" s="7">
        <f t="shared" si="14"/>
        <v>230.46303230266764</v>
      </c>
      <c r="H437" s="7"/>
      <c r="I437" s="7"/>
      <c r="J437" s="7">
        <v>1483.7136544910018</v>
      </c>
      <c r="K437" s="7"/>
      <c r="L437" s="7">
        <f t="shared" si="15"/>
        <v>96.103494850349165</v>
      </c>
      <c r="M437" s="7"/>
      <c r="N437" s="7"/>
      <c r="O437" s="7"/>
    </row>
    <row r="438" spans="3:15" x14ac:dyDescent="0.2">
      <c r="C438">
        <v>418</v>
      </c>
      <c r="D438" s="7">
        <v>2854.0094333201896</v>
      </c>
      <c r="E438" s="7"/>
      <c r="F438" s="7">
        <f t="shared" si="14"/>
        <v>230.46839149008986</v>
      </c>
      <c r="H438" s="7"/>
      <c r="I438" s="7"/>
      <c r="J438" s="7">
        <v>1711.9450111200622</v>
      </c>
      <c r="K438" s="7"/>
      <c r="L438" s="7">
        <f t="shared" si="15"/>
        <v>110.88655689207019</v>
      </c>
      <c r="M438" s="7"/>
      <c r="N438" s="7"/>
      <c r="O438" s="7"/>
    </row>
    <row r="439" spans="3:15" x14ac:dyDescent="0.2">
      <c r="C439">
        <v>419</v>
      </c>
      <c r="D439" s="7">
        <v>2854.083611360697</v>
      </c>
      <c r="E439" s="7"/>
      <c r="F439" s="7">
        <f t="shared" si="14"/>
        <v>230.47438155216884</v>
      </c>
      <c r="H439" s="7"/>
      <c r="I439" s="7"/>
      <c r="J439" s="7">
        <v>1940.1685553015673</v>
      </c>
      <c r="K439" s="7"/>
      <c r="L439" s="7">
        <f t="shared" si="15"/>
        <v>125.66911290386345</v>
      </c>
      <c r="M439" s="7"/>
      <c r="N439" s="7"/>
      <c r="O439" s="7"/>
    </row>
    <row r="440" spans="3:15" x14ac:dyDescent="0.2">
      <c r="C440">
        <v>420</v>
      </c>
      <c r="D440" s="7">
        <v>2854.1655655608747</v>
      </c>
      <c r="E440" s="7"/>
      <c r="F440" s="7">
        <f t="shared" si="14"/>
        <v>230.48099955856725</v>
      </c>
      <c r="H440" s="7"/>
      <c r="I440" s="7"/>
      <c r="J440" s="7">
        <v>2168.384323323402</v>
      </c>
      <c r="K440" s="7"/>
      <c r="L440" s="7">
        <f t="shared" si="15"/>
        <v>140.45116523617747</v>
      </c>
      <c r="M440" s="7"/>
      <c r="N440" s="7"/>
      <c r="O440" s="7"/>
    </row>
    <row r="441" spans="3:15" x14ac:dyDescent="0.2">
      <c r="C441">
        <v>421</v>
      </c>
      <c r="D441" s="7">
        <v>2854.2552597500689</v>
      </c>
      <c r="E441" s="7"/>
      <c r="F441" s="7">
        <f t="shared" si="14"/>
        <v>230.48824258841441</v>
      </c>
      <c r="H441" s="7"/>
      <c r="I441" s="7"/>
      <c r="J441" s="7">
        <v>2396.5923513562202</v>
      </c>
      <c r="K441" s="7"/>
      <c r="L441" s="7">
        <f t="shared" si="15"/>
        <v>155.23271623186744</v>
      </c>
      <c r="M441" s="7"/>
      <c r="N441" s="7"/>
      <c r="O441" s="7"/>
    </row>
    <row r="442" spans="3:15" x14ac:dyDescent="0.2">
      <c r="C442">
        <v>422</v>
      </c>
      <c r="D442" s="7">
        <v>2854.3526578745386</v>
      </c>
      <c r="E442" s="7"/>
      <c r="F442" s="7">
        <f t="shared" si="14"/>
        <v>230.49610773028064</v>
      </c>
      <c r="H442" s="7"/>
      <c r="I442" s="7"/>
      <c r="J442" s="7">
        <v>2624.7926754537639</v>
      </c>
      <c r="K442" s="7"/>
      <c r="L442" s="7">
        <f t="shared" si="15"/>
        <v>170.01376822621592</v>
      </c>
      <c r="M442" s="7"/>
      <c r="N442" s="7"/>
      <c r="O442" s="7"/>
    </row>
    <row r="443" spans="3:15" x14ac:dyDescent="0.2">
      <c r="C443">
        <v>423</v>
      </c>
      <c r="D443" s="7">
        <v>2854.457723997155</v>
      </c>
      <c r="E443" s="7"/>
      <c r="F443" s="7">
        <f t="shared" si="14"/>
        <v>230.50459208215307</v>
      </c>
      <c r="H443" s="7"/>
      <c r="I443" s="7"/>
      <c r="J443" s="7">
        <v>2453.4643176646368</v>
      </c>
      <c r="K443" s="7"/>
      <c r="L443" s="7">
        <f t="shared" si="15"/>
        <v>158.91644233677087</v>
      </c>
      <c r="M443" s="7"/>
      <c r="N443" s="7"/>
      <c r="O443" s="7"/>
    </row>
    <row r="444" spans="3:15" x14ac:dyDescent="0.2">
      <c r="C444">
        <v>424</v>
      </c>
      <c r="D444" s="7">
        <v>2854.5704222970953</v>
      </c>
      <c r="E444" s="7"/>
      <c r="F444" s="7">
        <f t="shared" si="14"/>
        <v>230.51369275141073</v>
      </c>
      <c r="H444" s="7"/>
      <c r="I444" s="7"/>
      <c r="J444" s="7">
        <v>2852.8726332532196</v>
      </c>
      <c r="K444" s="7"/>
      <c r="L444" s="7">
        <f t="shared" si="15"/>
        <v>184.78702382273966</v>
      </c>
      <c r="M444" s="7"/>
      <c r="N444" s="7"/>
      <c r="O444" s="7"/>
    </row>
    <row r="445" spans="3:15" x14ac:dyDescent="0.2">
      <c r="C445">
        <v>425</v>
      </c>
      <c r="D445" s="7">
        <v>2854.6907170695176</v>
      </c>
      <c r="E445" s="7"/>
      <c r="F445" s="7">
        <f t="shared" si="14"/>
        <v>230.52340685479848</v>
      </c>
      <c r="H445" s="7"/>
      <c r="I445" s="7"/>
      <c r="J445" s="7">
        <v>3252.2733523693196</v>
      </c>
      <c r="K445" s="7"/>
      <c r="L445" s="7">
        <f t="shared" si="15"/>
        <v>210.6571132679754</v>
      </c>
      <c r="M445" s="7"/>
      <c r="N445" s="7"/>
      <c r="O445" s="7"/>
    </row>
    <row r="446" spans="3:15" x14ac:dyDescent="0.2">
      <c r="C446">
        <v>426</v>
      </c>
      <c r="D446" s="7">
        <v>2854.818572725279</v>
      </c>
      <c r="E446" s="7"/>
      <c r="F446" s="7">
        <f t="shared" si="14"/>
        <v>230.53373151840407</v>
      </c>
      <c r="H446" s="7"/>
      <c r="I446" s="7"/>
      <c r="J446" s="7">
        <v>3651.6665106020796</v>
      </c>
      <c r="K446" s="7"/>
      <c r="L446" s="7">
        <f t="shared" si="15"/>
        <v>236.52671297766759</v>
      </c>
      <c r="M446" s="7"/>
      <c r="N446" s="7"/>
      <c r="O446" s="7"/>
    </row>
    <row r="447" spans="3:15" x14ac:dyDescent="0.2">
      <c r="C447">
        <v>427</v>
      </c>
      <c r="D447" s="7">
        <v>2854.953953790623</v>
      </c>
      <c r="E447" s="7"/>
      <c r="F447" s="7">
        <f t="shared" si="14"/>
        <v>230.54466387763307</v>
      </c>
      <c r="H447" s="7"/>
      <c r="I447" s="7"/>
      <c r="J447" s="7">
        <v>3180.6670774538352</v>
      </c>
      <c r="K447" s="7"/>
      <c r="L447" s="7">
        <f t="shared" si="15"/>
        <v>206.01901261306588</v>
      </c>
      <c r="M447" s="7"/>
      <c r="N447" s="7"/>
      <c r="O447" s="7"/>
    </row>
    <row r="448" spans="3:15" x14ac:dyDescent="0.2">
      <c r="C448">
        <v>428</v>
      </c>
      <c r="D448" s="7">
        <v>2855.0968249068596</v>
      </c>
      <c r="E448" s="7"/>
      <c r="F448" s="7">
        <f t="shared" si="14"/>
        <v>230.55620107718295</v>
      </c>
      <c r="H448" s="7"/>
      <c r="I448" s="7"/>
      <c r="J448" s="7">
        <v>2709.6601542546973</v>
      </c>
      <c r="K448" s="7"/>
      <c r="L448" s="7">
        <f t="shared" si="15"/>
        <v>175.51082710089861</v>
      </c>
      <c r="M448" s="7"/>
      <c r="N448" s="7"/>
      <c r="O448" s="7"/>
    </row>
    <row r="449" spans="3:15" x14ac:dyDescent="0.2">
      <c r="C449">
        <v>429</v>
      </c>
      <c r="D449" s="7">
        <v>2855.2471508300832</v>
      </c>
      <c r="E449" s="7"/>
      <c r="F449" s="7">
        <f t="shared" si="14"/>
        <v>230.56834027102028</v>
      </c>
      <c r="H449" s="7"/>
      <c r="I449" s="7"/>
      <c r="J449" s="7">
        <v>2238.6457762485725</v>
      </c>
      <c r="K449" s="7"/>
      <c r="L449" s="7">
        <f t="shared" si="15"/>
        <v>145.00215872399343</v>
      </c>
      <c r="M449" s="7"/>
      <c r="N449" s="7"/>
      <c r="O449" s="7"/>
    </row>
    <row r="450" spans="3:15" x14ac:dyDescent="0.2">
      <c r="C450">
        <v>430</v>
      </c>
      <c r="D450" s="7">
        <v>2855.4048964308504</v>
      </c>
      <c r="E450" s="7"/>
      <c r="F450" s="7">
        <f t="shared" si="14"/>
        <v>230.58107862235471</v>
      </c>
      <c r="H450" s="7"/>
      <c r="I450" s="7"/>
      <c r="J450" s="7">
        <v>1767.623978564905</v>
      </c>
      <c r="K450" s="7"/>
      <c r="L450" s="7">
        <f t="shared" si="15"/>
        <v>114.49300975776406</v>
      </c>
      <c r="M450" s="7"/>
      <c r="N450" s="7"/>
      <c r="O450" s="7"/>
    </row>
    <row r="451" spans="3:15" x14ac:dyDescent="0.2">
      <c r="C451">
        <v>431</v>
      </c>
      <c r="D451" s="7">
        <v>2855.5700266938916</v>
      </c>
      <c r="E451" s="7"/>
      <c r="F451" s="7">
        <f t="shared" si="14"/>
        <v>230.5944133036158</v>
      </c>
      <c r="H451" s="7"/>
      <c r="I451" s="7"/>
      <c r="J451" s="7">
        <v>1296.5947962189625</v>
      </c>
      <c r="K451" s="7"/>
      <c r="L451" s="7">
        <f t="shared" si="15"/>
        <v>83.983382470228719</v>
      </c>
      <c r="M451" s="7"/>
      <c r="N451" s="7"/>
      <c r="O451" s="7"/>
    </row>
    <row r="452" spans="3:15" x14ac:dyDescent="0.2">
      <c r="C452">
        <v>432</v>
      </c>
      <c r="D452" s="7">
        <v>2855.7425067177992</v>
      </c>
      <c r="E452" s="7"/>
      <c r="F452" s="7">
        <f t="shared" si="14"/>
        <v>230.60834149642767</v>
      </c>
      <c r="H452" s="7"/>
      <c r="I452" s="7"/>
      <c r="J452" s="7">
        <v>568.72332661238988</v>
      </c>
      <c r="K452" s="7"/>
      <c r="L452" s="7">
        <f t="shared" si="15"/>
        <v>36.837498344057146</v>
      </c>
      <c r="M452" s="7"/>
      <c r="N452" s="7"/>
      <c r="O452" s="7"/>
    </row>
    <row r="453" spans="3:15" x14ac:dyDescent="0.2">
      <c r="C453">
        <v>433</v>
      </c>
      <c r="D453" s="7">
        <v>2855.9223017147356</v>
      </c>
      <c r="E453" s="7"/>
      <c r="F453" s="7">
        <f t="shared" si="14"/>
        <v>230.6228603915855</v>
      </c>
      <c r="H453" s="7"/>
      <c r="I453" s="7"/>
      <c r="J453" s="7">
        <v>54.873656615925029</v>
      </c>
      <c r="K453" s="7"/>
      <c r="L453" s="7">
        <f t="shared" si="15"/>
        <v>3.5542910588212568</v>
      </c>
      <c r="M453" s="7"/>
      <c r="N453" s="7"/>
      <c r="O453" s="7"/>
    </row>
    <row r="454" spans="3:15" x14ac:dyDescent="0.2">
      <c r="C454">
        <v>434</v>
      </c>
      <c r="D454" s="7">
        <v>2739.5726666641513</v>
      </c>
      <c r="E454" s="7"/>
      <c r="F454" s="7">
        <f t="shared" si="14"/>
        <v>221.22733670217281</v>
      </c>
      <c r="H454" s="7"/>
      <c r="I454" s="7"/>
      <c r="J454" s="7">
        <v>0</v>
      </c>
      <c r="K454" s="7"/>
      <c r="L454" s="7">
        <f t="shared" si="15"/>
        <v>0</v>
      </c>
      <c r="M454" s="7"/>
      <c r="N454" s="7"/>
      <c r="O454" s="7"/>
    </row>
    <row r="455" spans="3:15" x14ac:dyDescent="0.2">
      <c r="C455">
        <v>435</v>
      </c>
      <c r="D455" s="7">
        <v>2856.4815575466437</v>
      </c>
      <c r="E455" s="7"/>
      <c r="F455" s="7">
        <f t="shared" si="14"/>
        <v>230.66802169711818</v>
      </c>
      <c r="H455" s="7"/>
      <c r="I455" s="7"/>
      <c r="J455" s="7">
        <v>54.314400784016925</v>
      </c>
      <c r="K455" s="7"/>
      <c r="L455" s="7">
        <f t="shared" si="15"/>
        <v>3.5180667915584163</v>
      </c>
      <c r="M455" s="7"/>
      <c r="N455" s="7"/>
      <c r="O455" s="7"/>
    </row>
    <row r="456" spans="3:15" x14ac:dyDescent="0.2">
      <c r="C456">
        <v>436</v>
      </c>
      <c r="D456" s="7">
        <v>2856.6822727170993</v>
      </c>
      <c r="E456" s="7"/>
      <c r="F456" s="7">
        <f t="shared" si="14"/>
        <v>230.6842299485495</v>
      </c>
      <c r="H456" s="7"/>
      <c r="I456" s="7"/>
      <c r="J456" s="7">
        <v>225.3369772800711</v>
      </c>
      <c r="K456" s="7"/>
      <c r="L456" s="7">
        <f t="shared" si="15"/>
        <v>14.595586533883916</v>
      </c>
      <c r="M456" s="7"/>
      <c r="N456" s="7"/>
      <c r="O456" s="7"/>
    </row>
    <row r="457" spans="3:15" x14ac:dyDescent="0.2">
      <c r="C457">
        <v>437</v>
      </c>
      <c r="D457" s="7">
        <v>2856.8901674663803</v>
      </c>
      <c r="E457" s="7"/>
      <c r="F457" s="7">
        <f t="shared" si="14"/>
        <v>230.70101796890663</v>
      </c>
      <c r="H457" s="7"/>
      <c r="I457" s="7"/>
      <c r="J457" s="7">
        <v>536.44415828807951</v>
      </c>
      <c r="K457" s="7"/>
      <c r="L457" s="7">
        <f t="shared" si="15"/>
        <v>34.746703481154086</v>
      </c>
      <c r="M457" s="7"/>
      <c r="N457" s="7"/>
      <c r="O457" s="7"/>
    </row>
    <row r="458" spans="3:15" x14ac:dyDescent="0.2">
      <c r="C458">
        <v>438</v>
      </c>
      <c r="D458" s="7">
        <v>2857.1052075630651</v>
      </c>
      <c r="E458" s="7"/>
      <c r="F458" s="7">
        <f t="shared" si="14"/>
        <v>230.71838299391678</v>
      </c>
      <c r="H458" s="7"/>
      <c r="I458" s="7"/>
      <c r="J458" s="7">
        <v>754.14967122149756</v>
      </c>
      <c r="K458" s="7"/>
      <c r="L458" s="7">
        <f t="shared" si="15"/>
        <v>48.847982779730664</v>
      </c>
      <c r="M458" s="7"/>
      <c r="N458" s="7"/>
      <c r="O458" s="7"/>
    </row>
    <row r="459" spans="3:15" x14ac:dyDescent="0.2">
      <c r="C459">
        <v>439</v>
      </c>
      <c r="D459" s="7">
        <v>2857.327358887519</v>
      </c>
      <c r="E459" s="7"/>
      <c r="F459" s="7">
        <f t="shared" si="14"/>
        <v>230.73632226833422</v>
      </c>
      <c r="H459" s="7"/>
      <c r="I459" s="7"/>
      <c r="J459" s="7">
        <v>971.84807292714686</v>
      </c>
      <c r="K459" s="7"/>
      <c r="L459" s="7">
        <f t="shared" si="15"/>
        <v>62.948801467973709</v>
      </c>
      <c r="M459" s="7"/>
      <c r="N459" s="7"/>
      <c r="O459" s="7"/>
    </row>
    <row r="460" spans="3:15" x14ac:dyDescent="0.2">
      <c r="C460">
        <v>440</v>
      </c>
      <c r="D460" s="7">
        <v>2857.5565874315957</v>
      </c>
      <c r="E460" s="7"/>
      <c r="F460" s="7">
        <f t="shared" si="14"/>
        <v>230.75483304591617</v>
      </c>
      <c r="H460" s="7"/>
      <c r="I460" s="7"/>
      <c r="J460" s="7">
        <v>1189.5393974131734</v>
      </c>
      <c r="K460" s="7"/>
      <c r="L460" s="7">
        <f t="shared" si="15"/>
        <v>77.049161748667899</v>
      </c>
      <c r="M460" s="7"/>
      <c r="N460" s="7"/>
      <c r="O460" s="7"/>
    </row>
    <row r="461" spans="3:15" x14ac:dyDescent="0.2">
      <c r="C461">
        <v>441</v>
      </c>
      <c r="D461" s="7">
        <v>2857.7928592983399</v>
      </c>
      <c r="E461" s="7"/>
      <c r="F461" s="7">
        <f t="shared" si="14"/>
        <v>230.7739125893988</v>
      </c>
      <c r="H461" s="7"/>
      <c r="I461" s="7"/>
      <c r="J461" s="7">
        <v>1407.2236785765317</v>
      </c>
      <c r="K461" s="7"/>
      <c r="L461" s="7">
        <f t="shared" si="15"/>
        <v>91.149065817395766</v>
      </c>
      <c r="M461" s="7"/>
      <c r="N461" s="7"/>
      <c r="O461" s="7"/>
    </row>
    <row r="462" spans="3:15" x14ac:dyDescent="0.2">
      <c r="C462">
        <v>442</v>
      </c>
      <c r="D462" s="7">
        <v>2858.0361407016944</v>
      </c>
      <c r="E462" s="7"/>
      <c r="F462" s="7">
        <f t="shared" si="14"/>
        <v>230.7935581704736</v>
      </c>
      <c r="H462" s="7"/>
      <c r="I462" s="7"/>
      <c r="J462" s="7">
        <v>1624.9009502032804</v>
      </c>
      <c r="K462" s="7"/>
      <c r="L462" s="7">
        <f t="shared" si="15"/>
        <v>105.24851586255687</v>
      </c>
      <c r="M462" s="7"/>
      <c r="N462" s="7"/>
      <c r="O462" s="7"/>
    </row>
    <row r="463" spans="3:15" x14ac:dyDescent="0.2">
      <c r="C463">
        <v>443</v>
      </c>
      <c r="D463" s="7">
        <v>2858.2863979661984</v>
      </c>
      <c r="E463" s="7"/>
      <c r="F463" s="7">
        <f t="shared" si="14"/>
        <v>230.813767069763</v>
      </c>
      <c r="H463" s="7"/>
      <c r="I463" s="7"/>
      <c r="J463" s="7">
        <v>1842.5712459688798</v>
      </c>
      <c r="K463" s="7"/>
      <c r="L463" s="7">
        <f t="shared" si="15"/>
        <v>119.34751406538706</v>
      </c>
      <c r="M463" s="7"/>
      <c r="N463" s="7"/>
      <c r="O463" s="7"/>
    </row>
    <row r="464" spans="3:15" x14ac:dyDescent="0.2">
      <c r="C464">
        <v>444</v>
      </c>
      <c r="D464" s="7">
        <v>2858.5435975267001</v>
      </c>
      <c r="E464" s="7"/>
      <c r="F464" s="7">
        <f t="shared" si="14"/>
        <v>230.83453657679712</v>
      </c>
      <c r="H464" s="7"/>
      <c r="I464" s="7"/>
      <c r="J464" s="7">
        <v>2060.2345994384814</v>
      </c>
      <c r="K464" s="7"/>
      <c r="L464" s="7">
        <f t="shared" si="15"/>
        <v>133.44606259997727</v>
      </c>
      <c r="M464" s="7"/>
      <c r="N464" s="7"/>
      <c r="O464" s="7"/>
    </row>
    <row r="465" spans="3:15" x14ac:dyDescent="0.2">
      <c r="C465">
        <v>445</v>
      </c>
      <c r="D465" s="7">
        <v>2858.8077059280595</v>
      </c>
      <c r="E465" s="7"/>
      <c r="F465" s="7">
        <f t="shared" si="14"/>
        <v>230.85586398998984</v>
      </c>
      <c r="H465" s="7"/>
      <c r="I465" s="7"/>
      <c r="J465" s="7">
        <v>2277.8910440672244</v>
      </c>
      <c r="K465" s="7"/>
      <c r="L465" s="7">
        <f t="shared" si="15"/>
        <v>147.54416363329264</v>
      </c>
      <c r="M465" s="7"/>
      <c r="N465" s="7"/>
      <c r="O465" s="7"/>
    </row>
    <row r="466" spans="3:15" x14ac:dyDescent="0.2">
      <c r="C466">
        <v>446</v>
      </c>
      <c r="D466" s="7">
        <v>2859.0786898248643</v>
      </c>
      <c r="E466" s="7"/>
      <c r="F466" s="7">
        <f t="shared" si="14"/>
        <v>230.87774661661581</v>
      </c>
      <c r="H466" s="7"/>
      <c r="I466" s="7"/>
      <c r="J466" s="7">
        <v>2179.7781792181286</v>
      </c>
      <c r="K466" s="7"/>
      <c r="L466" s="7">
        <f t="shared" si="15"/>
        <v>141.1891710959942</v>
      </c>
      <c r="M466" s="7"/>
      <c r="N466" s="7"/>
      <c r="O466" s="7"/>
    </row>
    <row r="467" spans="3:15" x14ac:dyDescent="0.2">
      <c r="C467">
        <v>447</v>
      </c>
      <c r="D467" s="7">
        <v>2859.3565159811169</v>
      </c>
      <c r="E467" s="7"/>
      <c r="F467" s="7">
        <f t="shared" si="14"/>
        <v>230.90018177278517</v>
      </c>
      <c r="H467" s="7"/>
      <c r="I467" s="7"/>
      <c r="J467" s="7">
        <v>2081.6584721095851</v>
      </c>
      <c r="K467" s="7"/>
      <c r="L467" s="7">
        <f t="shared" si="15"/>
        <v>134.83373537004979</v>
      </c>
      <c r="M467" s="7"/>
      <c r="N467" s="7"/>
      <c r="O467" s="7"/>
    </row>
    <row r="468" spans="3:15" x14ac:dyDescent="0.2">
      <c r="C468">
        <v>448</v>
      </c>
      <c r="D468" s="7">
        <v>2859.6411512699651</v>
      </c>
      <c r="E468" s="7"/>
      <c r="F468" s="7">
        <f t="shared" si="14"/>
        <v>230.92316678342189</v>
      </c>
      <c r="H468" s="7"/>
      <c r="I468" s="7"/>
      <c r="J468" s="7">
        <v>1983.5319558684459</v>
      </c>
      <c r="K468" s="7"/>
      <c r="L468" s="7">
        <f t="shared" si="15"/>
        <v>128.47785860116062</v>
      </c>
      <c r="M468" s="7"/>
      <c r="N468" s="7"/>
      <c r="O468" s="7"/>
    </row>
    <row r="469" spans="3:15" x14ac:dyDescent="0.2">
      <c r="C469">
        <v>449</v>
      </c>
      <c r="D469" s="7">
        <v>2859.9325626733962</v>
      </c>
      <c r="E469" s="7"/>
      <c r="F469" s="7">
        <f t="shared" si="14"/>
        <v>230.94669898223896</v>
      </c>
      <c r="H469" s="7"/>
      <c r="I469" s="7"/>
      <c r="J469" s="7">
        <v>1885.398663512723</v>
      </c>
      <c r="K469" s="7"/>
      <c r="L469" s="7">
        <f t="shared" si="15"/>
        <v>122.12154292797811</v>
      </c>
      <c r="M469" s="7"/>
      <c r="N469" s="7"/>
      <c r="O469" s="7"/>
    </row>
    <row r="470" spans="3:15" x14ac:dyDescent="0.2">
      <c r="C470">
        <v>450</v>
      </c>
      <c r="D470" s="7">
        <v>2860.2307172819596</v>
      </c>
      <c r="E470" s="7"/>
      <c r="F470" s="7">
        <f t="shared" ref="F470:F533" si="16">D470*(1-($C$2/($D$8-$D$6)*LN($D$8/$D$6)))</f>
        <v>230.97077571171599</v>
      </c>
      <c r="H470" s="7"/>
      <c r="I470" s="7"/>
      <c r="J470" s="7">
        <v>1787.2586279518678</v>
      </c>
      <c r="K470" s="7"/>
      <c r="L470" s="7">
        <f t="shared" ref="L470:L533" si="17">J470*(1-$C$2/($D$10-$D$9)*LN($D$10/$D$9))</f>
        <v>115.76479048212204</v>
      </c>
      <c r="M470" s="7"/>
      <c r="N470" s="7"/>
      <c r="O470" s="7"/>
    </row>
    <row r="471" spans="3:15" x14ac:dyDescent="0.2">
      <c r="C471">
        <v>451</v>
      </c>
      <c r="D471" s="7">
        <v>2860.5355822944616</v>
      </c>
      <c r="E471" s="7"/>
      <c r="F471" s="7">
        <f t="shared" si="16"/>
        <v>230.99539432307466</v>
      </c>
      <c r="H471" s="7"/>
      <c r="I471" s="7"/>
      <c r="J471" s="7">
        <v>1689.1118819870758</v>
      </c>
      <c r="K471" s="7"/>
      <c r="L471" s="7">
        <f t="shared" si="17"/>
        <v>109.40760338820013</v>
      </c>
      <c r="M471" s="7"/>
      <c r="N471" s="7"/>
      <c r="O471" s="7"/>
    </row>
    <row r="472" spans="3:15" x14ac:dyDescent="0.2">
      <c r="C472">
        <v>452</v>
      </c>
      <c r="D472" s="7">
        <v>2860.8471250176917</v>
      </c>
      <c r="E472" s="7"/>
      <c r="F472" s="7">
        <f t="shared" si="16"/>
        <v>231.02055217625659</v>
      </c>
      <c r="H472" s="7"/>
      <c r="I472" s="7"/>
      <c r="J472" s="7">
        <v>1590.9584583115538</v>
      </c>
      <c r="K472" s="7"/>
      <c r="L472" s="7">
        <f t="shared" si="17"/>
        <v>103.04998376382545</v>
      </c>
      <c r="M472" s="7"/>
      <c r="N472" s="7"/>
      <c r="O472" s="7"/>
    </row>
    <row r="473" spans="3:15" x14ac:dyDescent="0.2">
      <c r="C473">
        <v>453</v>
      </c>
      <c r="D473" s="7">
        <v>2861.1653128661187</v>
      </c>
      <c r="E473" s="7"/>
      <c r="F473" s="7">
        <f t="shared" si="16"/>
        <v>231.0462466398987</v>
      </c>
      <c r="H473" s="7"/>
      <c r="I473" s="7"/>
      <c r="J473" s="7">
        <v>1933.0868537961455</v>
      </c>
      <c r="K473" s="7"/>
      <c r="L473" s="7">
        <f t="shared" si="17"/>
        <v>125.21041505330582</v>
      </c>
      <c r="M473" s="7"/>
      <c r="N473" s="7"/>
      <c r="O473" s="7"/>
    </row>
    <row r="474" spans="3:15" x14ac:dyDescent="0.2">
      <c r="C474">
        <v>454</v>
      </c>
      <c r="D474" s="7">
        <v>2861.4901133616227</v>
      </c>
      <c r="E474" s="7"/>
      <c r="F474" s="7">
        <f t="shared" si="16"/>
        <v>231.07247509131167</v>
      </c>
      <c r="H474" s="7"/>
      <c r="I474" s="7"/>
      <c r="J474" s="7">
        <v>1419.0921783011131</v>
      </c>
      <c r="K474" s="7"/>
      <c r="L474" s="7">
        <f t="shared" si="17"/>
        <v>91.917815433408407</v>
      </c>
      <c r="M474" s="7"/>
      <c r="N474" s="7"/>
      <c r="O474" s="7"/>
    </row>
    <row r="475" spans="3:15" x14ac:dyDescent="0.2">
      <c r="C475">
        <v>455</v>
      </c>
      <c r="D475" s="7">
        <v>2861.8214941331839</v>
      </c>
      <c r="E475" s="7"/>
      <c r="F475" s="7">
        <f t="shared" si="16"/>
        <v>231.09923491645478</v>
      </c>
      <c r="H475" s="7"/>
      <c r="I475" s="7"/>
      <c r="J475" s="7">
        <v>905.09092253002427</v>
      </c>
      <c r="K475" s="7"/>
      <c r="L475" s="7">
        <f t="shared" si="17"/>
        <v>58.624789594122774</v>
      </c>
      <c r="M475" s="7"/>
      <c r="N475" s="7"/>
      <c r="O475" s="7"/>
    </row>
    <row r="476" spans="3:15" x14ac:dyDescent="0.2">
      <c r="C476">
        <v>456</v>
      </c>
      <c r="D476" s="7">
        <v>2862.1594229166162</v>
      </c>
      <c r="E476" s="7"/>
      <c r="F476" s="7">
        <f t="shared" si="16"/>
        <v>231.12652350991442</v>
      </c>
      <c r="H476" s="7"/>
      <c r="I476" s="7"/>
      <c r="J476" s="7">
        <v>391.08311874706351</v>
      </c>
      <c r="K476" s="7"/>
      <c r="L476" s="7">
        <f t="shared" si="17"/>
        <v>25.331339625273255</v>
      </c>
      <c r="M476" s="7"/>
      <c r="N476" s="7"/>
      <c r="O476" s="7"/>
    </row>
    <row r="477" spans="3:15" x14ac:dyDescent="0.2">
      <c r="C477">
        <v>457</v>
      </c>
      <c r="D477" s="7">
        <v>2739.5726666641513</v>
      </c>
      <c r="E477" s="7"/>
      <c r="F477" s="7">
        <f t="shared" si="16"/>
        <v>221.22733670217281</v>
      </c>
      <c r="H477" s="7"/>
      <c r="I477" s="7"/>
      <c r="J477" s="7">
        <v>0</v>
      </c>
      <c r="K477" s="7"/>
      <c r="L477" s="7">
        <f t="shared" si="17"/>
        <v>0</v>
      </c>
      <c r="M477" s="7"/>
      <c r="N477" s="7"/>
      <c r="O477" s="7"/>
    </row>
    <row r="478" spans="3:15" x14ac:dyDescent="0.2">
      <c r="C478">
        <v>458</v>
      </c>
      <c r="D478" s="7">
        <v>2739.5726666641513</v>
      </c>
      <c r="E478" s="7"/>
      <c r="F478" s="7">
        <f t="shared" si="16"/>
        <v>221.22733670217281</v>
      </c>
      <c r="H478" s="7"/>
      <c r="I478" s="7"/>
      <c r="J478" s="7">
        <v>0</v>
      </c>
      <c r="K478" s="7"/>
      <c r="L478" s="7">
        <f t="shared" si="17"/>
        <v>0</v>
      </c>
      <c r="M478" s="7"/>
      <c r="N478" s="7"/>
      <c r="O478" s="7"/>
    </row>
    <row r="479" spans="3:15" x14ac:dyDescent="0.2">
      <c r="C479">
        <v>459</v>
      </c>
      <c r="D479" s="7">
        <v>2863.6082067324483</v>
      </c>
      <c r="E479" s="7"/>
      <c r="F479" s="7">
        <f t="shared" si="16"/>
        <v>231.24351642232511</v>
      </c>
      <c r="H479" s="7"/>
      <c r="I479" s="7"/>
      <c r="J479" s="7">
        <v>71.648221836285302</v>
      </c>
      <c r="K479" s="7"/>
      <c r="L479" s="7">
        <f t="shared" si="17"/>
        <v>4.6408176520032676</v>
      </c>
      <c r="M479" s="7"/>
      <c r="N479" s="7"/>
      <c r="O479" s="7"/>
    </row>
    <row r="480" spans="3:15" x14ac:dyDescent="0.2">
      <c r="C480">
        <v>460</v>
      </c>
      <c r="D480" s="7">
        <v>2863.9701865582342</v>
      </c>
      <c r="E480" s="7"/>
      <c r="F480" s="7">
        <f t="shared" si="16"/>
        <v>231.27274719753797</v>
      </c>
      <c r="H480" s="7"/>
      <c r="I480" s="7"/>
      <c r="J480" s="7">
        <v>266.97000391508163</v>
      </c>
      <c r="K480" s="7"/>
      <c r="L480" s="7">
        <f t="shared" si="17"/>
        <v>17.292251991340247</v>
      </c>
      <c r="M480" s="7"/>
      <c r="N480" s="7"/>
      <c r="O480" s="7"/>
    </row>
    <row r="481" spans="3:15" x14ac:dyDescent="0.2">
      <c r="C481">
        <v>461</v>
      </c>
      <c r="D481" s="7">
        <v>2864.3385605224657</v>
      </c>
      <c r="E481" s="7"/>
      <c r="F481" s="7">
        <f t="shared" si="16"/>
        <v>231.30249431540383</v>
      </c>
      <c r="H481" s="7"/>
      <c r="I481" s="7"/>
      <c r="J481" s="7">
        <v>462.28539185543286</v>
      </c>
      <c r="K481" s="7"/>
      <c r="L481" s="7">
        <f t="shared" si="17"/>
        <v>29.943272167843809</v>
      </c>
      <c r="M481" s="7"/>
      <c r="N481" s="7"/>
      <c r="O481" s="7"/>
    </row>
    <row r="482" spans="3:15" x14ac:dyDescent="0.2">
      <c r="C482">
        <v>462</v>
      </c>
      <c r="D482" s="7">
        <v>2864.7132969805571</v>
      </c>
      <c r="E482" s="7"/>
      <c r="F482" s="7">
        <f t="shared" si="16"/>
        <v>231.33275522054333</v>
      </c>
      <c r="H482" s="7"/>
      <c r="I482" s="7"/>
      <c r="J482" s="7">
        <v>657.59441730192339</v>
      </c>
      <c r="K482" s="7"/>
      <c r="L482" s="7">
        <f t="shared" si="17"/>
        <v>42.593880231205368</v>
      </c>
      <c r="M482" s="7"/>
      <c r="N482" s="7"/>
      <c r="O482" s="7"/>
    </row>
    <row r="483" spans="3:15" x14ac:dyDescent="0.2">
      <c r="C483">
        <v>463</v>
      </c>
      <c r="D483" s="7">
        <v>2865.0943643927912</v>
      </c>
      <c r="E483" s="7"/>
      <c r="F483" s="7">
        <f t="shared" si="16"/>
        <v>231.36352736604559</v>
      </c>
      <c r="H483" s="7"/>
      <c r="I483" s="7"/>
      <c r="J483" s="7">
        <v>852.8971117942715</v>
      </c>
      <c r="K483" s="7"/>
      <c r="L483" s="7">
        <f t="shared" si="17"/>
        <v>55.244078224323935</v>
      </c>
      <c r="M483" s="7"/>
      <c r="N483" s="7"/>
      <c r="O483" s="7"/>
    </row>
    <row r="484" spans="3:15" x14ac:dyDescent="0.2">
      <c r="C484">
        <v>464</v>
      </c>
      <c r="D484" s="7">
        <v>2865.4817313240469</v>
      </c>
      <c r="E484" s="7"/>
      <c r="F484" s="7">
        <f t="shared" si="16"/>
        <v>231.39480821344597</v>
      </c>
      <c r="H484" s="7"/>
      <c r="I484" s="7"/>
      <c r="J484" s="7">
        <v>1048.1935067675981</v>
      </c>
      <c r="K484" s="7"/>
      <c r="L484" s="7">
        <f t="shared" si="17"/>
        <v>67.893868183323519</v>
      </c>
      <c r="M484" s="7"/>
      <c r="N484" s="7"/>
      <c r="O484" s="7"/>
    </row>
    <row r="485" spans="3:15" x14ac:dyDescent="0.2">
      <c r="C485">
        <v>465</v>
      </c>
      <c r="D485" s="7">
        <v>2865.875366443508</v>
      </c>
      <c r="E485" s="7"/>
      <c r="F485" s="7">
        <f t="shared" si="16"/>
        <v>231.42659523270282</v>
      </c>
      <c r="H485" s="7"/>
      <c r="I485" s="7"/>
      <c r="J485" s="7">
        <v>1243.4836335527189</v>
      </c>
      <c r="K485" s="7"/>
      <c r="L485" s="7">
        <f t="shared" si="17"/>
        <v>80.543252137572026</v>
      </c>
      <c r="M485" s="7"/>
      <c r="N485" s="7"/>
      <c r="O485" s="7"/>
    </row>
    <row r="486" spans="3:15" x14ac:dyDescent="0.2">
      <c r="C486">
        <v>466</v>
      </c>
      <c r="D486" s="7">
        <v>2866.2752385243894</v>
      </c>
      <c r="E486" s="7"/>
      <c r="F486" s="7">
        <f t="shared" si="16"/>
        <v>231.45888590217524</v>
      </c>
      <c r="H486" s="7"/>
      <c r="I486" s="7"/>
      <c r="J486" s="7">
        <v>1438.7675233764203</v>
      </c>
      <c r="K486" s="7"/>
      <c r="L486" s="7">
        <f t="shared" si="17"/>
        <v>93.192232109699162</v>
      </c>
      <c r="M486" s="7"/>
      <c r="N486" s="7"/>
      <c r="O486" s="7"/>
    </row>
    <row r="487" spans="3:15" x14ac:dyDescent="0.2">
      <c r="C487">
        <v>467</v>
      </c>
      <c r="D487" s="7">
        <v>2866.6813164436599</v>
      </c>
      <c r="E487" s="7"/>
      <c r="F487" s="7">
        <f t="shared" si="16"/>
        <v>231.49167770860072</v>
      </c>
      <c r="H487" s="7"/>
      <c r="I487" s="7"/>
      <c r="J487" s="7">
        <v>1634.0452073617325</v>
      </c>
      <c r="K487" s="7"/>
      <c r="L487" s="7">
        <f t="shared" si="17"/>
        <v>105.8408101156141</v>
      </c>
      <c r="M487" s="7"/>
      <c r="N487" s="7"/>
      <c r="O487" s="7"/>
    </row>
    <row r="488" spans="3:15" x14ac:dyDescent="0.2">
      <c r="C488">
        <v>468</v>
      </c>
      <c r="D488" s="7">
        <v>2867.0935691817526</v>
      </c>
      <c r="E488" s="7"/>
      <c r="F488" s="7">
        <f t="shared" si="16"/>
        <v>231.52496814707175</v>
      </c>
      <c r="H488" s="7"/>
      <c r="I488" s="7"/>
      <c r="J488" s="7">
        <v>1829.3167165282216</v>
      </c>
      <c r="K488" s="7"/>
      <c r="L488" s="7">
        <f t="shared" si="17"/>
        <v>118.48898816452441</v>
      </c>
      <c r="M488" s="7"/>
      <c r="N488" s="7"/>
      <c r="O488" s="7"/>
    </row>
    <row r="489" spans="3:15" x14ac:dyDescent="0.2">
      <c r="C489">
        <v>469</v>
      </c>
      <c r="D489" s="7">
        <v>2867.5119658222993</v>
      </c>
      <c r="E489" s="7"/>
      <c r="F489" s="7">
        <f t="shared" si="16"/>
        <v>231.55875472101431</v>
      </c>
      <c r="H489" s="7"/>
      <c r="I489" s="7"/>
      <c r="J489" s="7">
        <v>1926.7402008399649</v>
      </c>
      <c r="K489" s="7"/>
      <c r="L489" s="7">
        <f t="shared" si="17"/>
        <v>124.79932796258245</v>
      </c>
      <c r="M489" s="7"/>
      <c r="N489" s="7"/>
      <c r="O489" s="7"/>
    </row>
    <row r="490" spans="3:15" x14ac:dyDescent="0.2">
      <c r="C490">
        <v>470</v>
      </c>
      <c r="D490" s="7">
        <v>2867.9364755518432</v>
      </c>
      <c r="E490" s="7"/>
      <c r="F490" s="7">
        <f t="shared" si="16"/>
        <v>231.59303494216482</v>
      </c>
      <c r="H490" s="7"/>
      <c r="I490" s="7"/>
      <c r="J490" s="7">
        <v>1926.3156911104211</v>
      </c>
      <c r="K490" s="7"/>
      <c r="L490" s="7">
        <f t="shared" si="17"/>
        <v>124.77183150564572</v>
      </c>
      <c r="M490" s="7"/>
      <c r="N490" s="7"/>
      <c r="O490" s="7"/>
    </row>
    <row r="491" spans="3:15" x14ac:dyDescent="0.2">
      <c r="C491">
        <v>471</v>
      </c>
      <c r="D491" s="7">
        <v>2868.3670676595634</v>
      </c>
      <c r="E491" s="7"/>
      <c r="F491" s="7">
        <f t="shared" si="16"/>
        <v>231.62780633054777</v>
      </c>
      <c r="H491" s="7"/>
      <c r="I491" s="7"/>
      <c r="J491" s="7">
        <v>2415.0945037641582</v>
      </c>
      <c r="K491" s="7"/>
      <c r="L491" s="7">
        <f t="shared" si="17"/>
        <v>156.43114256114904</v>
      </c>
      <c r="M491" s="7"/>
      <c r="N491" s="7"/>
      <c r="O491" s="7"/>
    </row>
    <row r="492" spans="3:15" x14ac:dyDescent="0.2">
      <c r="C492">
        <v>472</v>
      </c>
      <c r="D492" s="7">
        <v>2868.8037115370053</v>
      </c>
      <c r="E492" s="7"/>
      <c r="F492" s="7">
        <f t="shared" si="16"/>
        <v>231.66306641445399</v>
      </c>
      <c r="H492" s="7"/>
      <c r="I492" s="7"/>
      <c r="J492" s="7">
        <v>2610.3416217912973</v>
      </c>
      <c r="K492" s="7"/>
      <c r="L492" s="7">
        <f t="shared" si="17"/>
        <v>169.07774074070397</v>
      </c>
      <c r="M492" s="7"/>
      <c r="N492" s="7"/>
      <c r="O492" s="7"/>
    </row>
    <row r="493" spans="3:15" x14ac:dyDescent="0.2">
      <c r="C493">
        <v>473</v>
      </c>
      <c r="D493" s="7">
        <v>2869.2463766777978</v>
      </c>
      <c r="E493" s="7"/>
      <c r="F493" s="7">
        <f t="shared" si="16"/>
        <v>231.69881273041781</v>
      </c>
      <c r="H493" s="7"/>
      <c r="I493" s="7"/>
      <c r="J493" s="7">
        <v>2335.9416899840894</v>
      </c>
      <c r="K493" s="7"/>
      <c r="L493" s="7">
        <f t="shared" si="17"/>
        <v>151.30423548680992</v>
      </c>
      <c r="M493" s="7"/>
      <c r="N493" s="7"/>
      <c r="O493" s="7"/>
    </row>
    <row r="494" spans="3:15" x14ac:dyDescent="0.2">
      <c r="C494">
        <v>474</v>
      </c>
      <c r="D494" s="7">
        <v>2869.695032677379</v>
      </c>
      <c r="E494" s="7"/>
      <c r="F494" s="7">
        <f t="shared" si="16"/>
        <v>231.7350428231949</v>
      </c>
      <c r="H494" s="7"/>
      <c r="I494" s="7"/>
      <c r="J494" s="7">
        <v>2061.5357673180938</v>
      </c>
      <c r="K494" s="7"/>
      <c r="L494" s="7">
        <f t="shared" si="17"/>
        <v>133.53034219141949</v>
      </c>
      <c r="M494" s="7"/>
      <c r="N494" s="7"/>
      <c r="O494" s="7"/>
    </row>
    <row r="495" spans="3:15" x14ac:dyDescent="0.2">
      <c r="C495">
        <v>475</v>
      </c>
      <c r="D495" s="7">
        <v>2870.1496492327269</v>
      </c>
      <c r="E495" s="7"/>
      <c r="F495" s="7">
        <f t="shared" si="16"/>
        <v>231.77175424574051</v>
      </c>
      <c r="H495" s="7"/>
      <c r="I495" s="7"/>
      <c r="J495" s="7">
        <v>1924.1025174295373</v>
      </c>
      <c r="K495" s="7"/>
      <c r="L495" s="7">
        <f t="shared" si="17"/>
        <v>124.62847923224719</v>
      </c>
      <c r="M495" s="7"/>
      <c r="N495" s="7"/>
      <c r="O495" s="7"/>
    </row>
    <row r="496" spans="3:15" x14ac:dyDescent="0.2">
      <c r="C496">
        <v>476</v>
      </c>
      <c r="D496" s="7">
        <v>2870.6101961420741</v>
      </c>
      <c r="E496" s="7"/>
      <c r="F496" s="7">
        <f t="shared" si="16"/>
        <v>231.8089445591865</v>
      </c>
      <c r="H496" s="7"/>
      <c r="I496" s="7"/>
      <c r="J496" s="7">
        <v>1512.7060705205672</v>
      </c>
      <c r="K496" s="7"/>
      <c r="L496" s="7">
        <f t="shared" si="17"/>
        <v>97.981399320772312</v>
      </c>
      <c r="M496" s="7"/>
      <c r="N496" s="7"/>
      <c r="O496" s="7"/>
    </row>
    <row r="497" spans="3:15" x14ac:dyDescent="0.2">
      <c r="C497">
        <v>477</v>
      </c>
      <c r="D497" s="7">
        <v>2871.0766433046492</v>
      </c>
      <c r="E497" s="7"/>
      <c r="F497" s="7">
        <f t="shared" si="16"/>
        <v>231.84661133282037</v>
      </c>
      <c r="H497" s="7"/>
      <c r="I497" s="7"/>
      <c r="J497" s="7">
        <v>1238.2823566915758</v>
      </c>
      <c r="K497" s="7"/>
      <c r="L497" s="7">
        <f t="shared" si="17"/>
        <v>80.206353651447643</v>
      </c>
      <c r="M497" s="7"/>
      <c r="N497" s="7"/>
      <c r="O497" s="7"/>
    </row>
    <row r="498" spans="3:15" x14ac:dyDescent="0.2">
      <c r="C498">
        <v>478</v>
      </c>
      <c r="D498" s="7">
        <v>2871.5489607203845</v>
      </c>
      <c r="E498" s="7"/>
      <c r="F498" s="7">
        <f t="shared" si="16"/>
        <v>231.88475214406171</v>
      </c>
      <c r="H498" s="7"/>
      <c r="I498" s="7"/>
      <c r="J498" s="7">
        <v>963.85277260942712</v>
      </c>
      <c r="K498" s="7"/>
      <c r="L498" s="7">
        <f t="shared" si="17"/>
        <v>62.430927752526529</v>
      </c>
      <c r="M498" s="7"/>
      <c r="N498" s="7"/>
      <c r="O498" s="7"/>
    </row>
    <row r="499" spans="3:15" x14ac:dyDescent="0.2">
      <c r="C499">
        <v>479</v>
      </c>
      <c r="D499" s="7">
        <v>2872.0271184896706</v>
      </c>
      <c r="E499" s="7"/>
      <c r="F499" s="7">
        <f t="shared" si="16"/>
        <v>231.92336457844237</v>
      </c>
      <c r="H499" s="7"/>
      <c r="I499" s="7"/>
      <c r="J499" s="7">
        <v>209.99213150749983</v>
      </c>
      <c r="K499" s="7"/>
      <c r="L499" s="7">
        <f t="shared" si="17"/>
        <v>13.601666108456808</v>
      </c>
      <c r="M499" s="7"/>
      <c r="N499" s="7"/>
      <c r="O499" s="7"/>
    </row>
    <row r="500" spans="3:15" x14ac:dyDescent="0.2">
      <c r="C500">
        <v>480</v>
      </c>
      <c r="D500" s="7">
        <v>2872.5110868130605</v>
      </c>
      <c r="E500" s="7"/>
      <c r="F500" s="7">
        <f t="shared" si="16"/>
        <v>231.96244622958255</v>
      </c>
      <c r="H500" s="7"/>
      <c r="I500" s="7"/>
      <c r="J500" s="7">
        <v>38.284871517600095</v>
      </c>
      <c r="K500" s="7"/>
      <c r="L500" s="7">
        <f t="shared" si="17"/>
        <v>2.4797978650403221</v>
      </c>
      <c r="M500" s="7"/>
      <c r="N500" s="7"/>
      <c r="O500" s="7"/>
    </row>
    <row r="501" spans="3:15" x14ac:dyDescent="0.2">
      <c r="C501">
        <v>481</v>
      </c>
      <c r="D501" s="7">
        <v>2739.5726666641513</v>
      </c>
      <c r="E501" s="7"/>
      <c r="F501" s="7">
        <f t="shared" si="16"/>
        <v>221.22733670217281</v>
      </c>
      <c r="H501" s="7"/>
      <c r="I501" s="7"/>
      <c r="J501" s="7">
        <v>0</v>
      </c>
      <c r="K501" s="7"/>
      <c r="L501" s="7">
        <f t="shared" si="17"/>
        <v>0</v>
      </c>
      <c r="M501" s="7"/>
      <c r="N501" s="7"/>
      <c r="O501" s="7"/>
    </row>
    <row r="502" spans="3:15" x14ac:dyDescent="0.2">
      <c r="C502">
        <v>482</v>
      </c>
      <c r="D502" s="7">
        <v>2739.5726666641513</v>
      </c>
      <c r="E502" s="7"/>
      <c r="F502" s="7">
        <f t="shared" si="16"/>
        <v>221.22733670217281</v>
      </c>
      <c r="H502" s="7"/>
      <c r="I502" s="7"/>
      <c r="J502" s="7">
        <v>0</v>
      </c>
      <c r="K502" s="7"/>
      <c r="L502" s="7">
        <f t="shared" si="17"/>
        <v>0</v>
      </c>
      <c r="M502" s="7"/>
      <c r="N502" s="7"/>
      <c r="O502" s="7"/>
    </row>
    <row r="503" spans="3:15" x14ac:dyDescent="0.2">
      <c r="C503">
        <v>483</v>
      </c>
      <c r="D503" s="7">
        <v>2874.5310124140433</v>
      </c>
      <c r="E503" s="7"/>
      <c r="F503" s="7">
        <f t="shared" si="16"/>
        <v>232.12556026794317</v>
      </c>
      <c r="H503" s="7"/>
      <c r="I503" s="7"/>
      <c r="J503" s="7">
        <v>36.264945916618217</v>
      </c>
      <c r="K503" s="7"/>
      <c r="L503" s="7">
        <f t="shared" si="17"/>
        <v>2.3489627075930142</v>
      </c>
      <c r="M503" s="7"/>
      <c r="N503" s="7"/>
      <c r="O503" s="7"/>
    </row>
    <row r="504" spans="3:15" x14ac:dyDescent="0.2">
      <c r="C504">
        <v>484</v>
      </c>
      <c r="D504" s="7">
        <v>2875.0354743963371</v>
      </c>
      <c r="E504" s="7"/>
      <c r="F504" s="7">
        <f t="shared" si="16"/>
        <v>232.16629683323615</v>
      </c>
      <c r="H504" s="7"/>
      <c r="I504" s="7"/>
      <c r="J504" s="7">
        <v>206.98377560083327</v>
      </c>
      <c r="K504" s="7"/>
      <c r="L504" s="7">
        <f t="shared" si="17"/>
        <v>13.406808080757704</v>
      </c>
      <c r="M504" s="7"/>
      <c r="N504" s="7"/>
      <c r="O504" s="7"/>
    </row>
    <row r="505" spans="3:15" x14ac:dyDescent="0.2">
      <c r="C505">
        <v>485</v>
      </c>
      <c r="D505" s="7">
        <v>2875.5456073170881</v>
      </c>
      <c r="E505" s="7"/>
      <c r="F505" s="7">
        <f t="shared" si="16"/>
        <v>232.20749134097636</v>
      </c>
      <c r="H505" s="7"/>
      <c r="I505" s="7"/>
      <c r="J505" s="7">
        <v>377.69693434659166</v>
      </c>
      <c r="K505" s="7"/>
      <c r="L505" s="7">
        <f t="shared" si="17"/>
        <v>24.464286134390679</v>
      </c>
      <c r="M505" s="7"/>
      <c r="N505" s="7"/>
      <c r="O505" s="7"/>
    </row>
    <row r="506" spans="3:15" x14ac:dyDescent="0.2">
      <c r="C506">
        <v>486</v>
      </c>
      <c r="D506" s="7">
        <v>2876.0613819514938</v>
      </c>
      <c r="E506" s="7"/>
      <c r="F506" s="7">
        <f t="shared" si="16"/>
        <v>232.24914143118809</v>
      </c>
      <c r="H506" s="7"/>
      <c r="I506" s="7"/>
      <c r="J506" s="7">
        <v>548.40445137869528</v>
      </c>
      <c r="K506" s="7"/>
      <c r="L506" s="7">
        <f t="shared" si="17"/>
        <v>35.521398761448566</v>
      </c>
      <c r="M506" s="7"/>
      <c r="N506" s="7"/>
      <c r="O506" s="7"/>
    </row>
    <row r="507" spans="3:15" x14ac:dyDescent="0.2">
      <c r="C507">
        <v>487</v>
      </c>
      <c r="D507" s="7">
        <v>2876.5827691730933</v>
      </c>
      <c r="E507" s="7"/>
      <c r="F507" s="7">
        <f t="shared" si="16"/>
        <v>232.29124475183681</v>
      </c>
      <c r="H507" s="7"/>
      <c r="I507" s="7"/>
      <c r="J507" s="7">
        <v>719.1063558236051</v>
      </c>
      <c r="K507" s="7"/>
      <c r="L507" s="7">
        <f t="shared" si="17"/>
        <v>46.578147848518235</v>
      </c>
      <c r="M507" s="7"/>
      <c r="N507" s="7"/>
      <c r="O507" s="7"/>
    </row>
    <row r="508" spans="3:15" x14ac:dyDescent="0.2">
      <c r="C508">
        <v>488</v>
      </c>
      <c r="D508" s="7">
        <v>2877.1097399534897</v>
      </c>
      <c r="E508" s="7"/>
      <c r="F508" s="7">
        <f t="shared" si="16"/>
        <v>232.33379895880694</v>
      </c>
      <c r="H508" s="7"/>
      <c r="I508" s="7"/>
      <c r="J508" s="7">
        <v>889.80267670971853</v>
      </c>
      <c r="K508" s="7"/>
      <c r="L508" s="7">
        <f t="shared" si="17"/>
        <v>57.63453527583475</v>
      </c>
      <c r="M508" s="7"/>
      <c r="N508" s="7"/>
      <c r="O508" s="7"/>
    </row>
    <row r="509" spans="3:15" x14ac:dyDescent="0.2">
      <c r="C509">
        <v>489</v>
      </c>
      <c r="D509" s="7">
        <v>2877.6422653620821</v>
      </c>
      <c r="E509" s="7"/>
      <c r="F509" s="7">
        <f t="shared" si="16"/>
        <v>232.37680171588022</v>
      </c>
      <c r="H509" s="7"/>
      <c r="I509" s="7"/>
      <c r="J509" s="7">
        <v>1060.4934429676355</v>
      </c>
      <c r="K509" s="7"/>
      <c r="L509" s="7">
        <f t="shared" si="17"/>
        <v>68.690562917298607</v>
      </c>
      <c r="M509" s="7"/>
      <c r="N509" s="7"/>
      <c r="O509" s="7"/>
    </row>
    <row r="510" spans="3:15" x14ac:dyDescent="0.2">
      <c r="C510">
        <v>490</v>
      </c>
      <c r="D510" s="7">
        <v>2878.1803165658134</v>
      </c>
      <c r="E510" s="7"/>
      <c r="F510" s="7">
        <f t="shared" si="16"/>
        <v>232.42025069471524</v>
      </c>
      <c r="H510" s="7"/>
      <c r="I510" s="7"/>
      <c r="J510" s="7">
        <v>1231.1786834304135</v>
      </c>
      <c r="K510" s="7"/>
      <c r="L510" s="7">
        <f t="shared" si="17"/>
        <v>79.746232640492266</v>
      </c>
      <c r="M510" s="7"/>
      <c r="N510" s="7"/>
      <c r="O510" s="7"/>
    </row>
    <row r="511" spans="3:15" x14ac:dyDescent="0.2">
      <c r="C511">
        <v>491</v>
      </c>
      <c r="D511" s="7">
        <v>2878.7238648288876</v>
      </c>
      <c r="E511" s="7"/>
      <c r="F511" s="7">
        <f t="shared" si="16"/>
        <v>232.46414357482467</v>
      </c>
      <c r="H511" s="7"/>
      <c r="I511" s="7"/>
      <c r="J511" s="7">
        <v>1401.8584268338491</v>
      </c>
      <c r="K511" s="7"/>
      <c r="L511" s="7">
        <f t="shared" si="17"/>
        <v>90.801546306698384</v>
      </c>
      <c r="M511" s="7"/>
      <c r="N511" s="7"/>
      <c r="O511" s="7"/>
    </row>
    <row r="512" spans="3:15" x14ac:dyDescent="0.2">
      <c r="C512">
        <v>492</v>
      </c>
      <c r="D512" s="7">
        <v>2879.2728815125188</v>
      </c>
      <c r="E512" s="7"/>
      <c r="F512" s="7">
        <f t="shared" si="16"/>
        <v>232.50847804355504</v>
      </c>
      <c r="H512" s="7"/>
      <c r="I512" s="7"/>
      <c r="J512" s="7">
        <v>1572.5327018167286</v>
      </c>
      <c r="K512" s="7"/>
      <c r="L512" s="7">
        <f t="shared" si="17"/>
        <v>101.85650577091603</v>
      </c>
      <c r="M512" s="7"/>
      <c r="N512" s="7"/>
      <c r="O512" s="7"/>
    </row>
    <row r="513" spans="3:15" x14ac:dyDescent="0.2">
      <c r="C513">
        <v>493</v>
      </c>
      <c r="D513" s="7">
        <v>2879.82733807466</v>
      </c>
      <c r="E513" s="7"/>
      <c r="F513" s="7">
        <f t="shared" si="16"/>
        <v>232.55325179606473</v>
      </c>
      <c r="H513" s="7"/>
      <c r="I513" s="7"/>
      <c r="J513" s="7">
        <v>1743.2015369210962</v>
      </c>
      <c r="K513" s="7"/>
      <c r="L513" s="7">
        <f t="shared" si="17"/>
        <v>112.91111288187805</v>
      </c>
      <c r="M513" s="7"/>
      <c r="N513" s="7"/>
      <c r="O513" s="7"/>
    </row>
    <row r="514" spans="3:15" x14ac:dyDescent="0.2">
      <c r="C514">
        <v>494</v>
      </c>
      <c r="D514" s="7">
        <v>2880.387206069749</v>
      </c>
      <c r="E514" s="7"/>
      <c r="F514" s="7">
        <f t="shared" si="16"/>
        <v>232.59846253530355</v>
      </c>
      <c r="H514" s="7"/>
      <c r="I514" s="7"/>
      <c r="J514" s="7">
        <v>1913.864960592517</v>
      </c>
      <c r="K514" s="7"/>
      <c r="L514" s="7">
        <f t="shared" si="17"/>
        <v>123.96536948206817</v>
      </c>
      <c r="M514" s="7"/>
      <c r="N514" s="7"/>
      <c r="O514" s="7"/>
    </row>
    <row r="515" spans="3:15" x14ac:dyDescent="0.2">
      <c r="C515">
        <v>495</v>
      </c>
      <c r="D515" s="7">
        <v>2880.9524571484353</v>
      </c>
      <c r="E515" s="7"/>
      <c r="F515" s="7">
        <f t="shared" si="16"/>
        <v>232.64410797199059</v>
      </c>
      <c r="H515" s="7"/>
      <c r="I515" s="7"/>
      <c r="J515" s="7">
        <v>1742.07641784732</v>
      </c>
      <c r="K515" s="7"/>
      <c r="L515" s="7">
        <f t="shared" si="17"/>
        <v>112.83823637043974</v>
      </c>
      <c r="M515" s="7"/>
      <c r="N515" s="7"/>
      <c r="O515" s="7"/>
    </row>
    <row r="516" spans="3:15" x14ac:dyDescent="0.2">
      <c r="C516">
        <v>496</v>
      </c>
      <c r="D516" s="7">
        <v>2881.5230630573251</v>
      </c>
      <c r="E516" s="7"/>
      <c r="F516" s="7">
        <f t="shared" si="16"/>
        <v>232.69018582459375</v>
      </c>
      <c r="H516" s="7"/>
      <c r="I516" s="7"/>
      <c r="J516" s="7">
        <v>1912.7291036049392</v>
      </c>
      <c r="K516" s="7"/>
      <c r="L516" s="7">
        <f t="shared" si="17"/>
        <v>123.89179745162549</v>
      </c>
      <c r="M516" s="7"/>
      <c r="N516" s="7"/>
      <c r="O516" s="7"/>
    </row>
    <row r="517" spans="3:15" x14ac:dyDescent="0.2">
      <c r="C517">
        <v>497</v>
      </c>
      <c r="D517" s="7">
        <v>2882.0989956387125</v>
      </c>
      <c r="E517" s="7"/>
      <c r="F517" s="7">
        <f t="shared" si="16"/>
        <v>232.73669381930793</v>
      </c>
      <c r="H517" s="7"/>
      <c r="I517" s="7"/>
      <c r="J517" s="7">
        <v>2597.04633768959</v>
      </c>
      <c r="K517" s="7"/>
      <c r="L517" s="7">
        <f t="shared" si="17"/>
        <v>168.21657506811286</v>
      </c>
      <c r="M517" s="7"/>
      <c r="N517" s="7"/>
      <c r="O517" s="7"/>
    </row>
    <row r="518" spans="3:15" x14ac:dyDescent="0.2">
      <c r="C518">
        <v>498</v>
      </c>
      <c r="D518" s="7">
        <v>2882.680226830329</v>
      </c>
      <c r="E518" s="7"/>
      <c r="F518" s="7">
        <f t="shared" si="16"/>
        <v>232.78362969003487</v>
      </c>
      <c r="H518" s="7"/>
      <c r="I518" s="7"/>
      <c r="J518" s="7">
        <v>2425.2418148314628</v>
      </c>
      <c r="K518" s="7"/>
      <c r="L518" s="7">
        <f t="shared" si="17"/>
        <v>157.08840688836597</v>
      </c>
      <c r="M518" s="7"/>
      <c r="N518" s="7"/>
      <c r="O518" s="7"/>
    </row>
    <row r="519" spans="3:15" x14ac:dyDescent="0.2">
      <c r="C519">
        <v>499</v>
      </c>
      <c r="D519" s="7">
        <v>2883.2667286650762</v>
      </c>
      <c r="E519" s="7"/>
      <c r="F519" s="7">
        <f t="shared" si="16"/>
        <v>232.83099117836144</v>
      </c>
      <c r="H519" s="7"/>
      <c r="I519" s="7"/>
      <c r="J519" s="7">
        <v>2767.1018963297352</v>
      </c>
      <c r="K519" s="7"/>
      <c r="L519" s="7">
        <f t="shared" si="17"/>
        <v>179.23145887306981</v>
      </c>
      <c r="M519" s="7"/>
      <c r="N519" s="7"/>
      <c r="O519" s="7"/>
    </row>
    <row r="520" spans="3:15" x14ac:dyDescent="0.2">
      <c r="C520">
        <v>500</v>
      </c>
      <c r="D520" s="7">
        <v>2883.8584732707677</v>
      </c>
      <c r="E520" s="7"/>
      <c r="F520" s="7">
        <f t="shared" si="16"/>
        <v>232.87877603353903</v>
      </c>
      <c r="H520" s="7"/>
      <c r="I520" s="7"/>
      <c r="J520" s="7">
        <v>2389.8189100577238</v>
      </c>
      <c r="K520" s="7"/>
      <c r="L520" s="7">
        <f t="shared" si="17"/>
        <v>154.79398509329576</v>
      </c>
      <c r="M520" s="7"/>
      <c r="N520" s="7"/>
      <c r="O520" s="7"/>
    </row>
    <row r="521" spans="3:15" x14ac:dyDescent="0.2">
      <c r="C521">
        <v>501</v>
      </c>
      <c r="D521" s="7">
        <v>2884.4554328698664</v>
      </c>
      <c r="E521" s="7"/>
      <c r="F521" s="7">
        <f t="shared" si="16"/>
        <v>232.9269820124621</v>
      </c>
      <c r="H521" s="7"/>
      <c r="I521" s="7"/>
      <c r="J521" s="7">
        <v>2012.5307087923043</v>
      </c>
      <c r="K521" s="7"/>
      <c r="L521" s="7">
        <f t="shared" si="17"/>
        <v>130.35617352658375</v>
      </c>
      <c r="M521" s="7"/>
      <c r="N521" s="7"/>
      <c r="O521" s="7"/>
    </row>
    <row r="522" spans="3:15" x14ac:dyDescent="0.2">
      <c r="C522">
        <v>502</v>
      </c>
      <c r="D522" s="7">
        <v>2885.0575797792399</v>
      </c>
      <c r="E522" s="7"/>
      <c r="F522" s="7">
        <f t="shared" si="16"/>
        <v>232.97560687964852</v>
      </c>
      <c r="H522" s="7"/>
      <c r="I522" s="7"/>
      <c r="J522" s="7">
        <v>1635.2373202166091</v>
      </c>
      <c r="K522" s="7"/>
      <c r="L522" s="7">
        <f t="shared" si="17"/>
        <v>105.918025966033</v>
      </c>
      <c r="M522" s="7"/>
      <c r="N522" s="7"/>
      <c r="O522" s="7"/>
    </row>
    <row r="523" spans="3:15" x14ac:dyDescent="0.2">
      <c r="C523">
        <v>503</v>
      </c>
      <c r="D523" s="7">
        <v>2885.6648864098888</v>
      </c>
      <c r="E523" s="7"/>
      <c r="F523" s="7">
        <f t="shared" si="16"/>
        <v>233.02464840721774</v>
      </c>
      <c r="H523" s="7"/>
      <c r="I523" s="7"/>
      <c r="J523" s="7">
        <v>1257.9387719196402</v>
      </c>
      <c r="K523" s="7"/>
      <c r="L523" s="7">
        <f t="shared" si="17"/>
        <v>81.479544198645684</v>
      </c>
      <c r="M523" s="7"/>
      <c r="N523" s="7"/>
      <c r="O523" s="7"/>
    </row>
    <row r="524" spans="3:15" x14ac:dyDescent="0.2">
      <c r="C524">
        <v>504</v>
      </c>
      <c r="D524" s="7">
        <v>2886.2773252666875</v>
      </c>
      <c r="E524" s="7"/>
      <c r="F524" s="7">
        <f t="shared" si="16"/>
        <v>233.07410437486959</v>
      </c>
      <c r="H524" s="7"/>
      <c r="I524" s="7"/>
      <c r="J524" s="7">
        <v>880.63509139652069</v>
      </c>
      <c r="K524" s="7"/>
      <c r="L524" s="7">
        <f t="shared" si="17"/>
        <v>57.040730005343192</v>
      </c>
      <c r="M524" s="7"/>
      <c r="N524" s="7"/>
      <c r="O524" s="7"/>
    </row>
    <row r="525" spans="3:15" x14ac:dyDescent="0.2">
      <c r="C525">
        <v>505</v>
      </c>
      <c r="D525" s="7">
        <v>2886.8948689481413</v>
      </c>
      <c r="E525" s="7"/>
      <c r="F525" s="7">
        <f t="shared" si="16"/>
        <v>233.123972569865</v>
      </c>
      <c r="H525" s="7"/>
      <c r="I525" s="7"/>
      <c r="J525" s="7">
        <v>23.901089382519331</v>
      </c>
      <c r="K525" s="7"/>
      <c r="L525" s="7">
        <f t="shared" si="17"/>
        <v>1.5481277087651226</v>
      </c>
      <c r="M525" s="7"/>
      <c r="N525" s="7"/>
      <c r="O525" s="7"/>
    </row>
    <row r="526" spans="3:15" x14ac:dyDescent="0.2">
      <c r="C526">
        <v>506</v>
      </c>
      <c r="D526" s="7">
        <v>2739.5726666641513</v>
      </c>
      <c r="E526" s="7"/>
      <c r="F526" s="7">
        <f t="shared" si="16"/>
        <v>221.22733670217281</v>
      </c>
      <c r="H526" s="7"/>
      <c r="I526" s="7"/>
      <c r="J526" s="7">
        <v>0</v>
      </c>
      <c r="K526" s="7"/>
      <c r="L526" s="7">
        <f t="shared" si="17"/>
        <v>0</v>
      </c>
      <c r="M526" s="7"/>
      <c r="N526" s="7"/>
      <c r="O526" s="7"/>
    </row>
    <row r="527" spans="3:15" x14ac:dyDescent="0.2">
      <c r="C527">
        <v>507</v>
      </c>
      <c r="D527" s="7">
        <v>2888.4320304499151</v>
      </c>
      <c r="E527" s="7"/>
      <c r="F527" s="7">
        <f t="shared" si="16"/>
        <v>233.24810220119639</v>
      </c>
      <c r="H527" s="7"/>
      <c r="I527" s="7"/>
      <c r="J527" s="7">
        <v>22.36392788074545</v>
      </c>
      <c r="K527" s="7"/>
      <c r="L527" s="7">
        <f t="shared" si="17"/>
        <v>1.4485622757567167</v>
      </c>
      <c r="M527" s="7"/>
      <c r="N527" s="7"/>
      <c r="O527" s="7"/>
    </row>
    <row r="528" spans="3:15" x14ac:dyDescent="0.2">
      <c r="C528">
        <v>508</v>
      </c>
      <c r="D528" s="7">
        <v>2889.0634071556183</v>
      </c>
      <c r="E528" s="7"/>
      <c r="F528" s="7">
        <f t="shared" si="16"/>
        <v>233.29908744745691</v>
      </c>
      <c r="H528" s="7"/>
      <c r="I528" s="7"/>
      <c r="J528" s="7">
        <v>192.95584284155211</v>
      </c>
      <c r="K528" s="7"/>
      <c r="L528" s="7">
        <f t="shared" si="17"/>
        <v>12.498187094752755</v>
      </c>
      <c r="M528" s="7"/>
      <c r="N528" s="7"/>
      <c r="O528" s="7"/>
    </row>
    <row r="529" spans="3:15" x14ac:dyDescent="0.2">
      <c r="C529">
        <v>509</v>
      </c>
      <c r="D529" s="7">
        <v>2889.6997842490132</v>
      </c>
      <c r="E529" s="7"/>
      <c r="F529" s="7">
        <f t="shared" si="16"/>
        <v>233.35047648751529</v>
      </c>
      <c r="H529" s="7"/>
      <c r="I529" s="7"/>
      <c r="J529" s="7">
        <v>620.37769491443032</v>
      </c>
      <c r="K529" s="7"/>
      <c r="L529" s="7">
        <f t="shared" si="17"/>
        <v>40.183268805282815</v>
      </c>
      <c r="M529" s="7"/>
      <c r="N529" s="7"/>
      <c r="O529" s="7"/>
    </row>
    <row r="530" spans="3:15" x14ac:dyDescent="0.2">
      <c r="C530">
        <v>510</v>
      </c>
      <c r="D530" s="7">
        <v>2890.3411347817673</v>
      </c>
      <c r="E530" s="7"/>
      <c r="F530" s="7">
        <f t="shared" si="16"/>
        <v>233.40226714522632</v>
      </c>
      <c r="H530" s="7"/>
      <c r="I530" s="7"/>
      <c r="J530" s="7">
        <v>876.57128188143997</v>
      </c>
      <c r="K530" s="7"/>
      <c r="L530" s="7">
        <f t="shared" si="17"/>
        <v>56.777507856228887</v>
      </c>
      <c r="M530" s="7"/>
      <c r="N530" s="7"/>
      <c r="O530" s="7"/>
    </row>
    <row r="531" spans="3:15" x14ac:dyDescent="0.2">
      <c r="C531">
        <v>511</v>
      </c>
      <c r="D531" s="7">
        <v>2890.9874318976567</v>
      </c>
      <c r="E531" s="7"/>
      <c r="F531" s="7">
        <f t="shared" si="16"/>
        <v>233.45445725188284</v>
      </c>
      <c r="H531" s="7"/>
      <c r="I531" s="7"/>
      <c r="J531" s="7">
        <v>1132.7599222653143</v>
      </c>
      <c r="K531" s="7"/>
      <c r="L531" s="7">
        <f t="shared" si="17"/>
        <v>73.371426505778487</v>
      </c>
      <c r="M531" s="7"/>
      <c r="N531" s="7"/>
      <c r="O531" s="7"/>
    </row>
    <row r="532" spans="3:15" x14ac:dyDescent="0.2">
      <c r="C532">
        <v>512</v>
      </c>
      <c r="D532" s="7">
        <v>2891.6386488323374</v>
      </c>
      <c r="E532" s="7"/>
      <c r="F532" s="7">
        <f t="shared" si="16"/>
        <v>233.50704464619722</v>
      </c>
      <c r="H532" s="7"/>
      <c r="I532" s="7"/>
      <c r="J532" s="7">
        <v>1388.9436428303975</v>
      </c>
      <c r="K532" s="7"/>
      <c r="L532" s="7">
        <f t="shared" si="17"/>
        <v>89.965026487518813</v>
      </c>
      <c r="M532" s="7"/>
      <c r="N532" s="7"/>
      <c r="O532" s="7"/>
    </row>
    <row r="533" spans="3:15" x14ac:dyDescent="0.2">
      <c r="C533">
        <v>513</v>
      </c>
      <c r="D533" s="7">
        <v>2892.2947589130717</v>
      </c>
      <c r="E533" s="7"/>
      <c r="F533" s="7">
        <f t="shared" si="16"/>
        <v>233.56002717427927</v>
      </c>
      <c r="H533" s="7"/>
      <c r="I533" s="7"/>
      <c r="J533" s="7">
        <v>1645.1224702494274</v>
      </c>
      <c r="K533" s="7"/>
      <c r="L533" s="7">
        <f t="shared" si="17"/>
        <v>106.55830952910352</v>
      </c>
      <c r="M533" s="7"/>
      <c r="N533" s="7"/>
      <c r="O533" s="7"/>
    </row>
    <row r="534" spans="3:15" x14ac:dyDescent="0.2">
      <c r="C534">
        <v>514</v>
      </c>
      <c r="D534" s="7">
        <v>2892.9557355584898</v>
      </c>
      <c r="E534" s="7"/>
      <c r="F534" s="7">
        <f t="shared" ref="F534:F597" si="18">D534*(1-($C$2/($D$8-$D$6)*LN($D$8/$D$6)))</f>
        <v>233.61340268961692</v>
      </c>
      <c r="H534" s="7"/>
      <c r="I534" s="7"/>
      <c r="J534" s="7">
        <v>1901.2964311037736</v>
      </c>
      <c r="K534" s="7"/>
      <c r="L534" s="7">
        <f t="shared" ref="L534:L597" si="19">J534*(1-$C$2/($D$10-$D$9)*LN($D$10/$D$9))</f>
        <v>123.15127735226817</v>
      </c>
      <c r="M534" s="7"/>
      <c r="N534" s="7"/>
      <c r="O534" s="7"/>
    </row>
    <row r="535" spans="3:15" x14ac:dyDescent="0.2">
      <c r="C535">
        <v>515</v>
      </c>
      <c r="D535" s="7">
        <v>2893.6215522783341</v>
      </c>
      <c r="E535" s="7"/>
      <c r="F535" s="7">
        <f t="shared" si="18"/>
        <v>233.66716905305574</v>
      </c>
      <c r="H535" s="7"/>
      <c r="I535" s="7"/>
      <c r="J535" s="7">
        <v>2157.4655518836935</v>
      </c>
      <c r="K535" s="7"/>
      <c r="L535" s="7">
        <f t="shared" si="19"/>
        <v>139.74393167284671</v>
      </c>
      <c r="M535" s="7"/>
      <c r="N535" s="7"/>
      <c r="O535" s="7"/>
    </row>
    <row r="536" spans="3:15" x14ac:dyDescent="0.2">
      <c r="C536">
        <v>516</v>
      </c>
      <c r="D536" s="7">
        <v>2894.2921826732072</v>
      </c>
      <c r="E536" s="7"/>
      <c r="F536" s="7">
        <f t="shared" si="18"/>
        <v>233.72132413277845</v>
      </c>
      <c r="H536" s="7"/>
      <c r="I536" s="7"/>
      <c r="J536" s="7">
        <v>2413.6298589885837</v>
      </c>
      <c r="K536" s="7"/>
      <c r="L536" s="7">
        <f t="shared" si="19"/>
        <v>156.3362742007879</v>
      </c>
      <c r="M536" s="7"/>
      <c r="N536" s="7"/>
      <c r="O536" s="7"/>
    </row>
    <row r="537" spans="3:15" x14ac:dyDescent="0.2">
      <c r="C537">
        <v>517</v>
      </c>
      <c r="D537" s="7">
        <v>2894.9676004343291</v>
      </c>
      <c r="E537" s="7"/>
      <c r="F537" s="7">
        <f t="shared" si="18"/>
        <v>233.7758658042853</v>
      </c>
      <c r="H537" s="7"/>
      <c r="I537" s="7"/>
      <c r="J537" s="7">
        <v>2669.7893787272278</v>
      </c>
      <c r="K537" s="7"/>
      <c r="L537" s="7">
        <f t="shared" si="19"/>
        <v>172.92830664017123</v>
      </c>
      <c r="M537" s="7"/>
      <c r="N537" s="7"/>
      <c r="O537" s="7"/>
    </row>
    <row r="538" spans="3:15" x14ac:dyDescent="0.2">
      <c r="C538">
        <v>518</v>
      </c>
      <c r="D538" s="7">
        <v>2895.6477793432828</v>
      </c>
      <c r="E538" s="7"/>
      <c r="F538" s="7">
        <f t="shared" si="18"/>
        <v>233.83079195037362</v>
      </c>
      <c r="H538" s="7"/>
      <c r="I538" s="7"/>
      <c r="J538" s="7">
        <v>2925.9441373180384</v>
      </c>
      <c r="K538" s="7"/>
      <c r="L538" s="7">
        <f t="shared" si="19"/>
        <v>189.52003068922269</v>
      </c>
      <c r="M538" s="7"/>
      <c r="N538" s="7"/>
      <c r="O538" s="7"/>
    </row>
    <row r="539" spans="3:15" x14ac:dyDescent="0.2">
      <c r="C539">
        <v>519</v>
      </c>
      <c r="D539" s="7">
        <v>2896.3326932717587</v>
      </c>
      <c r="E539" s="7"/>
      <c r="F539" s="7">
        <f t="shared" si="18"/>
        <v>233.88610046111719</v>
      </c>
      <c r="H539" s="7"/>
      <c r="I539" s="7"/>
      <c r="J539" s="7">
        <v>2754.0359317230527</v>
      </c>
      <c r="K539" s="7"/>
      <c r="L539" s="7">
        <f t="shared" si="19"/>
        <v>178.38514674370956</v>
      </c>
      <c r="M539" s="7"/>
      <c r="N539" s="7"/>
      <c r="O539" s="7"/>
    </row>
    <row r="540" spans="3:15" x14ac:dyDescent="0.2">
      <c r="C540">
        <v>520</v>
      </c>
      <c r="D540" s="7">
        <v>2897.0223161813228</v>
      </c>
      <c r="E540" s="7"/>
      <c r="F540" s="7">
        <f t="shared" si="18"/>
        <v>233.94178923384737</v>
      </c>
      <c r="H540" s="7"/>
      <c r="I540" s="7"/>
      <c r="J540" s="7">
        <v>2981.644031035501</v>
      </c>
      <c r="K540" s="7"/>
      <c r="L540" s="7">
        <f t="shared" si="19"/>
        <v>193.12783899700398</v>
      </c>
      <c r="M540" s="7"/>
      <c r="N540" s="7"/>
      <c r="O540" s="7"/>
    </row>
    <row r="541" spans="3:15" x14ac:dyDescent="0.2">
      <c r="C541">
        <v>521</v>
      </c>
      <c r="D541" s="7">
        <v>2897.7166221231628</v>
      </c>
      <c r="E541" s="7"/>
      <c r="F541" s="7">
        <f t="shared" si="18"/>
        <v>233.99785617313276</v>
      </c>
      <c r="H541" s="7"/>
      <c r="I541" s="7"/>
      <c r="J541" s="7">
        <v>3779.9917528707056</v>
      </c>
      <c r="K541" s="7"/>
      <c r="L541" s="7">
        <f t="shared" si="19"/>
        <v>244.83862964851838</v>
      </c>
      <c r="M541" s="7"/>
      <c r="N541" s="7"/>
      <c r="O541" s="7"/>
    </row>
    <row r="542" spans="3:15" x14ac:dyDescent="0.2">
      <c r="C542">
        <v>522</v>
      </c>
      <c r="D542" s="7">
        <v>2898.4155852378344</v>
      </c>
      <c r="E542" s="7"/>
      <c r="F542" s="7">
        <f t="shared" si="18"/>
        <v>234.0542991907586</v>
      </c>
      <c r="H542" s="7"/>
      <c r="I542" s="7"/>
      <c r="J542" s="7">
        <v>3608.0694980895241</v>
      </c>
      <c r="K542" s="7"/>
      <c r="L542" s="7">
        <f t="shared" si="19"/>
        <v>233.70283570538601</v>
      </c>
      <c r="M542" s="7"/>
      <c r="N542" s="7"/>
      <c r="O542" s="7"/>
    </row>
    <row r="543" spans="3:15" x14ac:dyDescent="0.2">
      <c r="C543">
        <v>523</v>
      </c>
      <c r="D543" s="7">
        <v>2899.1191797550173</v>
      </c>
      <c r="E543" s="7"/>
      <c r="F543" s="7">
        <f t="shared" si="18"/>
        <v>234.11111620570722</v>
      </c>
      <c r="H543" s="7"/>
      <c r="I543" s="7"/>
      <c r="J543" s="7">
        <v>3949.8124869053609</v>
      </c>
      <c r="K543" s="7"/>
      <c r="L543" s="7">
        <f t="shared" si="19"/>
        <v>255.83830333176746</v>
      </c>
      <c r="M543" s="7"/>
      <c r="N543" s="7"/>
      <c r="O543" s="7"/>
    </row>
    <row r="544" spans="3:15" x14ac:dyDescent="0.2">
      <c r="C544">
        <v>524</v>
      </c>
      <c r="D544" s="7">
        <v>2899.8273799932745</v>
      </c>
      <c r="E544" s="7"/>
      <c r="F544" s="7">
        <f t="shared" si="18"/>
        <v>234.16830514413834</v>
      </c>
      <c r="H544" s="7"/>
      <c r="I544" s="7"/>
      <c r="J544" s="7">
        <v>3606.6577033340841</v>
      </c>
      <c r="K544" s="7"/>
      <c r="L544" s="7">
        <f t="shared" si="19"/>
        <v>233.6113905605641</v>
      </c>
      <c r="M544" s="7"/>
      <c r="N544" s="7"/>
      <c r="O544" s="7"/>
    </row>
    <row r="545" spans="3:15" x14ac:dyDescent="0.2">
      <c r="C545">
        <v>525</v>
      </c>
      <c r="D545" s="7">
        <v>2900.5401603598048</v>
      </c>
      <c r="E545" s="7"/>
      <c r="F545" s="7">
        <f t="shared" si="18"/>
        <v>234.22586393936939</v>
      </c>
      <c r="H545" s="7"/>
      <c r="I545" s="7"/>
      <c r="J545" s="7">
        <v>4119.6147979670823</v>
      </c>
      <c r="K545" s="7"/>
      <c r="L545" s="7">
        <f t="shared" si="19"/>
        <v>266.83678371732123</v>
      </c>
      <c r="M545" s="7"/>
      <c r="N545" s="7"/>
      <c r="O545" s="7"/>
    </row>
    <row r="546" spans="3:15" x14ac:dyDescent="0.2">
      <c r="C546">
        <v>526</v>
      </c>
      <c r="D546" s="7">
        <v>2901.2574953502021</v>
      </c>
      <c r="E546" s="7"/>
      <c r="F546" s="7">
        <f t="shared" si="18"/>
        <v>234.28379053185586</v>
      </c>
      <c r="H546" s="7"/>
      <c r="I546" s="7"/>
      <c r="J546" s="7">
        <v>3262.7810046441377</v>
      </c>
      <c r="K546" s="7"/>
      <c r="L546" s="7">
        <f t="shared" si="19"/>
        <v>211.33771771157924</v>
      </c>
      <c r="M546" s="7"/>
      <c r="N546" s="7"/>
      <c r="O546" s="7"/>
    </row>
    <row r="547" spans="3:15" x14ac:dyDescent="0.2">
      <c r="C547">
        <v>527</v>
      </c>
      <c r="D547" s="7">
        <v>2901.9793595482006</v>
      </c>
      <c r="E547" s="7"/>
      <c r="F547" s="7">
        <f t="shared" si="18"/>
        <v>234.34208286917075</v>
      </c>
      <c r="H547" s="7"/>
      <c r="I547" s="7"/>
      <c r="J547" s="7">
        <v>2405.9426821135903</v>
      </c>
      <c r="K547" s="7"/>
      <c r="L547" s="7">
        <f t="shared" si="19"/>
        <v>155.83835833879962</v>
      </c>
      <c r="M547" s="7"/>
      <c r="N547" s="7"/>
      <c r="O547" s="7"/>
    </row>
    <row r="548" spans="3:15" x14ac:dyDescent="0.2">
      <c r="C548">
        <v>528</v>
      </c>
      <c r="D548" s="7">
        <v>2902.70572762544</v>
      </c>
      <c r="E548" s="7"/>
      <c r="F548" s="7">
        <f t="shared" si="18"/>
        <v>234.40073890598572</v>
      </c>
      <c r="H548" s="7"/>
      <c r="I548" s="7"/>
      <c r="J548" s="7">
        <v>1549.0998557038047</v>
      </c>
      <c r="K548" s="7"/>
      <c r="L548" s="7">
        <f t="shared" si="19"/>
        <v>100.33870723955792</v>
      </c>
      <c r="M548" s="7"/>
      <c r="N548" s="7"/>
      <c r="O548" s="7"/>
    </row>
    <row r="549" spans="3:15" x14ac:dyDescent="0.2">
      <c r="C549">
        <v>529</v>
      </c>
      <c r="D549" s="7">
        <v>2903.43657434122</v>
      </c>
      <c r="E549" s="7"/>
      <c r="F549" s="7">
        <f t="shared" si="18"/>
        <v>234.45975660405117</v>
      </c>
      <c r="H549" s="7"/>
      <c r="I549" s="7"/>
      <c r="J549" s="7">
        <v>7.3593839894406301</v>
      </c>
      <c r="K549" s="7"/>
      <c r="L549" s="7">
        <f t="shared" si="19"/>
        <v>0.47668397415509461</v>
      </c>
      <c r="M549" s="7"/>
      <c r="N549" s="7"/>
      <c r="O549" s="7"/>
    </row>
    <row r="550" spans="3:15" x14ac:dyDescent="0.2">
      <c r="C550">
        <v>530</v>
      </c>
      <c r="D550" s="7">
        <v>2739.5726666641513</v>
      </c>
      <c r="E550" s="7"/>
      <c r="F550" s="7">
        <f t="shared" si="18"/>
        <v>221.22733670217281</v>
      </c>
      <c r="H550" s="7"/>
      <c r="I550" s="7"/>
      <c r="J550" s="7">
        <v>0</v>
      </c>
      <c r="K550" s="7"/>
      <c r="L550" s="7">
        <f t="shared" si="19"/>
        <v>0</v>
      </c>
      <c r="M550" s="7"/>
      <c r="N550" s="7"/>
      <c r="O550" s="7"/>
    </row>
    <row r="551" spans="3:15" x14ac:dyDescent="0.2">
      <c r="C551">
        <v>531</v>
      </c>
      <c r="D551" s="7">
        <v>2905.2368168234848</v>
      </c>
      <c r="E551" s="7"/>
      <c r="F551" s="7">
        <f t="shared" si="18"/>
        <v>234.60513068177346</v>
      </c>
      <c r="H551" s="7"/>
      <c r="I551" s="7"/>
      <c r="J551" s="7">
        <v>39.803799840477495</v>
      </c>
      <c r="K551" s="7"/>
      <c r="L551" s="7">
        <f t="shared" si="19"/>
        <v>2.5781822937431604</v>
      </c>
      <c r="M551" s="7"/>
      <c r="N551" s="7"/>
      <c r="O551" s="7"/>
    </row>
    <row r="552" spans="3:15" x14ac:dyDescent="0.2">
      <c r="C552">
        <v>532</v>
      </c>
      <c r="D552" s="7">
        <v>2905.9794546313296</v>
      </c>
      <c r="E552" s="7"/>
      <c r="F552" s="7">
        <f t="shared" si="18"/>
        <v>234.66510053997911</v>
      </c>
      <c r="H552" s="7"/>
      <c r="I552" s="7"/>
      <c r="J552" s="7">
        <v>176.03979536584075</v>
      </c>
      <c r="K552" s="7"/>
      <c r="L552" s="7">
        <f t="shared" si="19"/>
        <v>11.402496375354479</v>
      </c>
      <c r="M552" s="7"/>
      <c r="N552" s="7"/>
      <c r="O552" s="7"/>
    </row>
    <row r="553" spans="3:15" x14ac:dyDescent="0.2">
      <c r="C553">
        <v>533</v>
      </c>
      <c r="D553" s="7">
        <v>2906.7264757915618</v>
      </c>
      <c r="E553" s="7"/>
      <c r="F553" s="7">
        <f t="shared" si="18"/>
        <v>234.72542436484028</v>
      </c>
      <c r="H553" s="7"/>
      <c r="I553" s="7"/>
      <c r="J553" s="7">
        <v>493.27888730055429</v>
      </c>
      <c r="K553" s="7"/>
      <c r="L553" s="7">
        <f t="shared" si="19"/>
        <v>31.950791085586982</v>
      </c>
      <c r="M553" s="7"/>
      <c r="N553" s="7"/>
      <c r="O553" s="7"/>
    </row>
    <row r="554" spans="3:15" x14ac:dyDescent="0.2">
      <c r="C554">
        <v>534</v>
      </c>
      <c r="D554" s="7">
        <v>2907.4778554855484</v>
      </c>
      <c r="E554" s="7"/>
      <c r="F554" s="7">
        <f t="shared" si="18"/>
        <v>234.78610015219041</v>
      </c>
      <c r="H554" s="7"/>
      <c r="I554" s="7"/>
      <c r="J554" s="7">
        <v>712.67173974922252</v>
      </c>
      <c r="K554" s="7"/>
      <c r="L554" s="7">
        <f t="shared" si="19"/>
        <v>46.161363187342801</v>
      </c>
      <c r="M554" s="7"/>
      <c r="N554" s="7"/>
      <c r="O554" s="7"/>
    </row>
    <row r="555" spans="3:15" x14ac:dyDescent="0.2">
      <c r="C555">
        <v>535</v>
      </c>
      <c r="D555" s="7">
        <v>2908.2335689808892</v>
      </c>
      <c r="E555" s="7"/>
      <c r="F555" s="7">
        <f t="shared" si="18"/>
        <v>234.84712590482638</v>
      </c>
      <c r="H555" s="7"/>
      <c r="I555" s="7"/>
      <c r="J555" s="7">
        <v>932.06025839653648</v>
      </c>
      <c r="K555" s="7"/>
      <c r="L555" s="7">
        <f t="shared" si="19"/>
        <v>60.371654578966393</v>
      </c>
      <c r="M555" s="7"/>
      <c r="N555" s="7"/>
      <c r="O555" s="7"/>
    </row>
    <row r="556" spans="3:15" x14ac:dyDescent="0.2">
      <c r="C556">
        <v>536</v>
      </c>
      <c r="D556" s="7">
        <v>2908.9935916311983</v>
      </c>
      <c r="E556" s="7"/>
      <c r="F556" s="7">
        <f t="shared" si="18"/>
        <v>234.90849963249099</v>
      </c>
      <c r="H556" s="7"/>
      <c r="I556" s="7"/>
      <c r="J556" s="7">
        <v>1151.4444678888826</v>
      </c>
      <c r="K556" s="7"/>
      <c r="L556" s="7">
        <f t="shared" si="19"/>
        <v>74.581666856860053</v>
      </c>
      <c r="M556" s="7"/>
      <c r="N556" s="7"/>
      <c r="O556" s="7"/>
    </row>
    <row r="557" spans="3:15" x14ac:dyDescent="0.2">
      <c r="C557">
        <v>537</v>
      </c>
      <c r="D557" s="7">
        <v>2909.7578988758401</v>
      </c>
      <c r="E557" s="7"/>
      <c r="F557" s="7">
        <f t="shared" si="18"/>
        <v>234.97021935185151</v>
      </c>
      <c r="H557" s="7"/>
      <c r="I557" s="7"/>
      <c r="J557" s="7">
        <v>1370.8243927868957</v>
      </c>
      <c r="K557" s="7"/>
      <c r="L557" s="7">
        <f t="shared" si="19"/>
        <v>88.791401611871734</v>
      </c>
      <c r="M557" s="7"/>
      <c r="N557" s="7"/>
      <c r="O557" s="7"/>
    </row>
    <row r="558" spans="3:15" x14ac:dyDescent="0.2">
      <c r="C558">
        <v>538</v>
      </c>
      <c r="D558" s="7">
        <v>2910.5264662397153</v>
      </c>
      <c r="E558" s="7"/>
      <c r="F558" s="7">
        <f t="shared" si="18"/>
        <v>235.03228308648255</v>
      </c>
      <c r="H558" s="7"/>
      <c r="I558" s="7"/>
      <c r="J558" s="7">
        <v>1590.2000575656762</v>
      </c>
      <c r="K558" s="7"/>
      <c r="L558" s="7">
        <f t="shared" si="19"/>
        <v>103.00086042930916</v>
      </c>
      <c r="M558" s="7"/>
      <c r="N558" s="7"/>
      <c r="O558" s="7"/>
    </row>
    <row r="559" spans="3:15" x14ac:dyDescent="0.2">
      <c r="C559">
        <v>539</v>
      </c>
      <c r="D559" s="7">
        <v>2911.2992693330125</v>
      </c>
      <c r="E559" s="7"/>
      <c r="F559" s="7">
        <f t="shared" si="18"/>
        <v>235.09468886684593</v>
      </c>
      <c r="H559" s="7"/>
      <c r="I559" s="7"/>
      <c r="J559" s="7">
        <v>1809.5714866150338</v>
      </c>
      <c r="K559" s="7"/>
      <c r="L559" s="7">
        <f t="shared" si="19"/>
        <v>117.21004488895554</v>
      </c>
      <c r="M559" s="7"/>
      <c r="N559" s="7"/>
      <c r="O559" s="7"/>
    </row>
    <row r="560" spans="3:15" x14ac:dyDescent="0.2">
      <c r="C560">
        <v>540</v>
      </c>
      <c r="D560" s="7">
        <v>2912.0762838509704</v>
      </c>
      <c r="E560" s="7"/>
      <c r="F560" s="7">
        <f t="shared" si="18"/>
        <v>235.15743473027143</v>
      </c>
      <c r="H560" s="7"/>
      <c r="I560" s="7"/>
      <c r="J560" s="7">
        <v>2028.9387042397307</v>
      </c>
      <c r="K560" s="7"/>
      <c r="L560" s="7">
        <f t="shared" si="19"/>
        <v>131.41895656508538</v>
      </c>
      <c r="M560" s="7"/>
      <c r="N560" s="7"/>
      <c r="O560" s="7"/>
    </row>
    <row r="561" spans="3:15" x14ac:dyDescent="0.2">
      <c r="C561">
        <v>541</v>
      </c>
      <c r="D561" s="7">
        <v>2912.8574855736447</v>
      </c>
      <c r="E561" s="7"/>
      <c r="F561" s="7">
        <f t="shared" si="18"/>
        <v>235.22051872093806</v>
      </c>
      <c r="H561" s="7"/>
      <c r="I561" s="7"/>
      <c r="J561" s="7">
        <v>2248.3017346597112</v>
      </c>
      <c r="K561" s="7"/>
      <c r="L561" s="7">
        <f t="shared" si="19"/>
        <v>145.62759702647935</v>
      </c>
      <c r="M561" s="7"/>
      <c r="N561" s="7"/>
      <c r="O561" s="7"/>
    </row>
    <row r="562" spans="3:15" x14ac:dyDescent="0.2">
      <c r="C562">
        <v>542</v>
      </c>
      <c r="D562" s="7">
        <v>2913.6428503656693</v>
      </c>
      <c r="E562" s="7"/>
      <c r="F562" s="7">
        <f t="shared" si="18"/>
        <v>235.28393888985471</v>
      </c>
      <c r="H562" s="7"/>
      <c r="I562" s="7"/>
      <c r="J562" s="7">
        <v>2467.6606020103413</v>
      </c>
      <c r="K562" s="7"/>
      <c r="L562" s="7">
        <f t="shared" si="19"/>
        <v>159.83596783643983</v>
      </c>
      <c r="M562" s="7"/>
      <c r="N562" s="7"/>
      <c r="O562" s="7"/>
    </row>
    <row r="563" spans="3:15" x14ac:dyDescent="0.2">
      <c r="C563">
        <v>543</v>
      </c>
      <c r="D563" s="7">
        <v>2914.4323541760268</v>
      </c>
      <c r="E563" s="7"/>
      <c r="F563" s="7">
        <f t="shared" si="18"/>
        <v>235.34769329484163</v>
      </c>
      <c r="H563" s="7"/>
      <c r="I563" s="7"/>
      <c r="J563" s="7">
        <v>2687.0153303426396</v>
      </c>
      <c r="K563" s="7"/>
      <c r="L563" s="7">
        <f t="shared" si="19"/>
        <v>174.04407055280572</v>
      </c>
      <c r="M563" s="7"/>
      <c r="N563" s="7"/>
      <c r="O563" s="7"/>
    </row>
    <row r="564" spans="3:15" x14ac:dyDescent="0.2">
      <c r="C564">
        <v>544</v>
      </c>
      <c r="D564" s="7">
        <v>2915.2259730378059</v>
      </c>
      <c r="E564" s="7"/>
      <c r="F564" s="7">
        <f t="shared" si="18"/>
        <v>235.41178000051087</v>
      </c>
      <c r="H564" s="7"/>
      <c r="I564" s="7"/>
      <c r="J564" s="7">
        <v>2906.3659436235152</v>
      </c>
      <c r="K564" s="7"/>
      <c r="L564" s="7">
        <f t="shared" si="19"/>
        <v>188.25190672796805</v>
      </c>
      <c r="M564" s="7"/>
      <c r="N564" s="7"/>
      <c r="O564" s="7"/>
    </row>
    <row r="565" spans="3:15" x14ac:dyDescent="0.2">
      <c r="C565">
        <v>545</v>
      </c>
      <c r="D565" s="7">
        <v>2916.0236830679733</v>
      </c>
      <c r="E565" s="7"/>
      <c r="F565" s="7">
        <f t="shared" si="18"/>
        <v>235.47619707824782</v>
      </c>
      <c r="H565" s="7"/>
      <c r="I565" s="7"/>
      <c r="J565" s="7">
        <v>2734.3449419268381</v>
      </c>
      <c r="K565" s="7"/>
      <c r="L565" s="7">
        <f t="shared" si="19"/>
        <v>177.10971672340153</v>
      </c>
      <c r="M565" s="7"/>
      <c r="N565" s="7"/>
      <c r="O565" s="7"/>
    </row>
    <row r="566" spans="3:15" x14ac:dyDescent="0.2">
      <c r="C566">
        <v>546</v>
      </c>
      <c r="D566" s="7">
        <v>2916.8254604671392</v>
      </c>
      <c r="E566" s="7"/>
      <c r="F566" s="7">
        <f t="shared" si="18"/>
        <v>235.54094260619232</v>
      </c>
      <c r="H566" s="7"/>
      <c r="I566" s="7"/>
      <c r="J566" s="7">
        <v>3075.9897478606918</v>
      </c>
      <c r="K566" s="7"/>
      <c r="L566" s="7">
        <f t="shared" si="19"/>
        <v>199.23882482207728</v>
      </c>
      <c r="M566" s="7"/>
      <c r="N566" s="7"/>
      <c r="O566" s="7"/>
    </row>
    <row r="567" spans="3:15" x14ac:dyDescent="0.2">
      <c r="C567">
        <v>547</v>
      </c>
      <c r="D567" s="7">
        <v>2917.6312815193164</v>
      </c>
      <c r="E567" s="7"/>
      <c r="F567" s="7">
        <f t="shared" si="18"/>
        <v>235.60601466921912</v>
      </c>
      <c r="H567" s="7"/>
      <c r="I567" s="7"/>
      <c r="J567" s="7">
        <v>3417.6305101415333</v>
      </c>
      <c r="K567" s="7"/>
      <c r="L567" s="7">
        <f t="shared" si="19"/>
        <v>221.36767100418629</v>
      </c>
      <c r="M567" s="7"/>
      <c r="N567" s="7"/>
      <c r="O567" s="7"/>
    </row>
    <row r="568" spans="3:15" x14ac:dyDescent="0.2">
      <c r="C568">
        <v>548</v>
      </c>
      <c r="D568" s="7">
        <v>2918.4411225917029</v>
      </c>
      <c r="E568" s="7"/>
      <c r="F568" s="7">
        <f t="shared" si="18"/>
        <v>235.67141135892047</v>
      </c>
      <c r="H568" s="7"/>
      <c r="I568" s="7"/>
      <c r="J568" s="7">
        <v>3588.0439607356557</v>
      </c>
      <c r="K568" s="7"/>
      <c r="L568" s="7">
        <f t="shared" si="19"/>
        <v>232.40573628182966</v>
      </c>
      <c r="M568" s="7"/>
      <c r="N568" s="7"/>
      <c r="O568" s="7"/>
    </row>
    <row r="569" spans="3:15" x14ac:dyDescent="0.2">
      <c r="C569">
        <v>549</v>
      </c>
      <c r="D569" s="7">
        <v>2919.2549601344385</v>
      </c>
      <c r="E569" s="7"/>
      <c r="F569" s="7">
        <f t="shared" si="18"/>
        <v>235.73713077358627</v>
      </c>
      <c r="H569" s="7"/>
      <c r="I569" s="7"/>
      <c r="J569" s="7">
        <v>4100.899998192448</v>
      </c>
      <c r="K569" s="7"/>
      <c r="L569" s="7">
        <f t="shared" si="19"/>
        <v>265.62458373633234</v>
      </c>
      <c r="M569" s="7"/>
      <c r="N569" s="7"/>
      <c r="O569" s="7"/>
    </row>
    <row r="570" spans="3:15" x14ac:dyDescent="0.2">
      <c r="C570">
        <v>550</v>
      </c>
      <c r="D570" s="7">
        <v>2920.0727706803741</v>
      </c>
      <c r="E570" s="7"/>
      <c r="F570" s="7">
        <f t="shared" si="18"/>
        <v>235.80317101818565</v>
      </c>
      <c r="H570" s="7"/>
      <c r="I570" s="7"/>
      <c r="J570" s="7">
        <v>3243.9657293139658</v>
      </c>
      <c r="K570" s="7"/>
      <c r="L570" s="7">
        <f t="shared" si="19"/>
        <v>210.11900970122437</v>
      </c>
      <c r="M570" s="7"/>
      <c r="N570" s="7"/>
      <c r="O570" s="7"/>
    </row>
    <row r="571" spans="3:15" x14ac:dyDescent="0.2">
      <c r="C571">
        <v>551</v>
      </c>
      <c r="D571" s="7">
        <v>2920.8945308448456</v>
      </c>
      <c r="E571" s="7"/>
      <c r="F571" s="7">
        <f t="shared" si="18"/>
        <v>235.86953020434856</v>
      </c>
      <c r="H571" s="7"/>
      <c r="I571" s="7"/>
      <c r="J571" s="7">
        <v>2387.0275108169453</v>
      </c>
      <c r="K571" s="7"/>
      <c r="L571" s="7">
        <f t="shared" si="19"/>
        <v>154.61317984037555</v>
      </c>
      <c r="M571" s="7"/>
      <c r="N571" s="7"/>
      <c r="O571" s="7"/>
    </row>
    <row r="572" spans="3:15" x14ac:dyDescent="0.2">
      <c r="C572">
        <v>552</v>
      </c>
      <c r="D572" s="7">
        <v>2921.7202173254386</v>
      </c>
      <c r="E572" s="7"/>
      <c r="F572" s="7">
        <f t="shared" si="18"/>
        <v>235.93620645034682</v>
      </c>
      <c r="H572" s="7"/>
      <c r="I572" s="7"/>
      <c r="J572" s="7">
        <v>1530.085366003806</v>
      </c>
      <c r="K572" s="7"/>
      <c r="L572" s="7">
        <f t="shared" si="19"/>
        <v>99.107095663136377</v>
      </c>
      <c r="M572" s="7"/>
      <c r="N572" s="7"/>
      <c r="O572" s="7"/>
    </row>
    <row r="573" spans="3:15" x14ac:dyDescent="0.2">
      <c r="C573">
        <v>553</v>
      </c>
      <c r="D573" s="7">
        <v>2910.7959583306606</v>
      </c>
      <c r="E573" s="7"/>
      <c r="F573" s="7">
        <f t="shared" si="18"/>
        <v>235.05404524605862</v>
      </c>
      <c r="H573" s="7"/>
      <c r="I573" s="7"/>
      <c r="J573" s="7">
        <v>0</v>
      </c>
      <c r="K573" s="7"/>
      <c r="L573" s="7">
        <f t="shared" si="19"/>
        <v>0</v>
      </c>
      <c r="M573" s="7"/>
      <c r="N573" s="7"/>
      <c r="O573" s="7"/>
    </row>
    <row r="574" spans="3:15" x14ac:dyDescent="0.2">
      <c r="C574">
        <v>554</v>
      </c>
      <c r="D574" s="7">
        <v>2739.5726666641513</v>
      </c>
      <c r="E574" s="7"/>
      <c r="F574" s="7">
        <f t="shared" si="18"/>
        <v>221.22733670217281</v>
      </c>
      <c r="H574" s="7"/>
      <c r="I574" s="7"/>
      <c r="J574" s="7">
        <v>0</v>
      </c>
      <c r="K574" s="7"/>
      <c r="L574" s="7">
        <f t="shared" si="19"/>
        <v>0</v>
      </c>
      <c r="M574" s="7"/>
      <c r="N574" s="7"/>
      <c r="O574" s="7"/>
    </row>
    <row r="575" spans="3:15" x14ac:dyDescent="0.2">
      <c r="C575">
        <v>555</v>
      </c>
      <c r="D575" s="7">
        <v>2910.7959583306606</v>
      </c>
      <c r="E575" s="7"/>
      <c r="F575" s="7">
        <f t="shared" si="18"/>
        <v>235.05404524605862</v>
      </c>
      <c r="H575" s="7"/>
      <c r="I575" s="7"/>
      <c r="J575" s="7">
        <v>0</v>
      </c>
      <c r="K575" s="7"/>
      <c r="L575" s="7">
        <f t="shared" si="19"/>
        <v>0</v>
      </c>
      <c r="M575" s="7"/>
      <c r="N575" s="7"/>
      <c r="O575" s="7"/>
    </row>
    <row r="576" spans="3:15" x14ac:dyDescent="0.2">
      <c r="C576">
        <v>556</v>
      </c>
      <c r="D576" s="7">
        <v>2925.5021438952303</v>
      </c>
      <c r="E576" s="7"/>
      <c r="F576" s="7">
        <f t="shared" si="18"/>
        <v>236.24160646868506</v>
      </c>
      <c r="H576" s="7"/>
      <c r="I576" s="7"/>
      <c r="J576" s="7">
        <v>156.51710610194004</v>
      </c>
      <c r="K576" s="7"/>
      <c r="L576" s="7">
        <f t="shared" si="19"/>
        <v>10.137967561820112</v>
      </c>
      <c r="M576" s="7"/>
      <c r="N576" s="7"/>
      <c r="O576" s="7"/>
    </row>
    <row r="577" spans="3:15" x14ac:dyDescent="0.2">
      <c r="C577">
        <v>557</v>
      </c>
      <c r="D577" s="7">
        <v>2926.3450892299638</v>
      </c>
      <c r="E577" s="7"/>
      <c r="F577" s="7">
        <f t="shared" si="18"/>
        <v>236.30967641027041</v>
      </c>
      <c r="H577" s="7"/>
      <c r="I577" s="7"/>
      <c r="J577" s="7">
        <v>524.46278897199591</v>
      </c>
      <c r="K577" s="7"/>
      <c r="L577" s="7">
        <f t="shared" si="19"/>
        <v>33.970643045986499</v>
      </c>
      <c r="M577" s="7"/>
      <c r="N577" s="7"/>
      <c r="O577" s="7"/>
    </row>
    <row r="578" spans="3:15" x14ac:dyDescent="0.2">
      <c r="C578">
        <v>558</v>
      </c>
      <c r="D578" s="7">
        <v>2927.1918292993646</v>
      </c>
      <c r="E578" s="7"/>
      <c r="F578" s="7">
        <f t="shared" si="18"/>
        <v>236.37805278615994</v>
      </c>
      <c r="H578" s="7"/>
      <c r="I578" s="7"/>
      <c r="J578" s="7">
        <v>760.69445274853115</v>
      </c>
      <c r="K578" s="7"/>
      <c r="L578" s="7">
        <f t="shared" si="19"/>
        <v>49.271903106861238</v>
      </c>
      <c r="M578" s="7"/>
      <c r="N578" s="7"/>
      <c r="O578" s="7"/>
    </row>
    <row r="579" spans="3:15" x14ac:dyDescent="0.2">
      <c r="C579">
        <v>559</v>
      </c>
      <c r="D579" s="7">
        <v>2928.0423413532562</v>
      </c>
      <c r="E579" s="7"/>
      <c r="F579" s="7">
        <f t="shared" si="18"/>
        <v>236.44673375922011</v>
      </c>
      <c r="H579" s="7"/>
      <c r="I579" s="7"/>
      <c r="J579" s="7">
        <v>996.92234454057507</v>
      </c>
      <c r="K579" s="7"/>
      <c r="L579" s="7">
        <f t="shared" si="19"/>
        <v>64.572918847754806</v>
      </c>
      <c r="M579" s="7"/>
      <c r="N579" s="7"/>
      <c r="O579" s="7"/>
    </row>
    <row r="580" spans="3:15" x14ac:dyDescent="0.2">
      <c r="C580">
        <v>560</v>
      </c>
      <c r="D580" s="7">
        <v>2928.8966027219312</v>
      </c>
      <c r="E580" s="7"/>
      <c r="F580" s="7">
        <f t="shared" si="18"/>
        <v>236.51571749881541</v>
      </c>
      <c r="H580" s="7"/>
      <c r="I580" s="7"/>
      <c r="J580" s="7">
        <v>1233.1464870178361</v>
      </c>
      <c r="K580" s="7"/>
      <c r="L580" s="7">
        <f t="shared" si="19"/>
        <v>79.873691737035557</v>
      </c>
      <c r="M580" s="7"/>
      <c r="N580" s="7"/>
      <c r="O580" s="7"/>
    </row>
    <row r="581" spans="3:15" x14ac:dyDescent="0.2">
      <c r="C581">
        <v>561</v>
      </c>
      <c r="D581" s="7">
        <v>2929.7545908159177</v>
      </c>
      <c r="E581" s="7"/>
      <c r="F581" s="7">
        <f t="shared" si="18"/>
        <v>236.58500218078953</v>
      </c>
      <c r="H581" s="7"/>
      <c r="I581" s="7"/>
      <c r="J581" s="7">
        <v>1469.3669027697856</v>
      </c>
      <c r="K581" s="7"/>
      <c r="L581" s="7">
        <f t="shared" si="19"/>
        <v>95.174223237874756</v>
      </c>
      <c r="M581" s="7"/>
      <c r="N581" s="7"/>
      <c r="O581" s="7"/>
    </row>
    <row r="582" spans="3:15" x14ac:dyDescent="0.2">
      <c r="C582">
        <v>562</v>
      </c>
      <c r="D582" s="7">
        <v>2930.6162831257616</v>
      </c>
      <c r="E582" s="7"/>
      <c r="F582" s="7">
        <f t="shared" si="18"/>
        <v>236.6545859874478</v>
      </c>
      <c r="H582" s="7"/>
      <c r="I582" s="7"/>
      <c r="J582" s="7">
        <v>1705.5836143058777</v>
      </c>
      <c r="K582" s="7"/>
      <c r="L582" s="7">
        <f t="shared" si="19"/>
        <v>110.47451480826074</v>
      </c>
      <c r="M582" s="7"/>
      <c r="N582" s="7"/>
      <c r="O582" s="7"/>
    </row>
    <row r="583" spans="3:15" x14ac:dyDescent="0.2">
      <c r="C583">
        <v>563</v>
      </c>
      <c r="D583" s="7">
        <v>2931.4816572217937</v>
      </c>
      <c r="E583" s="7"/>
      <c r="F583" s="7">
        <f t="shared" si="18"/>
        <v>236.72446710753846</v>
      </c>
      <c r="H583" s="7"/>
      <c r="I583" s="7"/>
      <c r="J583" s="7">
        <v>1941.7966440557825</v>
      </c>
      <c r="K583" s="7"/>
      <c r="L583" s="7">
        <f t="shared" si="19"/>
        <v>125.77456790101404</v>
      </c>
      <c r="M583" s="7"/>
      <c r="N583" s="7"/>
      <c r="O583" s="7"/>
    </row>
    <row r="584" spans="3:15" x14ac:dyDescent="0.2">
      <c r="C584">
        <v>564</v>
      </c>
      <c r="D584" s="7">
        <v>2932.3506907539186</v>
      </c>
      <c r="E584" s="7"/>
      <c r="F584" s="7">
        <f t="shared" si="18"/>
        <v>236.79464373623543</v>
      </c>
      <c r="H584" s="7"/>
      <c r="I584" s="7"/>
      <c r="J584" s="7">
        <v>2178.0060143695937</v>
      </c>
      <c r="K584" s="7"/>
      <c r="L584" s="7">
        <f t="shared" si="19"/>
        <v>141.07438396380087</v>
      </c>
      <c r="M584" s="7"/>
      <c r="N584" s="7"/>
      <c r="O584" s="7"/>
    </row>
    <row r="585" spans="3:15" x14ac:dyDescent="0.2">
      <c r="C585">
        <v>565</v>
      </c>
      <c r="D585" s="7">
        <v>2933.2233614513775</v>
      </c>
      <c r="E585" s="7"/>
      <c r="F585" s="7">
        <f t="shared" si="18"/>
        <v>236.86511407511932</v>
      </c>
      <c r="H585" s="7"/>
      <c r="I585" s="7"/>
      <c r="J585" s="7">
        <v>2414.2117475180698</v>
      </c>
      <c r="K585" s="7"/>
      <c r="L585" s="7">
        <f t="shared" si="19"/>
        <v>156.37396443914869</v>
      </c>
      <c r="M585" s="7"/>
      <c r="N585" s="7"/>
      <c r="O585" s="7"/>
    </row>
    <row r="586" spans="3:15" x14ac:dyDescent="0.2">
      <c r="C586">
        <v>566</v>
      </c>
      <c r="D586" s="7">
        <v>2934.0996471225362</v>
      </c>
      <c r="E586" s="7"/>
      <c r="F586" s="7">
        <f t="shared" si="18"/>
        <v>236.93587633216023</v>
      </c>
      <c r="H586" s="7"/>
      <c r="I586" s="7"/>
      <c r="J586" s="7">
        <v>2650.413865692848</v>
      </c>
      <c r="K586" s="7"/>
      <c r="L586" s="7">
        <f t="shared" si="19"/>
        <v>171.67331076446018</v>
      </c>
      <c r="M586" s="7"/>
      <c r="N586" s="7"/>
      <c r="O586" s="7"/>
    </row>
    <row r="587" spans="3:15" x14ac:dyDescent="0.2">
      <c r="C587">
        <v>567</v>
      </c>
      <c r="D587" s="7">
        <v>2934.9795256546577</v>
      </c>
      <c r="E587" s="7"/>
      <c r="F587" s="7">
        <f t="shared" si="18"/>
        <v>237.00692872169938</v>
      </c>
      <c r="H587" s="7"/>
      <c r="I587" s="7"/>
      <c r="J587" s="7">
        <v>2886.6123910066635</v>
      </c>
      <c r="K587" s="7"/>
      <c r="L587" s="7">
        <f t="shared" si="19"/>
        <v>186.97242437202723</v>
      </c>
      <c r="M587" s="7"/>
      <c r="N587" s="7"/>
      <c r="O587" s="7"/>
    </row>
    <row r="588" spans="3:15" x14ac:dyDescent="0.2">
      <c r="C588">
        <v>568</v>
      </c>
      <c r="D588" s="7">
        <v>2935.8629750136752</v>
      </c>
      <c r="E588" s="7"/>
      <c r="F588" s="7">
        <f t="shared" si="18"/>
        <v>237.07826946443086</v>
      </c>
      <c r="H588" s="7"/>
      <c r="I588" s="7"/>
      <c r="J588" s="7">
        <v>2714.5056499811362</v>
      </c>
      <c r="K588" s="7"/>
      <c r="L588" s="7">
        <f t="shared" si="19"/>
        <v>175.82468083688309</v>
      </c>
      <c r="M588" s="7"/>
      <c r="N588" s="7"/>
      <c r="O588" s="7"/>
    </row>
    <row r="589" spans="3:15" x14ac:dyDescent="0.2">
      <c r="C589">
        <v>569</v>
      </c>
      <c r="D589" s="7">
        <v>2936.7499732439778</v>
      </c>
      <c r="E589" s="7"/>
      <c r="F589" s="7">
        <f t="shared" si="18"/>
        <v>237.14989678738425</v>
      </c>
      <c r="H589" s="7"/>
      <c r="I589" s="7"/>
      <c r="J589" s="7">
        <v>3021.820576750551</v>
      </c>
      <c r="K589" s="7"/>
      <c r="L589" s="7">
        <f t="shared" si="19"/>
        <v>195.73016488552301</v>
      </c>
      <c r="M589" s="7"/>
      <c r="N589" s="7"/>
      <c r="O589" s="7"/>
    </row>
    <row r="590" spans="3:15" x14ac:dyDescent="0.2">
      <c r="C590">
        <v>570</v>
      </c>
      <c r="D590" s="7">
        <v>2937.6404984681881</v>
      </c>
      <c r="E590" s="7"/>
      <c r="F590" s="7">
        <f t="shared" si="18"/>
        <v>237.22180892390662</v>
      </c>
      <c r="H590" s="7"/>
      <c r="I590" s="7"/>
      <c r="J590" s="7">
        <v>3329.1319765260582</v>
      </c>
      <c r="K590" s="7"/>
      <c r="L590" s="7">
        <f t="shared" si="19"/>
        <v>215.63542048277691</v>
      </c>
      <c r="M590" s="7"/>
      <c r="N590" s="7"/>
      <c r="O590" s="7"/>
    </row>
    <row r="591" spans="3:15" x14ac:dyDescent="0.2">
      <c r="C591">
        <v>571</v>
      </c>
      <c r="D591" s="7">
        <v>2938.5345288869476</v>
      </c>
      <c r="E591" s="7"/>
      <c r="F591" s="7">
        <f t="shared" si="18"/>
        <v>237.29400411364537</v>
      </c>
      <c r="H591" s="7"/>
      <c r="I591" s="7"/>
      <c r="J591" s="7">
        <v>3910.3971377734306</v>
      </c>
      <c r="K591" s="7"/>
      <c r="L591" s="7">
        <f t="shared" si="19"/>
        <v>253.28528187047704</v>
      </c>
      <c r="M591" s="7"/>
      <c r="N591" s="7"/>
      <c r="O591" s="7"/>
    </row>
    <row r="592" spans="3:15" x14ac:dyDescent="0.2">
      <c r="C592">
        <v>572</v>
      </c>
      <c r="D592" s="7">
        <v>2939.4320427786788</v>
      </c>
      <c r="E592" s="7"/>
      <c r="F592" s="7">
        <f t="shared" si="18"/>
        <v>237.36648060252884</v>
      </c>
      <c r="H592" s="7"/>
      <c r="I592" s="7"/>
      <c r="J592" s="7">
        <v>3909.4996238816993</v>
      </c>
      <c r="K592" s="7"/>
      <c r="L592" s="7">
        <f t="shared" si="19"/>
        <v>253.22714786233402</v>
      </c>
      <c r="M592" s="7"/>
      <c r="N592" s="7"/>
      <c r="O592" s="7"/>
    </row>
    <row r="593" spans="3:15" x14ac:dyDescent="0.2">
      <c r="C593">
        <v>573</v>
      </c>
      <c r="D593" s="7">
        <v>2940.333018499382</v>
      </c>
      <c r="E593" s="7"/>
      <c r="F593" s="7">
        <f t="shared" si="18"/>
        <v>237.43923664274993</v>
      </c>
      <c r="H593" s="7"/>
      <c r="I593" s="7"/>
      <c r="J593" s="7">
        <v>4251.0452314940148</v>
      </c>
      <c r="K593" s="7"/>
      <c r="L593" s="7">
        <f t="shared" si="19"/>
        <v>275.34983066098357</v>
      </c>
      <c r="M593" s="7"/>
      <c r="N593" s="7"/>
      <c r="O593" s="7"/>
    </row>
    <row r="594" spans="3:15" x14ac:dyDescent="0.2">
      <c r="C594">
        <v>574</v>
      </c>
      <c r="D594" s="7">
        <v>2941.2374344824166</v>
      </c>
      <c r="E594" s="7"/>
      <c r="F594" s="7">
        <f t="shared" si="18"/>
        <v>237.51227049274863</v>
      </c>
      <c r="H594" s="7"/>
      <c r="I594" s="7"/>
      <c r="J594" s="7">
        <v>3359.7796988451319</v>
      </c>
      <c r="K594" s="7"/>
      <c r="L594" s="7">
        <f t="shared" si="19"/>
        <v>217.62054289177465</v>
      </c>
      <c r="M594" s="7"/>
      <c r="N594" s="7"/>
      <c r="O594" s="7"/>
    </row>
    <row r="595" spans="3:15" x14ac:dyDescent="0.2">
      <c r="C595">
        <v>575</v>
      </c>
      <c r="D595" s="7">
        <v>2942.1452692382704</v>
      </c>
      <c r="E595" s="7"/>
      <c r="F595" s="7">
        <f t="shared" si="18"/>
        <v>237.58558041719306</v>
      </c>
      <c r="H595" s="7"/>
      <c r="I595" s="7"/>
      <c r="J595" s="7">
        <v>2468.5107474234287</v>
      </c>
      <c r="K595" s="7"/>
      <c r="L595" s="7">
        <f t="shared" si="19"/>
        <v>159.89103368090474</v>
      </c>
      <c r="M595" s="7"/>
      <c r="N595" s="7"/>
      <c r="O595" s="7"/>
    </row>
    <row r="596" spans="3:15" x14ac:dyDescent="0.2">
      <c r="C596">
        <v>576</v>
      </c>
      <c r="D596" s="7">
        <v>2943.0565013543578</v>
      </c>
      <c r="E596" s="7"/>
      <c r="F596" s="7">
        <f t="shared" si="18"/>
        <v>237.65916468696349</v>
      </c>
      <c r="H596" s="7"/>
      <c r="I596" s="7"/>
      <c r="J596" s="7">
        <v>1577.2383986414911</v>
      </c>
      <c r="K596" s="7"/>
      <c r="L596" s="7">
        <f t="shared" si="19"/>
        <v>102.16130441531551</v>
      </c>
      <c r="M596" s="7"/>
      <c r="N596" s="7"/>
      <c r="O596" s="7"/>
    </row>
    <row r="597" spans="3:15" x14ac:dyDescent="0.2">
      <c r="C597">
        <v>577</v>
      </c>
      <c r="D597" s="7">
        <v>2910.7959583306606</v>
      </c>
      <c r="E597" s="7"/>
      <c r="F597" s="7">
        <f t="shared" si="18"/>
        <v>235.05404524605862</v>
      </c>
      <c r="H597" s="7"/>
      <c r="I597" s="7"/>
      <c r="J597" s="7">
        <v>0</v>
      </c>
      <c r="K597" s="7"/>
      <c r="L597" s="7">
        <f t="shared" si="19"/>
        <v>0</v>
      </c>
      <c r="M597" s="7"/>
      <c r="N597" s="7"/>
      <c r="O597" s="7"/>
    </row>
    <row r="598" spans="3:15" x14ac:dyDescent="0.2">
      <c r="C598">
        <v>578</v>
      </c>
      <c r="D598" s="7">
        <v>2739.5726666641513</v>
      </c>
      <c r="E598" s="7"/>
      <c r="F598" s="7">
        <f t="shared" ref="F598:F661" si="20">D598*(1-($C$2/($D$8-$D$6)*LN($D$8/$D$6)))</f>
        <v>221.22733670217281</v>
      </c>
      <c r="H598" s="7"/>
      <c r="I598" s="7"/>
      <c r="J598" s="7">
        <v>0</v>
      </c>
      <c r="K598" s="7"/>
      <c r="L598" s="7">
        <f t="shared" ref="L598:L661" si="21">J598*(1-$C$2/($D$10-$D$9)*LN($D$10/$D$9))</f>
        <v>0</v>
      </c>
      <c r="M598" s="7"/>
      <c r="N598" s="7"/>
      <c r="O598" s="7"/>
    </row>
    <row r="599" spans="3:15" x14ac:dyDescent="0.2">
      <c r="C599">
        <v>579</v>
      </c>
      <c r="D599" s="7">
        <v>2910.7959583306606</v>
      </c>
      <c r="E599" s="7"/>
      <c r="F599" s="7">
        <f t="shared" si="20"/>
        <v>235.05404524605862</v>
      </c>
      <c r="H599" s="7"/>
      <c r="I599" s="7"/>
      <c r="J599" s="7">
        <v>0</v>
      </c>
      <c r="K599" s="7"/>
      <c r="L599" s="7">
        <f t="shared" si="21"/>
        <v>0</v>
      </c>
      <c r="M599" s="7"/>
      <c r="N599" s="7"/>
      <c r="O599" s="7"/>
    </row>
    <row r="600" spans="3:15" x14ac:dyDescent="0.2">
      <c r="C600">
        <v>580</v>
      </c>
      <c r="D600" s="7">
        <v>2947.2782650497115</v>
      </c>
      <c r="E600" s="7"/>
      <c r="F600" s="7">
        <f t="shared" si="20"/>
        <v>238.00008265197087</v>
      </c>
      <c r="H600" s="7"/>
      <c r="I600" s="7"/>
      <c r="J600" s="7">
        <v>134.74098494745886</v>
      </c>
      <c r="K600" s="7"/>
      <c r="L600" s="7">
        <f t="shared" si="21"/>
        <v>8.7274788594375767</v>
      </c>
      <c r="M600" s="7"/>
      <c r="N600" s="7"/>
      <c r="O600" s="7"/>
    </row>
    <row r="601" spans="3:15" x14ac:dyDescent="0.2">
      <c r="C601">
        <v>581</v>
      </c>
      <c r="D601" s="7">
        <v>2948.2036660101799</v>
      </c>
      <c r="E601" s="7"/>
      <c r="F601" s="7">
        <f t="shared" si="20"/>
        <v>238.07481109132098</v>
      </c>
      <c r="H601" s="7"/>
      <c r="I601" s="7"/>
      <c r="J601" s="7">
        <v>476.26216732000921</v>
      </c>
      <c r="K601" s="7"/>
      <c r="L601" s="7">
        <f t="shared" si="21"/>
        <v>30.848579579970576</v>
      </c>
      <c r="M601" s="7"/>
      <c r="N601" s="7"/>
      <c r="O601" s="7"/>
    </row>
    <row r="602" spans="3:15" x14ac:dyDescent="0.2">
      <c r="C602">
        <v>582</v>
      </c>
      <c r="D602" s="7">
        <v>2949.1323455000647</v>
      </c>
      <c r="E602" s="7"/>
      <c r="F602" s="7">
        <f t="shared" si="20"/>
        <v>238.14980428011177</v>
      </c>
      <c r="H602" s="7"/>
      <c r="I602" s="7"/>
      <c r="J602" s="7">
        <v>703.63121005213634</v>
      </c>
      <c r="K602" s="7"/>
      <c r="L602" s="7">
        <f t="shared" si="21"/>
        <v>45.575787596959486</v>
      </c>
      <c r="M602" s="7"/>
      <c r="N602" s="7"/>
      <c r="O602" s="7"/>
    </row>
    <row r="603" spans="3:15" x14ac:dyDescent="0.2">
      <c r="C603">
        <v>583</v>
      </c>
      <c r="D603" s="7">
        <v>2950.0642826180251</v>
      </c>
      <c r="E603" s="7"/>
      <c r="F603" s="7">
        <f t="shared" si="20"/>
        <v>238.22506053050768</v>
      </c>
      <c r="H603" s="7"/>
      <c r="I603" s="7"/>
      <c r="J603" s="7">
        <v>930.99699515618886</v>
      </c>
      <c r="K603" s="7"/>
      <c r="L603" s="7">
        <f t="shared" si="21"/>
        <v>60.302784609997637</v>
      </c>
      <c r="M603" s="7"/>
      <c r="N603" s="7"/>
      <c r="O603" s="7"/>
    </row>
    <row r="604" spans="3:15" x14ac:dyDescent="0.2">
      <c r="C604">
        <v>584</v>
      </c>
      <c r="D604" s="7">
        <v>2950.999456537957</v>
      </c>
      <c r="E604" s="7"/>
      <c r="F604" s="7">
        <f t="shared" si="20"/>
        <v>238.30057816074881</v>
      </c>
      <c r="H604" s="7"/>
      <c r="I604" s="7"/>
      <c r="J604" s="7">
        <v>1158.3595434582689</v>
      </c>
      <c r="K604" s="7"/>
      <c r="L604" s="7">
        <f t="shared" si="21"/>
        <v>75.029571968038852</v>
      </c>
      <c r="M604" s="7"/>
      <c r="N604" s="7"/>
      <c r="O604" s="7"/>
    </row>
    <row r="605" spans="3:15" x14ac:dyDescent="0.2">
      <c r="C605">
        <v>585</v>
      </c>
      <c r="D605" s="7">
        <v>2951.937846508788</v>
      </c>
      <c r="E605" s="7"/>
      <c r="F605" s="7">
        <f t="shared" si="20"/>
        <v>238.37635549513422</v>
      </c>
      <c r="H605" s="7"/>
      <c r="I605" s="7"/>
      <c r="J605" s="7">
        <v>1385.7188757094514</v>
      </c>
      <c r="K605" s="7"/>
      <c r="L605" s="7">
        <f t="shared" si="21"/>
        <v>89.756151015177252</v>
      </c>
      <c r="M605" s="7"/>
      <c r="N605" s="7"/>
      <c r="O605" s="7"/>
    </row>
    <row r="606" spans="3:15" x14ac:dyDescent="0.2">
      <c r="C606">
        <v>586</v>
      </c>
      <c r="D606" s="7">
        <v>2952.8794318542568</v>
      </c>
      <c r="E606" s="7"/>
      <c r="F606" s="7">
        <f t="shared" si="20"/>
        <v>238.4523908640042</v>
      </c>
      <c r="H606" s="7"/>
      <c r="I606" s="7"/>
      <c r="J606" s="7">
        <v>1613.075012585995</v>
      </c>
      <c r="K606" s="7"/>
      <c r="L606" s="7">
        <f t="shared" si="21"/>
        <v>104.48252309066098</v>
      </c>
      <c r="M606" s="7"/>
      <c r="N606" s="7"/>
      <c r="O606" s="7"/>
    </row>
    <row r="607" spans="3:15" x14ac:dyDescent="0.2">
      <c r="C607">
        <v>587</v>
      </c>
      <c r="D607" s="7">
        <v>2953.8241919727038</v>
      </c>
      <c r="E607" s="7"/>
      <c r="F607" s="7">
        <f t="shared" si="20"/>
        <v>238.52868260372321</v>
      </c>
      <c r="H607" s="7"/>
      <c r="I607" s="7"/>
      <c r="J607" s="7">
        <v>1840.4279746895604</v>
      </c>
      <c r="K607" s="7"/>
      <c r="L607" s="7">
        <f t="shared" si="21"/>
        <v>119.20868952890625</v>
      </c>
      <c r="M607" s="7"/>
      <c r="N607" s="7"/>
      <c r="O607" s="7"/>
    </row>
    <row r="608" spans="3:15" x14ac:dyDescent="0.2">
      <c r="C608">
        <v>588</v>
      </c>
      <c r="D608" s="7">
        <v>2954.7721063368604</v>
      </c>
      <c r="E608" s="7"/>
      <c r="F608" s="7">
        <f t="shared" si="20"/>
        <v>238.60522905666303</v>
      </c>
      <c r="H608" s="7"/>
      <c r="I608" s="7"/>
      <c r="J608" s="7">
        <v>2067.7777825474163</v>
      </c>
      <c r="K608" s="7"/>
      <c r="L608" s="7">
        <f t="shared" si="21"/>
        <v>133.93465165951076</v>
      </c>
      <c r="M608" s="7"/>
      <c r="N608" s="7"/>
      <c r="O608" s="7"/>
    </row>
    <row r="609" spans="3:15" x14ac:dyDescent="0.2">
      <c r="C609">
        <v>589</v>
      </c>
      <c r="D609" s="7">
        <v>2955.7231544936312</v>
      </c>
      <c r="E609" s="7"/>
      <c r="F609" s="7">
        <f t="shared" si="20"/>
        <v>238.68202857118519</v>
      </c>
      <c r="H609" s="7"/>
      <c r="I609" s="7"/>
      <c r="J609" s="7">
        <v>2295.1244566126579</v>
      </c>
      <c r="K609" s="7"/>
      <c r="L609" s="7">
        <f t="shared" si="21"/>
        <v>148.66041080726785</v>
      </c>
      <c r="M609" s="7"/>
      <c r="N609" s="7"/>
      <c r="O609" s="7"/>
    </row>
    <row r="610" spans="3:15" x14ac:dyDescent="0.2">
      <c r="C610">
        <v>590</v>
      </c>
      <c r="D610" s="7">
        <v>2956.677316063895</v>
      </c>
      <c r="E610" s="7"/>
      <c r="F610" s="7">
        <f t="shared" si="20"/>
        <v>238.75907950162465</v>
      </c>
      <c r="H610" s="7"/>
      <c r="I610" s="7"/>
      <c r="J610" s="7">
        <v>2522.4680172644075</v>
      </c>
      <c r="K610" s="7"/>
      <c r="L610" s="7">
        <f t="shared" si="21"/>
        <v>163.3859682921794</v>
      </c>
      <c r="M610" s="7"/>
      <c r="N610" s="7"/>
      <c r="O610" s="7"/>
    </row>
    <row r="611" spans="3:15" x14ac:dyDescent="0.2">
      <c r="C611">
        <v>591</v>
      </c>
      <c r="D611" s="7">
        <v>2957.6345707422893</v>
      </c>
      <c r="E611" s="7"/>
      <c r="F611" s="7">
        <f t="shared" si="20"/>
        <v>238.83638020827271</v>
      </c>
      <c r="H611" s="7"/>
      <c r="I611" s="7"/>
      <c r="J611" s="7">
        <v>2350.2874709195025</v>
      </c>
      <c r="K611" s="7"/>
      <c r="L611" s="7">
        <f t="shared" si="21"/>
        <v>152.23344421928846</v>
      </c>
      <c r="M611" s="7"/>
      <c r="N611" s="7"/>
      <c r="O611" s="7"/>
    </row>
    <row r="612" spans="3:15" x14ac:dyDescent="0.2">
      <c r="C612">
        <v>592</v>
      </c>
      <c r="D612" s="7">
        <v>2958.5948982969876</v>
      </c>
      <c r="E612" s="7"/>
      <c r="F612" s="7">
        <f t="shared" si="20"/>
        <v>238.91392905735884</v>
      </c>
      <c r="H612" s="7"/>
      <c r="I612" s="7"/>
      <c r="J612" s="7">
        <v>2748.8481572533274</v>
      </c>
      <c r="K612" s="7"/>
      <c r="L612" s="7">
        <f t="shared" si="21"/>
        <v>178.04912283806783</v>
      </c>
      <c r="M612" s="7"/>
      <c r="N612" s="7"/>
      <c r="O612" s="7"/>
    </row>
    <row r="613" spans="3:15" x14ac:dyDescent="0.2">
      <c r="C613">
        <v>593</v>
      </c>
      <c r="D613" s="7">
        <v>2959.5582785695133</v>
      </c>
      <c r="E613" s="7"/>
      <c r="F613" s="7">
        <f t="shared" si="20"/>
        <v>238.99172442103568</v>
      </c>
      <c r="H613" s="7"/>
      <c r="I613" s="7"/>
      <c r="J613" s="7">
        <v>3147.4057908693239</v>
      </c>
      <c r="K613" s="7"/>
      <c r="L613" s="7">
        <f t="shared" si="21"/>
        <v>203.86460372539736</v>
      </c>
      <c r="M613" s="7"/>
      <c r="N613" s="7"/>
      <c r="O613" s="7"/>
    </row>
    <row r="614" spans="3:15" x14ac:dyDescent="0.2">
      <c r="C614">
        <v>594</v>
      </c>
      <c r="D614" s="7">
        <v>2960.5246914745153</v>
      </c>
      <c r="E614" s="7"/>
      <c r="F614" s="7">
        <f t="shared" si="20"/>
        <v>239.06976467736095</v>
      </c>
      <c r="H614" s="7"/>
      <c r="I614" s="7"/>
      <c r="J614" s="7">
        <v>3545.9603918528433</v>
      </c>
      <c r="K614" s="7"/>
      <c r="L614" s="7">
        <f t="shared" si="21"/>
        <v>229.67988818225069</v>
      </c>
      <c r="M614" s="7"/>
      <c r="N614" s="7"/>
      <c r="O614" s="7"/>
    </row>
    <row r="615" spans="3:15" x14ac:dyDescent="0.2">
      <c r="C615">
        <v>595</v>
      </c>
      <c r="D615" s="7">
        <v>2961.4941169995614</v>
      </c>
      <c r="E615" s="7"/>
      <c r="F615" s="7">
        <f t="shared" si="20"/>
        <v>239.14804821028079</v>
      </c>
      <c r="H615" s="7"/>
      <c r="I615" s="7"/>
      <c r="J615" s="7">
        <v>3074.1269142448969</v>
      </c>
      <c r="K615" s="7"/>
      <c r="L615" s="7">
        <f t="shared" si="21"/>
        <v>199.11816486841255</v>
      </c>
      <c r="M615" s="7"/>
      <c r="N615" s="7"/>
      <c r="O615" s="7"/>
    </row>
    <row r="616" spans="3:15" x14ac:dyDescent="0.2">
      <c r="C616">
        <v>596</v>
      </c>
      <c r="D616" s="7">
        <v>2962.4665352049351</v>
      </c>
      <c r="E616" s="7"/>
      <c r="F616" s="7">
        <f t="shared" si="20"/>
        <v>239.22657340961325</v>
      </c>
      <c r="H616" s="7"/>
      <c r="I616" s="7"/>
      <c r="J616" s="7">
        <v>2602.2904439566219</v>
      </c>
      <c r="K616" s="7"/>
      <c r="L616" s="7">
        <f t="shared" si="21"/>
        <v>168.55624771188943</v>
      </c>
      <c r="M616" s="7"/>
      <c r="N616" s="7"/>
      <c r="O616" s="7"/>
    </row>
    <row r="617" spans="3:15" x14ac:dyDescent="0.2">
      <c r="C617">
        <v>597</v>
      </c>
      <c r="D617" s="7">
        <v>2963.4419262234251</v>
      </c>
      <c r="E617" s="7"/>
      <c r="F617" s="7">
        <f t="shared" si="20"/>
        <v>239.30533867103136</v>
      </c>
      <c r="H617" s="7"/>
      <c r="I617" s="7"/>
      <c r="J617" s="7">
        <v>2130.4510008552306</v>
      </c>
      <c r="K617" s="7"/>
      <c r="L617" s="7">
        <f t="shared" si="21"/>
        <v>137.99413799952569</v>
      </c>
      <c r="M617" s="7"/>
      <c r="N617" s="7"/>
      <c r="O617" s="7"/>
    </row>
    <row r="618" spans="3:15" x14ac:dyDescent="0.2">
      <c r="C618">
        <v>598</v>
      </c>
      <c r="D618" s="7">
        <v>2964.4202702601156</v>
      </c>
      <c r="E618" s="7"/>
      <c r="F618" s="7">
        <f t="shared" si="20"/>
        <v>239.38434239604626</v>
      </c>
      <c r="H618" s="7"/>
      <c r="I618" s="7"/>
      <c r="J618" s="7">
        <v>1658.6086047356398</v>
      </c>
      <c r="K618" s="7"/>
      <c r="L618" s="7">
        <f t="shared" si="21"/>
        <v>107.43183701348289</v>
      </c>
      <c r="M618" s="7"/>
      <c r="N618" s="7"/>
      <c r="O618" s="7"/>
    </row>
    <row r="619" spans="3:15" x14ac:dyDescent="0.2">
      <c r="C619">
        <v>599</v>
      </c>
      <c r="D619" s="7">
        <v>2965.4015475921879</v>
      </c>
      <c r="E619" s="7"/>
      <c r="F619" s="7">
        <f t="shared" si="20"/>
        <v>239.46358299199107</v>
      </c>
      <c r="H619" s="7"/>
      <c r="I619" s="7"/>
      <c r="J619" s="7">
        <v>1186.7632753206663</v>
      </c>
      <c r="K619" s="7"/>
      <c r="L619" s="7">
        <f t="shared" si="21"/>
        <v>76.869346031252576</v>
      </c>
      <c r="M619" s="7"/>
      <c r="N619" s="7"/>
      <c r="O619" s="7"/>
    </row>
    <row r="620" spans="3:15" x14ac:dyDescent="0.2">
      <c r="C620">
        <v>600</v>
      </c>
      <c r="D620" s="7">
        <v>2966.3857385687102</v>
      </c>
      <c r="E620" s="7"/>
      <c r="F620" s="7">
        <f t="shared" si="20"/>
        <v>239.54305887200394</v>
      </c>
      <c r="H620" s="7"/>
      <c r="I620" s="7"/>
      <c r="J620" s="7">
        <v>458.0800947614789</v>
      </c>
      <c r="K620" s="7"/>
      <c r="L620" s="7">
        <f t="shared" si="21"/>
        <v>29.670885547696649</v>
      </c>
      <c r="M620" s="7"/>
      <c r="N620" s="7"/>
      <c r="O620" s="7"/>
    </row>
    <row r="621" spans="3:15" x14ac:dyDescent="0.2">
      <c r="C621">
        <v>601</v>
      </c>
      <c r="D621" s="7">
        <v>2910.7959583306606</v>
      </c>
      <c r="E621" s="7"/>
      <c r="F621" s="7">
        <f t="shared" si="20"/>
        <v>235.05404524605862</v>
      </c>
      <c r="H621" s="7"/>
      <c r="I621" s="7"/>
      <c r="J621" s="7">
        <v>0</v>
      </c>
      <c r="K621" s="7"/>
      <c r="L621" s="7">
        <f t="shared" si="21"/>
        <v>0</v>
      </c>
      <c r="M621" s="7"/>
      <c r="N621" s="7"/>
      <c r="O621" s="7"/>
    </row>
    <row r="622" spans="3:15" x14ac:dyDescent="0.2">
      <c r="C622">
        <v>602</v>
      </c>
      <c r="D622" s="7">
        <v>2739.5726666641513</v>
      </c>
      <c r="E622" s="7"/>
      <c r="F622" s="7">
        <f t="shared" si="20"/>
        <v>221.22733670217281</v>
      </c>
      <c r="H622" s="7"/>
      <c r="I622" s="7"/>
      <c r="J622" s="7">
        <v>0</v>
      </c>
      <c r="K622" s="7"/>
      <c r="L622" s="7">
        <f t="shared" si="21"/>
        <v>0</v>
      </c>
      <c r="M622" s="7"/>
      <c r="N622" s="7"/>
      <c r="O622" s="7"/>
    </row>
    <row r="623" spans="3:15" x14ac:dyDescent="0.2">
      <c r="C623">
        <v>603</v>
      </c>
      <c r="D623" s="7">
        <v>2910.7959583306606</v>
      </c>
      <c r="E623" s="7"/>
      <c r="F623" s="7">
        <f t="shared" si="20"/>
        <v>235.05404524605862</v>
      </c>
      <c r="H623" s="7"/>
      <c r="I623" s="7"/>
      <c r="J623" s="7">
        <v>0</v>
      </c>
      <c r="K623" s="7"/>
      <c r="L623" s="7">
        <f t="shared" si="21"/>
        <v>0</v>
      </c>
      <c r="M623" s="7"/>
      <c r="N623" s="7"/>
      <c r="O623" s="7"/>
    </row>
    <row r="624" spans="3:15" x14ac:dyDescent="0.2">
      <c r="C624">
        <v>604</v>
      </c>
      <c r="D624" s="7">
        <v>2971.0212387813831</v>
      </c>
      <c r="E624" s="7"/>
      <c r="F624" s="7">
        <f t="shared" si="20"/>
        <v>239.9173870943616</v>
      </c>
      <c r="H624" s="7"/>
      <c r="I624" s="7"/>
      <c r="J624" s="7">
        <v>110.9980112157873</v>
      </c>
      <c r="K624" s="7"/>
      <c r="L624" s="7">
        <f t="shared" si="21"/>
        <v>7.1895926595990671</v>
      </c>
      <c r="M624" s="7"/>
      <c r="N624" s="7"/>
      <c r="O624" s="7"/>
    </row>
    <row r="625" spans="3:15" x14ac:dyDescent="0.2">
      <c r="C625">
        <v>605</v>
      </c>
      <c r="D625" s="7">
        <v>2972.0166234093035</v>
      </c>
      <c r="E625" s="7"/>
      <c r="F625" s="7">
        <f t="shared" si="20"/>
        <v>239.99776688968831</v>
      </c>
      <c r="H625" s="7"/>
      <c r="I625" s="7"/>
      <c r="J625" s="7">
        <v>421.31770234515625</v>
      </c>
      <c r="K625" s="7"/>
      <c r="L625" s="7">
        <f t="shared" si="21"/>
        <v>27.289702103320653</v>
      </c>
      <c r="M625" s="7"/>
      <c r="N625" s="7"/>
      <c r="O625" s="7"/>
    </row>
    <row r="626" spans="3:15" x14ac:dyDescent="0.2">
      <c r="C626">
        <v>606</v>
      </c>
      <c r="D626" s="7">
        <v>2973.0148151910025</v>
      </c>
      <c r="E626" s="7"/>
      <c r="F626" s="7">
        <f t="shared" si="20"/>
        <v>240.07837336969533</v>
      </c>
      <c r="H626" s="7"/>
      <c r="I626" s="7"/>
      <c r="J626" s="7">
        <v>638.24006359356008</v>
      </c>
      <c r="K626" s="7"/>
      <c r="L626" s="7">
        <f t="shared" si="21"/>
        <v>41.340254892978216</v>
      </c>
      <c r="M626" s="7"/>
      <c r="N626" s="7"/>
      <c r="O626" s="7"/>
    </row>
    <row r="627" spans="3:15" x14ac:dyDescent="0.2">
      <c r="C627">
        <v>607</v>
      </c>
      <c r="D627" s="7">
        <v>2974.0157949469867</v>
      </c>
      <c r="E627" s="7"/>
      <c r="F627" s="7">
        <f t="shared" si="20"/>
        <v>240.15920498559069</v>
      </c>
      <c r="H627" s="7"/>
      <c r="I627" s="7"/>
      <c r="J627" s="7">
        <v>855.15963686767918</v>
      </c>
      <c r="K627" s="7"/>
      <c r="L627" s="7">
        <f t="shared" si="21"/>
        <v>55.390627099225014</v>
      </c>
      <c r="M627" s="7"/>
      <c r="N627" s="7"/>
      <c r="O627" s="7"/>
    </row>
    <row r="628" spans="3:15" x14ac:dyDescent="0.2">
      <c r="C628">
        <v>608</v>
      </c>
      <c r="D628" s="7">
        <v>2975.0195435680689</v>
      </c>
      <c r="E628" s="7"/>
      <c r="F628" s="7">
        <f t="shared" si="20"/>
        <v>240.24026019425972</v>
      </c>
      <c r="H628" s="7"/>
      <c r="I628" s="7"/>
      <c r="J628" s="7">
        <v>1072.0764412767003</v>
      </c>
      <c r="K628" s="7"/>
      <c r="L628" s="7">
        <f t="shared" si="21"/>
        <v>69.440819959806376</v>
      </c>
      <c r="M628" s="7"/>
      <c r="N628" s="7"/>
      <c r="O628" s="7"/>
    </row>
    <row r="629" spans="3:15" x14ac:dyDescent="0.2">
      <c r="C629">
        <v>609</v>
      </c>
      <c r="D629" s="7">
        <v>2976.0260420151776</v>
      </c>
      <c r="E629" s="7"/>
      <c r="F629" s="7">
        <f t="shared" si="20"/>
        <v>240.32153745824991</v>
      </c>
      <c r="H629" s="7"/>
      <c r="I629" s="7"/>
      <c r="J629" s="7">
        <v>1288.990495859694</v>
      </c>
      <c r="K629" s="7"/>
      <c r="L629" s="7">
        <f t="shared" si="21"/>
        <v>83.490834707926041</v>
      </c>
      <c r="M629" s="7"/>
      <c r="N629" s="7"/>
      <c r="O629" s="7"/>
    </row>
    <row r="630" spans="3:15" x14ac:dyDescent="0.2">
      <c r="C630">
        <v>610</v>
      </c>
      <c r="D630" s="7">
        <v>2977.0352713191514</v>
      </c>
      <c r="E630" s="7"/>
      <c r="F630" s="7">
        <f t="shared" si="20"/>
        <v>240.40303524575404</v>
      </c>
      <c r="H630" s="7"/>
      <c r="I630" s="7"/>
      <c r="J630" s="7">
        <v>1505.9018195858234</v>
      </c>
      <c r="K630" s="7"/>
      <c r="L630" s="7">
        <f t="shared" si="21"/>
        <v>97.540672572259666</v>
      </c>
      <c r="M630" s="7"/>
      <c r="N630" s="7"/>
      <c r="O630" s="7"/>
    </row>
    <row r="631" spans="3:15" x14ac:dyDescent="0.2">
      <c r="C631">
        <v>611</v>
      </c>
      <c r="D631" s="7">
        <v>2978.0472125805386</v>
      </c>
      <c r="E631" s="7"/>
      <c r="F631" s="7">
        <f t="shared" si="20"/>
        <v>240.48475203059417</v>
      </c>
      <c r="H631" s="7"/>
      <c r="I631" s="7"/>
      <c r="J631" s="7">
        <v>1722.8104313545396</v>
      </c>
      <c r="K631" s="7"/>
      <c r="L631" s="7">
        <f t="shared" si="21"/>
        <v>111.59033477696752</v>
      </c>
      <c r="M631" s="7"/>
      <c r="N631" s="7"/>
      <c r="O631" s="7"/>
    </row>
    <row r="632" spans="3:15" x14ac:dyDescent="0.2">
      <c r="C632">
        <v>612</v>
      </c>
      <c r="D632" s="7">
        <v>2979.0618469694009</v>
      </c>
      <c r="E632" s="7"/>
      <c r="F632" s="7">
        <f t="shared" si="20"/>
        <v>240.56668629220576</v>
      </c>
      <c r="H632" s="7"/>
      <c r="I632" s="7"/>
      <c r="J632" s="7">
        <v>1939.7163499957805</v>
      </c>
      <c r="K632" s="7"/>
      <c r="L632" s="7">
        <f t="shared" si="21"/>
        <v>125.63982254170736</v>
      </c>
      <c r="M632" s="7"/>
      <c r="N632" s="7"/>
      <c r="O632" s="7"/>
    </row>
    <row r="633" spans="3:15" x14ac:dyDescent="0.2">
      <c r="C633">
        <v>613</v>
      </c>
      <c r="D633" s="7">
        <v>2980.0791557251096</v>
      </c>
      <c r="E633" s="7"/>
      <c r="F633" s="7">
        <f t="shared" si="20"/>
        <v>240.64883651562118</v>
      </c>
      <c r="H633" s="7"/>
      <c r="I633" s="7"/>
      <c r="J633" s="7">
        <v>2156.6195942701743</v>
      </c>
      <c r="K633" s="7"/>
      <c r="L633" s="7">
        <f t="shared" si="21"/>
        <v>139.68913708164754</v>
      </c>
      <c r="M633" s="7"/>
      <c r="N633" s="7"/>
      <c r="O633" s="7"/>
    </row>
    <row r="634" spans="3:15" x14ac:dyDescent="0.2">
      <c r="C634">
        <v>614</v>
      </c>
      <c r="D634" s="7">
        <v>2981.099120156146</v>
      </c>
      <c r="E634" s="7"/>
      <c r="F634" s="7">
        <f t="shared" si="20"/>
        <v>240.73120119145361</v>
      </c>
      <c r="H634" s="7"/>
      <c r="I634" s="7"/>
      <c r="J634" s="7">
        <v>2057.7577488868469</v>
      </c>
      <c r="K634" s="7"/>
      <c r="L634" s="7">
        <f t="shared" si="21"/>
        <v>133.28563137828326</v>
      </c>
      <c r="M634" s="7"/>
      <c r="N634" s="7"/>
      <c r="O634" s="7"/>
    </row>
    <row r="635" spans="3:15" x14ac:dyDescent="0.2">
      <c r="C635">
        <v>615</v>
      </c>
      <c r="D635" s="7">
        <v>2982.1217216399086</v>
      </c>
      <c r="E635" s="7"/>
      <c r="F635" s="7">
        <f t="shared" si="20"/>
        <v>240.81377881588142</v>
      </c>
      <c r="H635" s="7"/>
      <c r="I635" s="7"/>
      <c r="J635" s="7">
        <v>1958.8932664507934</v>
      </c>
      <c r="K635" s="7"/>
      <c r="L635" s="7">
        <f t="shared" si="21"/>
        <v>126.88195486703945</v>
      </c>
      <c r="M635" s="7"/>
      <c r="N635" s="7"/>
      <c r="O635" s="7"/>
    </row>
    <row r="636" spans="3:15" x14ac:dyDescent="0.2">
      <c r="C636">
        <v>616</v>
      </c>
      <c r="D636" s="7">
        <v>2983.146941622505</v>
      </c>
      <c r="E636" s="7"/>
      <c r="F636" s="7">
        <f t="shared" si="20"/>
        <v>240.89656789063147</v>
      </c>
      <c r="H636" s="7"/>
      <c r="I636" s="7"/>
      <c r="J636" s="7">
        <v>1860.0261655159061</v>
      </c>
      <c r="K636" s="7"/>
      <c r="L636" s="7">
        <f t="shared" si="21"/>
        <v>120.47810874969383</v>
      </c>
      <c r="M636" s="7"/>
      <c r="N636" s="7"/>
      <c r="O636" s="7"/>
    </row>
    <row r="637" spans="3:15" x14ac:dyDescent="0.2">
      <c r="C637">
        <v>617</v>
      </c>
      <c r="D637" s="7">
        <v>2984.1747616185635</v>
      </c>
      <c r="E637" s="7"/>
      <c r="F637" s="7">
        <f t="shared" si="20"/>
        <v>240.97956692296381</v>
      </c>
      <c r="H637" s="7"/>
      <c r="I637" s="7"/>
      <c r="J637" s="7">
        <v>1761.1564645675558</v>
      </c>
      <c r="K637" s="7"/>
      <c r="L637" s="7">
        <f t="shared" si="21"/>
        <v>114.0740942235857</v>
      </c>
      <c r="M637" s="7"/>
      <c r="N637" s="7"/>
      <c r="O637" s="7"/>
    </row>
    <row r="638" spans="3:15" x14ac:dyDescent="0.2">
      <c r="C638">
        <v>618</v>
      </c>
      <c r="D638" s="7">
        <v>2985.2051632110301</v>
      </c>
      <c r="E638" s="7"/>
      <c r="F638" s="7">
        <f t="shared" si="20"/>
        <v>241.06277442565533</v>
      </c>
      <c r="H638" s="7"/>
      <c r="I638" s="7"/>
      <c r="J638" s="7">
        <v>1662.2841820227973</v>
      </c>
      <c r="K638" s="7"/>
      <c r="L638" s="7">
        <f t="shared" si="21"/>
        <v>107.66991248162945</v>
      </c>
      <c r="M638" s="7"/>
      <c r="N638" s="7"/>
      <c r="O638" s="7"/>
    </row>
    <row r="639" spans="3:15" x14ac:dyDescent="0.2">
      <c r="C639">
        <v>619</v>
      </c>
      <c r="D639" s="7">
        <v>2986.2381280509753</v>
      </c>
      <c r="E639" s="7"/>
      <c r="F639" s="7">
        <f t="shared" si="20"/>
        <v>241.14618891698413</v>
      </c>
      <c r="H639" s="7"/>
      <c r="I639" s="7"/>
      <c r="J639" s="7">
        <v>1563.4093362305621</v>
      </c>
      <c r="K639" s="7"/>
      <c r="L639" s="7">
        <f t="shared" si="21"/>
        <v>101.26556471232693</v>
      </c>
      <c r="M639" s="7"/>
      <c r="N639" s="7"/>
      <c r="O639" s="7"/>
    </row>
    <row r="640" spans="3:15" x14ac:dyDescent="0.2">
      <c r="C640">
        <v>620</v>
      </c>
      <c r="D640" s="7">
        <v>2987.2736378573977</v>
      </c>
      <c r="E640" s="7"/>
      <c r="F640" s="7">
        <f t="shared" si="20"/>
        <v>241.22980892071365</v>
      </c>
      <c r="H640" s="7"/>
      <c r="I640" s="7"/>
      <c r="J640" s="7">
        <v>1464.5319454718478</v>
      </c>
      <c r="K640" s="7"/>
      <c r="L640" s="7">
        <f t="shared" si="21"/>
        <v>94.861052099779769</v>
      </c>
      <c r="M640" s="7"/>
      <c r="N640" s="7"/>
      <c r="O640" s="7"/>
    </row>
    <row r="641" spans="3:15" x14ac:dyDescent="0.2">
      <c r="C641">
        <v>621</v>
      </c>
      <c r="D641" s="7">
        <v>2988.311674417017</v>
      </c>
      <c r="E641" s="7"/>
      <c r="F641" s="7">
        <f t="shared" si="20"/>
        <v>241.31363296607606</v>
      </c>
      <c r="H641" s="7"/>
      <c r="I641" s="7"/>
      <c r="J641" s="7">
        <v>1805.9404922452472</v>
      </c>
      <c r="K641" s="7"/>
      <c r="L641" s="7">
        <f t="shared" si="21"/>
        <v>116.97485715737255</v>
      </c>
      <c r="M641" s="7"/>
      <c r="N641" s="7"/>
      <c r="O641" s="7"/>
    </row>
    <row r="642" spans="3:15" x14ac:dyDescent="0.2">
      <c r="C642">
        <v>622</v>
      </c>
      <c r="D642" s="7">
        <v>2989.3522195840992</v>
      </c>
      <c r="E642" s="7"/>
      <c r="F642" s="7">
        <f t="shared" si="20"/>
        <v>241.39765958775797</v>
      </c>
      <c r="H642" s="7"/>
      <c r="I642" s="7"/>
      <c r="J642" s="7">
        <v>1291.2300720786366</v>
      </c>
      <c r="K642" s="7"/>
      <c r="L642" s="7">
        <f t="shared" si="21"/>
        <v>83.635897133531302</v>
      </c>
      <c r="M642" s="7"/>
      <c r="N642" s="7"/>
      <c r="O642" s="7"/>
    </row>
    <row r="643" spans="3:15" x14ac:dyDescent="0.2">
      <c r="C643">
        <v>623</v>
      </c>
      <c r="D643" s="7">
        <v>2990.3952552802489</v>
      </c>
      <c r="E643" s="7"/>
      <c r="F643" s="7">
        <f t="shared" si="20"/>
        <v>241.48188732588383</v>
      </c>
      <c r="H643" s="7"/>
      <c r="I643" s="7"/>
      <c r="J643" s="7">
        <v>776.51716138295933</v>
      </c>
      <c r="K643" s="7"/>
      <c r="L643" s="7">
        <f t="shared" si="21"/>
        <v>50.296775792479949</v>
      </c>
      <c r="M643" s="7"/>
      <c r="N643" s="7"/>
      <c r="O643" s="7"/>
    </row>
    <row r="644" spans="3:15" x14ac:dyDescent="0.2">
      <c r="C644">
        <v>624</v>
      </c>
      <c r="D644" s="7">
        <v>2991.440763494209</v>
      </c>
      <c r="E644" s="7"/>
      <c r="F644" s="7">
        <f t="shared" si="20"/>
        <v>241.56631472599958</v>
      </c>
      <c r="H644" s="7"/>
      <c r="I644" s="7"/>
      <c r="J644" s="7">
        <v>261.80177816947071</v>
      </c>
      <c r="K644" s="7"/>
      <c r="L644" s="7">
        <f t="shared" si="21"/>
        <v>16.95749430084831</v>
      </c>
      <c r="M644" s="7"/>
      <c r="N644" s="7"/>
      <c r="O644" s="7"/>
    </row>
    <row r="645" spans="3:15" x14ac:dyDescent="0.2">
      <c r="C645">
        <v>625</v>
      </c>
      <c r="D645" s="7">
        <v>2739.5726666641513</v>
      </c>
      <c r="E645" s="7"/>
      <c r="F645" s="7">
        <f t="shared" si="20"/>
        <v>221.22733670217281</v>
      </c>
      <c r="H645" s="7"/>
      <c r="I645" s="7"/>
      <c r="J645" s="7">
        <v>0</v>
      </c>
      <c r="K645" s="7"/>
      <c r="L645" s="7">
        <f t="shared" si="21"/>
        <v>0</v>
      </c>
      <c r="M645" s="7"/>
      <c r="N645" s="7"/>
      <c r="O645" s="7"/>
    </row>
    <row r="646" spans="3:15" x14ac:dyDescent="0.2">
      <c r="C646">
        <v>626</v>
      </c>
      <c r="D646" s="7">
        <v>2739.5726666641513</v>
      </c>
      <c r="E646" s="7"/>
      <c r="F646" s="7">
        <f t="shared" si="20"/>
        <v>221.22733670217281</v>
      </c>
      <c r="H646" s="7"/>
      <c r="I646" s="7"/>
      <c r="J646" s="7">
        <v>0</v>
      </c>
      <c r="K646" s="7"/>
      <c r="L646" s="7">
        <f t="shared" si="21"/>
        <v>0</v>
      </c>
      <c r="M646" s="7"/>
      <c r="N646" s="7"/>
      <c r="O646" s="7"/>
    </row>
    <row r="647" spans="3:15" x14ac:dyDescent="0.2">
      <c r="C647">
        <v>627</v>
      </c>
      <c r="D647" s="7">
        <v>2935.2564285687336</v>
      </c>
      <c r="E647" s="7"/>
      <c r="F647" s="7">
        <f t="shared" si="20"/>
        <v>237.02928932375659</v>
      </c>
      <c r="H647" s="7"/>
      <c r="I647" s="7"/>
      <c r="J647" s="7">
        <v>0</v>
      </c>
      <c r="K647" s="7"/>
      <c r="L647" s="7">
        <f t="shared" si="21"/>
        <v>0</v>
      </c>
      <c r="M647" s="7"/>
      <c r="N647" s="7"/>
      <c r="O647" s="7"/>
    </row>
    <row r="648" spans="3:15" x14ac:dyDescent="0.2">
      <c r="C648">
        <v>628</v>
      </c>
      <c r="D648" s="7">
        <v>2996.7226668893854</v>
      </c>
      <c r="E648" s="7"/>
      <c r="F648" s="7">
        <f t="shared" si="20"/>
        <v>241.9928416201578</v>
      </c>
      <c r="H648" s="7"/>
      <c r="I648" s="7"/>
      <c r="J648" s="7">
        <v>134.21752358393042</v>
      </c>
      <c r="K648" s="7"/>
      <c r="L648" s="7">
        <f t="shared" si="21"/>
        <v>8.6935730809863632</v>
      </c>
      <c r="M648" s="7"/>
      <c r="N648" s="7"/>
      <c r="O648" s="7"/>
    </row>
    <row r="649" spans="3:15" x14ac:dyDescent="0.2">
      <c r="C649">
        <v>629</v>
      </c>
      <c r="D649" s="7">
        <v>2997.7753199775811</v>
      </c>
      <c r="E649" s="7"/>
      <c r="F649" s="7">
        <f t="shared" si="20"/>
        <v>242.07784598671708</v>
      </c>
      <c r="H649" s="7"/>
      <c r="I649" s="7"/>
      <c r="J649" s="7">
        <v>328.84863240031746</v>
      </c>
      <c r="K649" s="7"/>
      <c r="L649" s="7">
        <f t="shared" si="21"/>
        <v>21.300270948352278</v>
      </c>
      <c r="M649" s="7"/>
      <c r="N649" s="7"/>
      <c r="O649" s="7"/>
    </row>
    <row r="650" spans="3:15" x14ac:dyDescent="0.2">
      <c r="C650">
        <v>630</v>
      </c>
      <c r="D650" s="7">
        <v>2998.8303548434292</v>
      </c>
      <c r="E650" s="7"/>
      <c r="F650" s="7">
        <f t="shared" si="20"/>
        <v>242.16304268777179</v>
      </c>
      <c r="H650" s="7"/>
      <c r="I650" s="7"/>
      <c r="J650" s="7">
        <v>523.47735943905127</v>
      </c>
      <c r="K650" s="7"/>
      <c r="L650" s="7">
        <f t="shared" si="21"/>
        <v>33.906814542583518</v>
      </c>
      <c r="M650" s="7"/>
      <c r="N650" s="7"/>
      <c r="O650" s="7"/>
    </row>
    <row r="651" spans="3:15" x14ac:dyDescent="0.2">
      <c r="C651">
        <v>631</v>
      </c>
      <c r="D651" s="7">
        <v>2999.8877538984484</v>
      </c>
      <c r="E651" s="7"/>
      <c r="F651" s="7">
        <f t="shared" si="20"/>
        <v>242.24843030300821</v>
      </c>
      <c r="H651" s="7"/>
      <c r="I651" s="7"/>
      <c r="J651" s="7">
        <v>718.10372228861434</v>
      </c>
      <c r="K651" s="7"/>
      <c r="L651" s="7">
        <f t="shared" si="21"/>
        <v>46.51320500292595</v>
      </c>
      <c r="M651" s="7"/>
      <c r="N651" s="7"/>
      <c r="O651" s="7"/>
    </row>
    <row r="652" spans="3:15" x14ac:dyDescent="0.2">
      <c r="C652">
        <v>632</v>
      </c>
      <c r="D652" s="7">
        <v>3000.9474996198505</v>
      </c>
      <c r="E652" s="7"/>
      <c r="F652" s="7">
        <f t="shared" si="20"/>
        <v>242.33400741741735</v>
      </c>
      <c r="H652" s="7"/>
      <c r="I652" s="7"/>
      <c r="J652" s="7">
        <v>912.72773847179451</v>
      </c>
      <c r="K652" s="7"/>
      <c r="L652" s="7">
        <f t="shared" si="21"/>
        <v>59.119443464370242</v>
      </c>
      <c r="M652" s="7"/>
      <c r="N652" s="7"/>
      <c r="O652" s="7"/>
    </row>
    <row r="653" spans="3:15" x14ac:dyDescent="0.2">
      <c r="C653">
        <v>633</v>
      </c>
      <c r="D653" s="7">
        <v>3002.0095745503609</v>
      </c>
      <c r="E653" s="7"/>
      <c r="F653" s="7">
        <f t="shared" si="20"/>
        <v>242.41977262128074</v>
      </c>
      <c r="H653" s="7"/>
      <c r="I653" s="7"/>
      <c r="J653" s="7">
        <v>1107.349425445866</v>
      </c>
      <c r="K653" s="7"/>
      <c r="L653" s="7">
        <f t="shared" si="21"/>
        <v>71.725531057663588</v>
      </c>
      <c r="M653" s="7"/>
      <c r="N653" s="7"/>
      <c r="O653" s="7"/>
    </row>
    <row r="654" spans="3:15" x14ac:dyDescent="0.2">
      <c r="C654">
        <v>634</v>
      </c>
      <c r="D654" s="7">
        <v>3003.0739612980183</v>
      </c>
      <c r="E654" s="7"/>
      <c r="F654" s="7">
        <f t="shared" si="20"/>
        <v>242.50572451015398</v>
      </c>
      <c r="H654" s="7"/>
      <c r="I654" s="7"/>
      <c r="J654" s="7">
        <v>1301.9688006027914</v>
      </c>
      <c r="K654" s="7"/>
      <c r="L654" s="7">
        <f t="shared" si="21"/>
        <v>84.331468909322808</v>
      </c>
      <c r="M654" s="7"/>
      <c r="N654" s="7"/>
      <c r="O654" s="7"/>
    </row>
    <row r="655" spans="3:15" x14ac:dyDescent="0.2">
      <c r="C655">
        <v>635</v>
      </c>
      <c r="D655" s="7">
        <v>3004.140642535991</v>
      </c>
      <c r="E655" s="7"/>
      <c r="F655" s="7">
        <f t="shared" si="20"/>
        <v>242.5918616848522</v>
      </c>
      <c r="H655" s="7"/>
      <c r="I655" s="7"/>
      <c r="J655" s="7">
        <v>1496.5858812694014</v>
      </c>
      <c r="K655" s="7"/>
      <c r="L655" s="7">
        <f t="shared" si="21"/>
        <v>96.937258141645984</v>
      </c>
      <c r="M655" s="7"/>
      <c r="N655" s="7"/>
      <c r="O655" s="7"/>
    </row>
    <row r="656" spans="3:15" x14ac:dyDescent="0.2">
      <c r="C656">
        <v>636</v>
      </c>
      <c r="D656" s="7">
        <v>3005.2096010023897</v>
      </c>
      <c r="E656" s="7"/>
      <c r="F656" s="7">
        <f t="shared" si="20"/>
        <v>242.67818275143466</v>
      </c>
      <c r="H656" s="7"/>
      <c r="I656" s="7"/>
      <c r="J656" s="7">
        <v>1691.2006847075845</v>
      </c>
      <c r="K656" s="7"/>
      <c r="L656" s="7">
        <f t="shared" si="21"/>
        <v>109.54289987272475</v>
      </c>
      <c r="M656" s="7"/>
      <c r="N656" s="7"/>
      <c r="O656" s="7"/>
    </row>
    <row r="657" spans="3:15" x14ac:dyDescent="0.2">
      <c r="C657">
        <v>637</v>
      </c>
      <c r="D657" s="7">
        <v>3006.2808195000694</v>
      </c>
      <c r="E657" s="7"/>
      <c r="F657" s="7">
        <f t="shared" si="20"/>
        <v>242.76468632118898</v>
      </c>
      <c r="H657" s="7"/>
      <c r="I657" s="7"/>
      <c r="J657" s="7">
        <v>1787.9713471621949</v>
      </c>
      <c r="K657" s="7"/>
      <c r="L657" s="7">
        <f t="shared" si="21"/>
        <v>115.81095492008626</v>
      </c>
      <c r="M657" s="7"/>
      <c r="N657" s="7"/>
      <c r="O657" s="7"/>
    </row>
    <row r="658" spans="3:15" x14ac:dyDescent="0.2">
      <c r="C658">
        <v>638</v>
      </c>
      <c r="D658" s="7">
        <v>3007.3542808964521</v>
      </c>
      <c r="E658" s="7"/>
      <c r="F658" s="7">
        <f t="shared" si="20"/>
        <v>242.85137101061665</v>
      </c>
      <c r="H658" s="7"/>
      <c r="I658" s="7"/>
      <c r="J658" s="7">
        <v>1786.8978857658121</v>
      </c>
      <c r="K658" s="7"/>
      <c r="L658" s="7">
        <f t="shared" si="21"/>
        <v>115.74142439344652</v>
      </c>
      <c r="M658" s="7"/>
      <c r="N658" s="7"/>
      <c r="O658" s="7"/>
    </row>
    <row r="659" spans="3:15" x14ac:dyDescent="0.2">
      <c r="C659">
        <v>639</v>
      </c>
      <c r="D659" s="7">
        <v>3008.429968123331</v>
      </c>
      <c r="E659" s="7"/>
      <c r="F659" s="7">
        <f t="shared" si="20"/>
        <v>242.93823544141736</v>
      </c>
      <c r="H659" s="7"/>
      <c r="I659" s="7"/>
      <c r="J659" s="7">
        <v>2275.0316033003905</v>
      </c>
      <c r="K659" s="7"/>
      <c r="L659" s="7">
        <f t="shared" si="21"/>
        <v>147.35895117657734</v>
      </c>
      <c r="M659" s="7"/>
      <c r="N659" s="7"/>
      <c r="O659" s="7"/>
    </row>
    <row r="660" spans="3:15" x14ac:dyDescent="0.2">
      <c r="C660">
        <v>640</v>
      </c>
      <c r="D660" s="7">
        <v>3009.5078641766904</v>
      </c>
      <c r="E660" s="7"/>
      <c r="F660" s="7">
        <f t="shared" si="20"/>
        <v>243.02527824047436</v>
      </c>
      <c r="H660" s="7"/>
      <c r="I660" s="7"/>
      <c r="J660" s="7">
        <v>2469.6374691516121</v>
      </c>
      <c r="K660" s="7"/>
      <c r="L660" s="7">
        <f t="shared" si="21"/>
        <v>159.96401399989992</v>
      </c>
      <c r="M660" s="7"/>
      <c r="N660" s="7"/>
      <c r="O660" s="7"/>
    </row>
    <row r="661" spans="3:15" x14ac:dyDescent="0.2">
      <c r="C661">
        <v>641</v>
      </c>
      <c r="D661" s="7">
        <v>3010.5879521165098</v>
      </c>
      <c r="E661" s="7"/>
      <c r="F661" s="7">
        <f t="shared" si="20"/>
        <v>243.11249803983867</v>
      </c>
      <c r="H661" s="7"/>
      <c r="I661" s="7"/>
      <c r="J661" s="7">
        <v>2194.6001145453774</v>
      </c>
      <c r="K661" s="7"/>
      <c r="L661" s="7">
        <f t="shared" si="21"/>
        <v>142.14922142719044</v>
      </c>
      <c r="M661" s="7"/>
      <c r="N661" s="7"/>
      <c r="O661" s="7"/>
    </row>
    <row r="662" spans="3:15" x14ac:dyDescent="0.2">
      <c r="C662">
        <v>642</v>
      </c>
      <c r="D662" s="7">
        <v>3011.6702150665838</v>
      </c>
      <c r="E662" s="7"/>
      <c r="F662" s="7">
        <f t="shared" ref="F662:F692" si="22">D662*(1-($C$2/($D$8-$D$6)*LN($D$8/$D$6)))</f>
        <v>243.19989347671452</v>
      </c>
      <c r="H662" s="7"/>
      <c r="I662" s="7"/>
      <c r="J662" s="7">
        <v>1919.5605849288891</v>
      </c>
      <c r="K662" s="7"/>
      <c r="L662" s="7">
        <f t="shared" ref="L662:L692" si="23">J662*(1-$C$2/($D$10-$D$9)*LN($D$10/$D$9))</f>
        <v>124.33428797413922</v>
      </c>
      <c r="M662" s="7"/>
      <c r="N662" s="7"/>
      <c r="O662" s="7"/>
    </row>
    <row r="663" spans="3:15" x14ac:dyDescent="0.2">
      <c r="C663">
        <v>643</v>
      </c>
      <c r="D663" s="7">
        <v>3012.7546362143366</v>
      </c>
      <c r="E663" s="7"/>
      <c r="F663" s="7">
        <f t="shared" si="22"/>
        <v>243.28746319344447</v>
      </c>
      <c r="H663" s="7"/>
      <c r="I663" s="7"/>
      <c r="J663" s="7">
        <v>1781.4975304479276</v>
      </c>
      <c r="K663" s="7"/>
      <c r="L663" s="7">
        <f t="shared" si="23"/>
        <v>115.39163114465391</v>
      </c>
      <c r="M663" s="7"/>
      <c r="N663" s="7"/>
      <c r="O663" s="7"/>
    </row>
    <row r="664" spans="3:15" x14ac:dyDescent="0.2">
      <c r="C664">
        <v>644</v>
      </c>
      <c r="D664" s="7">
        <v>3013.8411988106368</v>
      </c>
      <c r="E664" s="7"/>
      <c r="F664" s="7">
        <f t="shared" si="22"/>
        <v>243.37520583749429</v>
      </c>
      <c r="H664" s="7"/>
      <c r="I664" s="7"/>
      <c r="J664" s="7">
        <v>1369.4750678520045</v>
      </c>
      <c r="K664" s="7"/>
      <c r="L664" s="7">
        <f t="shared" si="23"/>
        <v>88.704002778856179</v>
      </c>
      <c r="M664" s="7"/>
      <c r="N664" s="7"/>
      <c r="O664" s="7"/>
    </row>
    <row r="665" spans="3:15" x14ac:dyDescent="0.2">
      <c r="C665">
        <v>645</v>
      </c>
      <c r="D665" s="7">
        <v>3014.929886169607</v>
      </c>
      <c r="E665" s="7"/>
      <c r="F665" s="7">
        <f t="shared" si="22"/>
        <v>243.46312006143768</v>
      </c>
      <c r="H665" s="7"/>
      <c r="I665" s="7"/>
      <c r="J665" s="7">
        <v>1094.429113826618</v>
      </c>
      <c r="K665" s="7"/>
      <c r="L665" s="7">
        <f t="shared" si="23"/>
        <v>70.88865320228571</v>
      </c>
      <c r="M665" s="7"/>
      <c r="N665" s="7"/>
      <c r="O665" s="7"/>
    </row>
    <row r="666" spans="3:15" x14ac:dyDescent="0.2">
      <c r="C666">
        <v>646</v>
      </c>
      <c r="D666" s="7">
        <v>3016.0206816684431</v>
      </c>
      <c r="E666" s="7"/>
      <c r="F666" s="7">
        <f t="shared" si="22"/>
        <v>243.55120452294167</v>
      </c>
      <c r="H666" s="7"/>
      <c r="I666" s="7"/>
      <c r="J666" s="7">
        <v>819.38105166136847</v>
      </c>
      <c r="K666" s="7"/>
      <c r="L666" s="7">
        <f t="shared" si="23"/>
        <v>53.073167076720175</v>
      </c>
      <c r="M666" s="7"/>
      <c r="N666" s="7"/>
      <c r="O666" s="7"/>
    </row>
    <row r="667" spans="3:15" x14ac:dyDescent="0.2">
      <c r="C667">
        <v>647</v>
      </c>
      <c r="D667" s="7">
        <v>3017.1135687472311</v>
      </c>
      <c r="E667" s="7"/>
      <c r="F667" s="7">
        <f t="shared" si="22"/>
        <v>243.63945788475189</v>
      </c>
      <c r="H667" s="7"/>
      <c r="I667" s="7"/>
      <c r="J667" s="7">
        <v>64.905681249939335</v>
      </c>
      <c r="K667" s="7"/>
      <c r="L667" s="7">
        <f t="shared" si="23"/>
        <v>4.2040880225651236</v>
      </c>
      <c r="M667" s="7"/>
      <c r="N667" s="7"/>
      <c r="O667" s="7"/>
    </row>
    <row r="668" spans="3:15" x14ac:dyDescent="0.2">
      <c r="C668">
        <v>648</v>
      </c>
      <c r="D668" s="7">
        <v>2910.7959583306606</v>
      </c>
      <c r="E668" s="7"/>
      <c r="F668" s="7">
        <f t="shared" si="22"/>
        <v>235.05404524605862</v>
      </c>
      <c r="H668" s="7"/>
      <c r="I668" s="7"/>
      <c r="J668" s="7">
        <v>0</v>
      </c>
      <c r="K668" s="7"/>
      <c r="L668" s="7">
        <f t="shared" si="23"/>
        <v>0</v>
      </c>
      <c r="M668" s="7"/>
      <c r="N668" s="7"/>
      <c r="O668" s="7"/>
    </row>
    <row r="669" spans="3:15" x14ac:dyDescent="0.2">
      <c r="C669">
        <v>649</v>
      </c>
      <c r="D669" s="7">
        <v>2739.5726666641513</v>
      </c>
      <c r="E669" s="7"/>
      <c r="F669" s="7">
        <f t="shared" si="22"/>
        <v>221.22733670217281</v>
      </c>
      <c r="H669" s="7"/>
      <c r="I669" s="7"/>
      <c r="J669" s="7">
        <v>0</v>
      </c>
      <c r="K669" s="7"/>
      <c r="L669" s="7">
        <f t="shared" si="23"/>
        <v>0</v>
      </c>
      <c r="M669" s="7"/>
      <c r="N669" s="7"/>
      <c r="O669" s="7"/>
    </row>
    <row r="670" spans="3:15" x14ac:dyDescent="0.2">
      <c r="C670">
        <v>650</v>
      </c>
      <c r="D670" s="7">
        <v>2739.5726666641513</v>
      </c>
      <c r="E670" s="7"/>
      <c r="F670" s="7">
        <f t="shared" si="22"/>
        <v>221.22733670217281</v>
      </c>
      <c r="H670" s="7"/>
      <c r="I670" s="7"/>
      <c r="J670" s="7">
        <v>0</v>
      </c>
      <c r="K670" s="7"/>
      <c r="L670" s="7">
        <f t="shared" si="23"/>
        <v>0</v>
      </c>
      <c r="M670" s="7"/>
      <c r="N670" s="7"/>
      <c r="O670" s="7"/>
    </row>
    <row r="671" spans="3:15" x14ac:dyDescent="0.2">
      <c r="C671">
        <v>651</v>
      </c>
      <c r="D671" s="7">
        <v>2910.7959583306615</v>
      </c>
      <c r="E671" s="7"/>
      <c r="F671" s="7">
        <f t="shared" si="22"/>
        <v>235.05404524605868</v>
      </c>
      <c r="H671" s="7"/>
      <c r="I671" s="7"/>
      <c r="J671" s="7">
        <v>0</v>
      </c>
      <c r="K671" s="7"/>
      <c r="L671" s="7">
        <f t="shared" si="23"/>
        <v>0</v>
      </c>
      <c r="M671" s="7"/>
      <c r="N671" s="7"/>
      <c r="O671" s="7"/>
    </row>
    <row r="672" spans="3:15" x14ac:dyDescent="0.2">
      <c r="C672">
        <v>652</v>
      </c>
      <c r="D672" s="7">
        <v>3024.2608171075676</v>
      </c>
      <c r="E672" s="7"/>
      <c r="F672" s="7">
        <f t="shared" si="22"/>
        <v>244.21661604476213</v>
      </c>
      <c r="H672" s="7"/>
      <c r="I672" s="7"/>
      <c r="J672" s="7">
        <v>57.758432889602773</v>
      </c>
      <c r="K672" s="7"/>
      <c r="L672" s="7">
        <f t="shared" si="23"/>
        <v>3.7411445537140477</v>
      </c>
      <c r="M672" s="7"/>
      <c r="N672" s="7"/>
      <c r="O672" s="7"/>
    </row>
    <row r="673" spans="3:15" x14ac:dyDescent="0.2">
      <c r="C673">
        <v>653</v>
      </c>
      <c r="D673" s="7">
        <v>3025.3583038347751</v>
      </c>
      <c r="E673" s="7"/>
      <c r="F673" s="7">
        <f t="shared" si="22"/>
        <v>244.30524083967285</v>
      </c>
      <c r="H673" s="7"/>
      <c r="I673" s="7"/>
      <c r="J673" s="7">
        <v>227.88423782890459</v>
      </c>
      <c r="K673" s="7"/>
      <c r="L673" s="7">
        <f t="shared" si="23"/>
        <v>14.760578370614903</v>
      </c>
      <c r="M673" s="7"/>
      <c r="N673" s="7"/>
      <c r="O673" s="7"/>
    </row>
    <row r="674" spans="3:15" x14ac:dyDescent="0.2">
      <c r="C674">
        <v>654</v>
      </c>
      <c r="D674" s="7">
        <v>3026.4577924451046</v>
      </c>
      <c r="E674" s="7"/>
      <c r="F674" s="7">
        <f t="shared" si="22"/>
        <v>244.39402729164667</v>
      </c>
      <c r="H674" s="7"/>
      <c r="I674" s="7"/>
      <c r="J674" s="7">
        <v>398.00804088508448</v>
      </c>
      <c r="K674" s="7"/>
      <c r="L674" s="7">
        <f t="shared" si="23"/>
        <v>25.779882521010556</v>
      </c>
      <c r="M674" s="7"/>
      <c r="N674" s="7"/>
      <c r="O674" s="7"/>
    </row>
    <row r="675" spans="3:15" x14ac:dyDescent="0.2">
      <c r="C675">
        <v>655</v>
      </c>
      <c r="D675" s="7">
        <v>3027.5592668108748</v>
      </c>
      <c r="E675" s="7"/>
      <c r="F675" s="7">
        <f t="shared" si="22"/>
        <v>244.48297409833305</v>
      </c>
      <c r="H675" s="7"/>
      <c r="I675" s="7"/>
      <c r="J675" s="7">
        <v>568.12985818582365</v>
      </c>
      <c r="K675" s="7"/>
      <c r="L675" s="7">
        <f t="shared" si="23"/>
        <v>36.79905804952746</v>
      </c>
      <c r="M675" s="7"/>
      <c r="N675" s="7"/>
      <c r="O675" s="7"/>
    </row>
    <row r="676" spans="3:15" x14ac:dyDescent="0.2">
      <c r="C676">
        <v>656</v>
      </c>
      <c r="D676" s="7">
        <v>3028.6627108657876</v>
      </c>
      <c r="E676" s="7"/>
      <c r="F676" s="7">
        <f t="shared" si="22"/>
        <v>244.57207996233828</v>
      </c>
      <c r="H676" s="7"/>
      <c r="I676" s="7"/>
      <c r="J676" s="7">
        <v>738.24970579742057</v>
      </c>
      <c r="K676" s="7"/>
      <c r="L676" s="7">
        <f t="shared" si="23"/>
        <v>47.818105996816158</v>
      </c>
      <c r="M676" s="7"/>
      <c r="N676" s="7"/>
      <c r="O676" s="7"/>
    </row>
    <row r="677" spans="3:15" x14ac:dyDescent="0.2">
      <c r="C677">
        <v>657</v>
      </c>
      <c r="D677" s="7">
        <v>3029.7681086047655</v>
      </c>
      <c r="E677" s="7"/>
      <c r="F677" s="7">
        <f t="shared" si="22"/>
        <v>244.66134359121236</v>
      </c>
      <c r="H677" s="7"/>
      <c r="I677" s="7"/>
      <c r="J677" s="7">
        <v>908.36759972495202</v>
      </c>
      <c r="K677" s="7"/>
      <c r="L677" s="7">
        <f t="shared" si="23"/>
        <v>58.837027399561741</v>
      </c>
      <c r="M677" s="7"/>
      <c r="N677" s="7"/>
      <c r="O677" s="7"/>
    </row>
    <row r="678" spans="3:15" x14ac:dyDescent="0.2">
      <c r="C678">
        <v>658</v>
      </c>
      <c r="D678" s="7">
        <v>3030.8754440837611</v>
      </c>
      <c r="E678" s="7"/>
      <c r="F678" s="7">
        <f t="shared" si="22"/>
        <v>244.75076369743363</v>
      </c>
      <c r="H678" s="7"/>
      <c r="I678" s="7"/>
      <c r="J678" s="7">
        <v>1078.4835559124658</v>
      </c>
      <c r="K678" s="7"/>
      <c r="L678" s="7">
        <f t="shared" si="23"/>
        <v>69.855823290496303</v>
      </c>
      <c r="M678" s="7"/>
      <c r="N678" s="7"/>
      <c r="O678" s="7"/>
    </row>
    <row r="679" spans="3:15" x14ac:dyDescent="0.2">
      <c r="C679">
        <v>659</v>
      </c>
      <c r="D679" s="7">
        <v>3031.9847014195766</v>
      </c>
      <c r="E679" s="7"/>
      <c r="F679" s="7">
        <f t="shared" si="22"/>
        <v>244.8403389983942</v>
      </c>
      <c r="H679" s="7"/>
      <c r="I679" s="7"/>
      <c r="J679" s="7">
        <v>1248.5975902431601</v>
      </c>
      <c r="K679" s="7"/>
      <c r="L679" s="7">
        <f t="shared" si="23"/>
        <v>80.874494698410572</v>
      </c>
      <c r="M679" s="7"/>
      <c r="N679" s="7"/>
      <c r="O679" s="7"/>
    </row>
    <row r="680" spans="3:15" x14ac:dyDescent="0.2">
      <c r="C680">
        <v>660</v>
      </c>
      <c r="D680" s="7">
        <v>3033.0958647896905</v>
      </c>
      <c r="E680" s="7"/>
      <c r="F680" s="7">
        <f t="shared" si="22"/>
        <v>244.93006821638593</v>
      </c>
      <c r="H680" s="7"/>
      <c r="I680" s="7"/>
      <c r="J680" s="7">
        <v>1418.7097185395569</v>
      </c>
      <c r="K680" s="7"/>
      <c r="L680" s="7">
        <f t="shared" si="23"/>
        <v>91.893042648165164</v>
      </c>
      <c r="M680" s="7"/>
      <c r="N680" s="7"/>
      <c r="O680" s="7"/>
    </row>
    <row r="681" spans="3:15" x14ac:dyDescent="0.2">
      <c r="C681">
        <v>661</v>
      </c>
      <c r="D681" s="7">
        <v>3034.208918432088</v>
      </c>
      <c r="E681" s="7"/>
      <c r="F681" s="7">
        <f t="shared" si="22"/>
        <v>245.01995007858676</v>
      </c>
      <c r="H681" s="7"/>
      <c r="I681" s="7"/>
      <c r="J681" s="7">
        <v>1588.8199565636683</v>
      </c>
      <c r="K681" s="7"/>
      <c r="L681" s="7">
        <f t="shared" si="23"/>
        <v>102.91146816070128</v>
      </c>
      <c r="M681" s="7"/>
      <c r="N681" s="7"/>
      <c r="O681" s="7"/>
    </row>
    <row r="682" spans="3:15" x14ac:dyDescent="0.2">
      <c r="C682">
        <v>662</v>
      </c>
      <c r="D682" s="7">
        <v>3035.3238466450616</v>
      </c>
      <c r="E682" s="7"/>
      <c r="F682" s="7">
        <f t="shared" si="22"/>
        <v>245.10998331704457</v>
      </c>
      <c r="H682" s="7"/>
      <c r="I682" s="7"/>
      <c r="J682" s="7">
        <v>1758.9283200172044</v>
      </c>
      <c r="K682" s="7"/>
      <c r="L682" s="7">
        <f t="shared" si="23"/>
        <v>113.92977225305428</v>
      </c>
      <c r="M682" s="7"/>
      <c r="N682" s="7"/>
      <c r="O682" s="7"/>
    </row>
    <row r="683" spans="3:15" x14ac:dyDescent="0.2">
      <c r="C683">
        <v>663</v>
      </c>
      <c r="D683" s="7">
        <v>3036.4406337870528</v>
      </c>
      <c r="E683" s="7"/>
      <c r="F683" s="7">
        <f t="shared" si="22"/>
        <v>245.20016666866442</v>
      </c>
      <c r="H683" s="7"/>
      <c r="I683" s="7"/>
      <c r="J683" s="7">
        <v>1586.5882412087026</v>
      </c>
      <c r="K683" s="7"/>
      <c r="L683" s="7">
        <f t="shared" si="23"/>
        <v>102.76691490106509</v>
      </c>
      <c r="M683" s="7"/>
      <c r="N683" s="7"/>
      <c r="O683" s="7"/>
    </row>
    <row r="684" spans="3:15" x14ac:dyDescent="0.2">
      <c r="C684">
        <v>664</v>
      </c>
      <c r="D684" s="7">
        <v>3037.5592642764623</v>
      </c>
      <c r="E684" s="7"/>
      <c r="F684" s="7">
        <f t="shared" si="22"/>
        <v>245.29049887519329</v>
      </c>
      <c r="H684" s="7"/>
      <c r="I684" s="7"/>
      <c r="J684" s="7">
        <v>1756.692902385802</v>
      </c>
      <c r="K684" s="7"/>
      <c r="L684" s="7">
        <f t="shared" si="23"/>
        <v>113.78497918858554</v>
      </c>
      <c r="M684" s="7"/>
      <c r="N684" s="7"/>
      <c r="O684" s="7"/>
    </row>
    <row r="685" spans="3:15" x14ac:dyDescent="0.2">
      <c r="C685">
        <v>665</v>
      </c>
      <c r="D685" s="7">
        <v>3038.6797225914843</v>
      </c>
      <c r="E685" s="7"/>
      <c r="F685" s="7">
        <f t="shared" si="22"/>
        <v>245.38097868320654</v>
      </c>
      <c r="H685" s="7"/>
      <c r="I685" s="7"/>
      <c r="J685" s="7">
        <v>2440.4656107368182</v>
      </c>
      <c r="K685" s="7"/>
      <c r="L685" s="7">
        <f t="shared" si="23"/>
        <v>158.07448663964723</v>
      </c>
      <c r="M685" s="7"/>
      <c r="N685" s="7"/>
      <c r="O685" s="7"/>
    </row>
    <row r="686" spans="3:15" x14ac:dyDescent="0.2">
      <c r="C686">
        <v>666</v>
      </c>
      <c r="D686" s="7">
        <v>3039.8019932699244</v>
      </c>
      <c r="E686" s="7"/>
      <c r="F686" s="7">
        <f t="shared" si="22"/>
        <v>245.47160484409335</v>
      </c>
      <c r="H686" s="7"/>
      <c r="I686" s="7"/>
      <c r="J686" s="7">
        <v>2268.1200483918674</v>
      </c>
      <c r="K686" s="7"/>
      <c r="L686" s="7">
        <f t="shared" si="23"/>
        <v>146.91127410657893</v>
      </c>
      <c r="M686" s="7"/>
      <c r="N686" s="7"/>
      <c r="O686" s="7"/>
    </row>
    <row r="687" spans="3:15" x14ac:dyDescent="0.2">
      <c r="C687">
        <v>667</v>
      </c>
      <c r="D687" s="7">
        <v>3040.9260609090284</v>
      </c>
      <c r="E687" s="7"/>
      <c r="F687" s="7">
        <f t="shared" si="22"/>
        <v>245.56237611404288</v>
      </c>
      <c r="H687" s="7"/>
      <c r="I687" s="7"/>
      <c r="J687" s="7">
        <v>2609.442564085783</v>
      </c>
      <c r="K687" s="7"/>
      <c r="L687" s="7">
        <f t="shared" si="23"/>
        <v>169.01950673624458</v>
      </c>
      <c r="M687" s="7"/>
      <c r="N687" s="7"/>
      <c r="O687" s="7"/>
    </row>
    <row r="688" spans="3:15" x14ac:dyDescent="0.2">
      <c r="C688">
        <v>668</v>
      </c>
      <c r="D688" s="7">
        <v>3042.0519101652985</v>
      </c>
      <c r="E688" s="7"/>
      <c r="F688" s="7">
        <f t="shared" si="22"/>
        <v>245.65329125402931</v>
      </c>
      <c r="H688" s="7"/>
      <c r="I688" s="7"/>
      <c r="J688" s="7">
        <v>2231.625473163193</v>
      </c>
      <c r="K688" s="7"/>
      <c r="L688" s="7">
        <f t="shared" si="23"/>
        <v>144.54743778820404</v>
      </c>
      <c r="M688" s="7"/>
      <c r="N688" s="7"/>
      <c r="O688" s="7"/>
    </row>
    <row r="689" spans="3:15" x14ac:dyDescent="0.2">
      <c r="C689">
        <v>669</v>
      </c>
      <c r="D689" s="7">
        <v>3043.7086310291697</v>
      </c>
      <c r="E689" s="7"/>
      <c r="F689" s="7">
        <f t="shared" si="22"/>
        <v>245.78707560252749</v>
      </c>
      <c r="H689" s="7"/>
      <c r="I689" s="7"/>
      <c r="J689" s="7">
        <v>1853.2775106330009</v>
      </c>
      <c r="K689" s="7"/>
      <c r="L689" s="7">
        <f t="shared" si="23"/>
        <v>120.04098308341521</v>
      </c>
      <c r="M689" s="7"/>
      <c r="N689" s="7"/>
      <c r="O689" s="7"/>
    </row>
    <row r="690" spans="3:15" x14ac:dyDescent="0.2">
      <c r="C690">
        <v>670</v>
      </c>
      <c r="D690" s="7">
        <v>3045.7185038855946</v>
      </c>
      <c r="E690" s="7"/>
      <c r="F690" s="7">
        <f t="shared" si="22"/>
        <v>245.94937785665178</v>
      </c>
      <c r="H690" s="7"/>
      <c r="I690" s="7"/>
      <c r="J690" s="7">
        <v>1474.5763961102543</v>
      </c>
      <c r="K690" s="7"/>
      <c r="L690" s="7">
        <f t="shared" si="23"/>
        <v>95.511653923980035</v>
      </c>
      <c r="M690" s="7"/>
      <c r="N690" s="7"/>
      <c r="O690" s="7"/>
    </row>
    <row r="691" spans="3:15" x14ac:dyDescent="0.2">
      <c r="C691">
        <v>671</v>
      </c>
      <c r="D691" s="7">
        <v>3047.7284445404098</v>
      </c>
      <c r="E691" s="7"/>
      <c r="F691" s="7">
        <f t="shared" si="22"/>
        <v>246.11168558566544</v>
      </c>
      <c r="H691" s="7"/>
      <c r="I691" s="7"/>
      <c r="J691" s="7">
        <v>1095.8752137891192</v>
      </c>
      <c r="K691" s="7"/>
      <c r="L691" s="7">
        <f t="shared" si="23"/>
        <v>70.982320373089635</v>
      </c>
      <c r="M691" s="7"/>
      <c r="N691" s="7"/>
      <c r="O691" s="7"/>
    </row>
    <row r="692" spans="3:15" x14ac:dyDescent="0.2">
      <c r="C692">
        <v>672</v>
      </c>
      <c r="D692" s="7">
        <v>3049.7384399789462</v>
      </c>
      <c r="E692" s="7"/>
      <c r="F692" s="7">
        <f t="shared" si="22"/>
        <v>246.27399773860148</v>
      </c>
      <c r="H692" s="7"/>
      <c r="I692" s="7"/>
      <c r="J692" s="7">
        <v>717.17397668426202</v>
      </c>
      <c r="K692" s="7"/>
      <c r="L692" s="7">
        <f t="shared" si="23"/>
        <v>46.45298327373343</v>
      </c>
      <c r="M692" s="7"/>
      <c r="N692" s="7"/>
      <c r="O692" s="7"/>
    </row>
    <row r="693" spans="3:15" x14ac:dyDescent="0.2">
      <c r="C693" s="3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</row>
  </sheetData>
  <mergeCells count="11">
    <mergeCell ref="D13:O13"/>
    <mergeCell ref="D14:I14"/>
    <mergeCell ref="J14:O14"/>
    <mergeCell ref="P14:Q14"/>
    <mergeCell ref="R14:S14"/>
    <mergeCell ref="V14:W14"/>
    <mergeCell ref="D15:F15"/>
    <mergeCell ref="G15:I15"/>
    <mergeCell ref="J15:L15"/>
    <mergeCell ref="M15:O15"/>
    <mergeCell ref="T14:U14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Winter</vt:lpstr>
      <vt:lpstr>Spring_Autumn</vt:lpstr>
      <vt:lpstr>Summer</vt:lpstr>
      <vt:lpstr>Spring_Autumn!Print_Area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north</dc:creator>
  <cp:lastModifiedBy>peter north</cp:lastModifiedBy>
  <dcterms:created xsi:type="dcterms:W3CDTF">2026-05-04T11:24:24Z</dcterms:created>
  <dcterms:modified xsi:type="dcterms:W3CDTF">2026-07-27T11:01:22Z</dcterms:modified>
</cp:coreProperties>
</file>